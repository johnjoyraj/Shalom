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_Master" sheetId="2" state="visible" r:id="rId2"/>
    <sheet xmlns:r="http://schemas.openxmlformats.org/officeDocument/2006/relationships" name="Sales_Invoicing" sheetId="3" state="visible" r:id="rId3"/>
    <sheet xmlns:r="http://schemas.openxmlformats.org/officeDocument/2006/relationships" name="Purchases_Vendors" sheetId="4" state="visible" r:id="rId4"/>
    <sheet xmlns:r="http://schemas.openxmlformats.org/officeDocument/2006/relationships" name="Parties_Directory" sheetId="5" state="visible" r:id="rId5"/>
    <sheet xmlns:r="http://schemas.openxmlformats.org/officeDocument/2006/relationships" name="Pending_Payments" sheetId="6" state="visible" r:id="rId6"/>
    <sheet xmlns:r="http://schemas.openxmlformats.org/officeDocument/2006/relationships" name="Analytics_Dashboar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&quot;₹&quot;#,##0.00"/>
    <numFmt numFmtId="165" formatCode="0.0%"/>
    <numFmt numFmtId="166" formatCode="yyyy\-mm\-dd\ h:mm:ss"/>
    <numFmt numFmtId="167" formatCode="000.00"/>
    <numFmt numFmtId="168" formatCode="\₹#,##0.00"/>
    <numFmt numFmtId="169" formatCode="mm/dd/yyyy\ h:mm"/>
    <numFmt numFmtId="170" formatCode="yyyy\-mm\-dd"/>
    <numFmt numFmtId="171" formatCode="[$₹]\ #,##0.00"/>
    <numFmt numFmtId="172" formatCode="yyyy-mm-dd h:mm:ss"/>
  </numFmts>
  <fonts count="53">
    <font>
      <name val="Arial"/>
      <color rgb="FF000000"/>
      <sz val="10"/>
      <scheme val="minor"/>
    </font>
    <font>
      <name val="Arial"/>
      <b val="1"/>
      <color rgb="FFFFFFFF"/>
      <sz val="12"/>
      <scheme val="minor"/>
    </font>
    <font>
      <name val="Arial"/>
      <b val="1"/>
      <color rgb="FF1E3989"/>
      <sz val="9"/>
      <scheme val="minor"/>
    </font>
    <font>
      <name val="Arial"/>
      <b val="1"/>
      <color rgb="FF991B1B"/>
      <sz val="9"/>
      <scheme val="minor"/>
    </font>
    <font>
      <name val="Arial"/>
      <b val="1"/>
      <color rgb="FF065F46"/>
      <sz val="9"/>
      <scheme val="minor"/>
    </font>
    <font>
      <name val="Arial"/>
      <b val="1"/>
      <color rgb="FF571C86"/>
      <sz val="9"/>
      <scheme val="minor"/>
    </font>
    <font>
      <name val="Arial"/>
      <b val="1"/>
      <color rgb="FF0F2962"/>
      <sz val="16"/>
      <scheme val="minor"/>
    </font>
    <font>
      <name val="Arial"/>
      <b val="1"/>
      <color rgb="FFB81C1C"/>
      <sz val="16"/>
      <scheme val="minor"/>
    </font>
    <font>
      <name val="Arial"/>
      <b val="1"/>
      <color rgb="FF047856"/>
      <sz val="16"/>
      <scheme val="minor"/>
    </font>
    <font>
      <name val="Arial"/>
      <b val="1"/>
      <color rgb="FF6B21A8"/>
      <sz val="16"/>
      <scheme val="minor"/>
    </font>
    <font>
      <name val="Arial"/>
      <color rgb="FF465469"/>
      <sz val="8"/>
      <scheme val="minor"/>
    </font>
    <font>
      <name val="Arial"/>
      <color rgb="FF7E1D1D"/>
      <sz val="8"/>
      <scheme val="minor"/>
    </font>
    <font>
      <name val="Arial"/>
      <color rgb="FF064E3A"/>
      <sz val="8"/>
      <scheme val="minor"/>
    </font>
    <font>
      <name val="Arial"/>
      <color rgb="FF571C86"/>
      <sz val="8"/>
      <scheme val="minor"/>
    </font>
    <font>
      <name val="Arial"/>
      <b val="1"/>
      <color rgb="FFFFFFFF"/>
      <sz val="10"/>
      <scheme val="minor"/>
    </font>
    <font>
      <name val="Arial"/>
      <b val="1"/>
      <color theme="1"/>
      <sz val="9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0"/>
    </font>
    <font>
      <name val="Arial"/>
      <b val="1"/>
      <color rgb="FFFFFFFF"/>
      <sz val="10"/>
      <scheme val="minor"/>
    </font>
    <font>
      <name val="Arial"/>
      <color theme="1"/>
      <sz val="10"/>
    </font>
    <font>
      <name val="Arial"/>
      <b val="1"/>
      <color rgb="FFFFFFFF"/>
      <sz val="9"/>
      <scheme val="minor"/>
    </font>
    <font>
      <name val="Google Sans"/>
      <b val="1"/>
      <color rgb="FFFFFFFF"/>
      <sz val="10"/>
    </font>
    <font>
      <name val="Google Sans"/>
      <color theme="1"/>
      <sz val="10"/>
    </font>
    <font>
      <name val="Google Sans"/>
      <b val="1"/>
      <color rgb="FF157C39"/>
      <sz val="10"/>
    </font>
    <font>
      <name val="Calibri"/>
      <b val="1"/>
      <color rgb="FF000000"/>
      <sz val="13"/>
    </font>
    <font>
      <name val="Arial"/>
      <b val="1"/>
      <color theme="1"/>
      <sz val="13"/>
      <scheme val="minor"/>
    </font>
    <font>
      <name val="&quot;Source Sans Pro&quot;"/>
      <b val="1"/>
      <color rgb="FF292D35"/>
      <sz val="13"/>
    </font>
    <font>
      <name val="Arial"/>
      <b val="1"/>
      <color rgb="FF1B365D"/>
      <sz val="14"/>
    </font>
    <font>
      <name val="Arial"/>
      <b val="1"/>
      <color rgb="FF475468"/>
      <sz val="9"/>
    </font>
    <font>
      <name val="Arial"/>
      <b val="1"/>
      <color rgb="FF0F1628"/>
      <sz val="15"/>
    </font>
    <font>
      <name val="Arial"/>
      <i val="1"/>
      <color rgb="FF63728C"/>
      <sz val="8"/>
    </font>
    <font>
      <name val="Arial"/>
      <b val="1"/>
      <color rgb="FFFFFFFF"/>
      <sz val="9"/>
    </font>
    <font>
      <name val="Arial"/>
      <color theme="1"/>
      <sz val="9"/>
    </font>
    <font>
      <name val="Arial"/>
      <color rgb="FF0000FF"/>
      <sz val="9"/>
      <u val="single"/>
    </font>
    <font>
      <name val="Arial"/>
      <b val="1"/>
      <color rgb="FF1C283A"/>
      <sz val="10"/>
    </font>
    <font>
      <name val="Google Sans"/>
      <b val="1"/>
      <color rgb="FFFFFFFF"/>
      <sz val="13"/>
    </font>
    <font>
      <name val="Google Sans"/>
      <b val="1"/>
      <color rgb="FF1A73E8"/>
      <sz val="11"/>
      <u val="single"/>
    </font>
    <font>
      <name val="Arial"/>
      <sz val="10"/>
    </font>
    <font>
      <name val="Google Sans"/>
      <b val="1"/>
      <color rgb="FF137333"/>
      <sz val="11"/>
      <u val="single"/>
    </font>
    <font>
      <name val="Google Sans"/>
      <b val="1"/>
      <color rgb="FFAF5F00"/>
      <sz val="11"/>
      <u val="single"/>
    </font>
    <font>
      <name val="Google Sans"/>
      <b val="1"/>
      <color rgb="FF3B4043"/>
      <sz val="11"/>
      <u val="single"/>
    </font>
    <font>
      <name val="Google Sans"/>
      <b val="1"/>
      <color rgb="FF1B365D"/>
      <sz val="10"/>
    </font>
    <font>
      <name val="Google Sans"/>
      <b val="1"/>
      <color rgb="FF1B365D"/>
      <sz val="11"/>
    </font>
    <font>
      <name val="Google Sans"/>
      <i val="1"/>
      <color rgb="FF5F6268"/>
      <sz val="10"/>
    </font>
    <font>
      <name val="Google Sans"/>
      <b val="1"/>
      <color rgb="FF1B365D"/>
      <sz val="18"/>
    </font>
    <font>
      <name val="Google Sans"/>
      <b val="1"/>
      <color rgb="FF157C39"/>
      <sz val="18"/>
    </font>
    <font>
      <name val="Google Sans"/>
      <b val="1"/>
      <color rgb="FF1A73E8"/>
      <sz val="18"/>
    </font>
    <font>
      <name val="Google Sans"/>
      <b val="1"/>
      <color rgb="FF6E27BE"/>
      <sz val="18"/>
    </font>
    <font>
      <name val="Google Sans"/>
      <i val="1"/>
      <color rgb="FF5F6268"/>
      <sz val="9"/>
    </font>
    <font>
      <name val="Google Sans"/>
      <b val="1"/>
      <color rgb="FFFFFFFF"/>
      <sz val="11"/>
    </font>
    <font>
      <name val="Google Sans"/>
      <b val="1"/>
      <color rgb="FF191919"/>
      <sz val="10"/>
    </font>
    <font>
      <name val="Google Sans"/>
      <b val="1"/>
      <color theme="1"/>
      <sz val="10"/>
    </font>
  </fonts>
  <fills count="2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B"/>
        <bgColor rgb="FFE8EEFB"/>
      </patternFill>
    </fill>
    <fill>
      <patternFill patternType="solid">
        <fgColor rgb="FFFDF1E1"/>
        <bgColor rgb="FFFDF1E1"/>
      </patternFill>
    </fill>
    <fill>
      <patternFill patternType="solid">
        <fgColor rgb="FFEBFCF5"/>
        <bgColor rgb="FFEBFCF5"/>
      </patternFill>
    </fill>
    <fill>
      <patternFill patternType="solid">
        <fgColor rgb="FFF3E8FF"/>
        <bgColor rgb="FFF3E8FF"/>
      </patternFill>
    </fill>
    <fill>
      <patternFill patternType="solid">
        <fgColor rgb="FF264477"/>
        <bgColor rgb="FF264477"/>
      </patternFill>
    </fill>
    <fill>
      <patternFill patternType="solid">
        <fgColor rgb="FFD8E2F4"/>
        <bgColor rgb="FFD8E2F4"/>
      </patternFill>
    </fill>
    <fill>
      <patternFill patternType="solid">
        <fgColor rgb="FFFFFFFF"/>
        <bgColor rgb="FFFFFFFF"/>
      </patternFill>
    </fill>
    <fill>
      <patternFill patternType="solid">
        <fgColor rgb="FFEFF4F9"/>
        <bgColor rgb="FFEFF4F9"/>
      </patternFill>
    </fill>
    <fill>
      <patternFill patternType="solid">
        <fgColor rgb="FFDADFEF"/>
        <bgColor rgb="FFDADFEF"/>
      </patternFill>
    </fill>
    <fill>
      <patternFill patternType="solid">
        <fgColor rgb="FF405F90"/>
        <bgColor rgb="FF405F90"/>
      </patternFill>
    </fill>
    <fill>
      <patternFill patternType="solid">
        <fgColor rgb="FFF4CCCC"/>
        <bgColor rgb="FFF4CCCC"/>
      </patternFill>
    </fill>
    <fill>
      <patternFill patternType="solid">
        <fgColor rgb="FFF2F4F9"/>
        <bgColor rgb="FFF2F4F9"/>
      </patternFill>
    </fill>
    <fill>
      <patternFill patternType="solid">
        <fgColor rgb="FFEDF2F7"/>
        <bgColor rgb="FFEDF2F7"/>
      </patternFill>
    </fill>
    <fill>
      <patternFill patternType="solid">
        <fgColor rgb="FFE8EFFD"/>
        <bgColor rgb="FFE8EFFD"/>
      </patternFill>
    </fill>
    <fill>
      <patternFill patternType="solid">
        <fgColor rgb="FFE6F4EA"/>
        <bgColor rgb="FFE6F4EA"/>
      </patternFill>
    </fill>
    <fill>
      <patternFill patternType="solid">
        <fgColor rgb="FFFDF7DF"/>
        <bgColor rgb="FFFDF7DF"/>
      </patternFill>
    </fill>
    <fill>
      <patternFill patternType="solid">
        <fgColor rgb="FFF0F3F4"/>
        <bgColor rgb="FFF0F3F4"/>
      </patternFill>
    </fill>
    <fill>
      <patternFill patternType="solid">
        <fgColor rgb="FFEDF0F6"/>
        <bgColor rgb="FFEDF0F6"/>
      </patternFill>
    </fill>
    <fill>
      <patternFill patternType="solid">
        <fgColor rgb="FFF6F7F8"/>
        <bgColor rgb="FFF6F7F8"/>
      </patternFill>
    </fill>
    <fill>
      <patternFill patternType="solid">
        <fgColor rgb="FF2F4D75"/>
        <bgColor rgb="FF2F4D75"/>
      </patternFill>
    </fill>
    <fill>
      <patternFill patternType="solid">
        <fgColor rgb="FFF7F8F9"/>
        <bgColor rgb="FFF7F8F9"/>
      </patternFill>
    </fill>
  </fills>
  <borders count="48">
    <border>
      <left/>
      <right/>
      <top/>
      <bottom/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  <border>
      <left/>
      <right style="thin">
        <color rgb="FFE0E2E7"/>
      </right>
      <top/>
      <bottom style="thin">
        <color rgb="FFE0E2E7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E5E5E5"/>
      </bottom>
      <diagonal/>
    </border>
    <border>
      <left/>
      <right/>
      <top style="thin">
        <color rgb="FFCCCCCC"/>
      </top>
      <bottom style="thin">
        <color rgb="FFE5E5E5"/>
      </bottom>
      <diagonal/>
    </border>
    <border>
      <left/>
      <right style="thin">
        <color rgb="FFCCCCCC"/>
      </right>
      <top style="thin">
        <color rgb="FFCCCCCC"/>
      </top>
      <bottom style="thin">
        <color rgb="FFE5E5E5"/>
      </bottom>
      <diagonal/>
    </border>
    <border>
      <left style="thin">
        <color rgb="FFCCCCCC"/>
      </left>
      <right/>
      <top style="thin">
        <color rgb="FFE5E5E5"/>
      </top>
      <bottom/>
      <diagonal/>
    </border>
    <border>
      <left/>
      <right/>
      <top style="thin">
        <color rgb="FFE5E5E5"/>
      </top>
      <bottom/>
      <diagonal/>
    </border>
    <border>
      <left/>
      <right style="thin">
        <color rgb="FFCCCCCC"/>
      </right>
      <top style="thin">
        <color rgb="FFE5E5E5"/>
      </top>
      <bottom/>
      <diagonal/>
    </border>
    <border>
      <left style="thin">
        <color rgb="FFCCCCCC"/>
      </left>
      <right/>
      <top/>
      <bottom style="thin">
        <color rgb="FFE5E5E5"/>
      </bottom>
      <diagonal/>
    </border>
    <border>
      <left/>
      <right/>
      <top/>
      <bottom style="thin">
        <color rgb="FFE5E5E5"/>
      </bottom>
      <diagonal/>
    </border>
    <border>
      <left/>
      <right style="thin">
        <color rgb="FFCCCCCC"/>
      </right>
      <top/>
      <bottom style="thin">
        <color rgb="FFE5E5E5"/>
      </bottom>
      <diagonal/>
    </border>
    <border>
      <left style="thin">
        <color rgb="FFCCCCCC"/>
      </left>
      <right/>
      <top style="thin">
        <color rgb="FFE5E5E5"/>
      </top>
      <bottom style="thin">
        <color rgb="FFCCCCCC"/>
      </bottom>
      <diagonal/>
    </border>
    <border>
      <left/>
      <right/>
      <top style="thin">
        <color rgb="FFE5E5E5"/>
      </top>
      <bottom style="thin">
        <color rgb="FFCCCCCC"/>
      </bottom>
      <diagonal/>
    </border>
    <border>
      <left/>
      <right style="thin">
        <color rgb="FFCCCCCC"/>
      </right>
      <top style="thin">
        <color rgb="FFE5E5E5"/>
      </top>
      <bottom style="thin">
        <color rgb="FFCCCCCC"/>
      </bottom>
      <diagonal/>
    </border>
    <border>
      <left style="thin">
        <color rgb="FFB2B2B2"/>
      </left>
      <right/>
      <top style="thin">
        <color rgb="FFB2B2B2"/>
      </top>
      <bottom style="thin">
        <color rgb="FFD8D8D8"/>
      </bottom>
      <diagonal/>
    </border>
    <border>
      <left/>
      <right/>
      <top style="thin">
        <color rgb="FFB2B2B2"/>
      </top>
      <bottom style="thin">
        <color rgb="FFD8D8D8"/>
      </bottom>
      <diagonal/>
    </border>
    <border>
      <left/>
      <right style="thin">
        <color rgb="FFB2B2B2"/>
      </right>
      <top style="thin">
        <color rgb="FFB2B2B2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E5E5E5"/>
      </bottom>
      <diagonal/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E5E5E5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15" fillId="8" borderId="1" applyAlignment="1" pivotButton="0" quotePrefix="0" xfId="0">
      <alignment horizontal="left"/>
    </xf>
    <xf numFmtId="0" fontId="15" fillId="8" borderId="2" applyAlignment="1" pivotButton="0" quotePrefix="0" xfId="0">
      <alignment horizontal="right"/>
    </xf>
    <xf numFmtId="0" fontId="15" fillId="8" borderId="3" applyAlignment="1" pivotButton="0" quotePrefix="0" xfId="0">
      <alignment horizontal="right"/>
    </xf>
    <xf numFmtId="0" fontId="15" fillId="8" borderId="0" applyAlignment="1" pivotButton="0" quotePrefix="0" xfId="0">
      <alignment horizontal="left"/>
    </xf>
    <xf numFmtId="0" fontId="15" fillId="8" borderId="0" applyAlignment="1" pivotButton="0" quotePrefix="0" xfId="0">
      <alignment horizontal="right"/>
    </xf>
    <xf numFmtId="0" fontId="15" fillId="8" borderId="0" applyAlignment="1" pivotButton="0" quotePrefix="0" xfId="0">
      <alignment horizontal="center"/>
    </xf>
    <xf numFmtId="0" fontId="16" fillId="9" borderId="4" applyAlignment="1" pivotButton="0" quotePrefix="0" xfId="0">
      <alignment horizontal="left"/>
    </xf>
    <xf numFmtId="3" fontId="16" fillId="9" borderId="5" applyAlignment="1" pivotButton="0" quotePrefix="0" xfId="0">
      <alignment horizontal="right"/>
    </xf>
    <xf numFmtId="164" fontId="16" fillId="9" borderId="5" applyAlignment="1" pivotButton="0" quotePrefix="0" xfId="0">
      <alignment horizontal="right"/>
    </xf>
    <xf numFmtId="165" fontId="16" fillId="9" borderId="6" applyAlignment="1" pivotButton="0" quotePrefix="0" xfId="0">
      <alignment horizontal="right"/>
    </xf>
    <xf numFmtId="0" fontId="16" fillId="0" borderId="0" pivotButton="0" quotePrefix="0" xfId="0"/>
    <xf numFmtId="3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  <xf numFmtId="164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center"/>
    </xf>
    <xf numFmtId="0" fontId="17" fillId="10" borderId="0" pivotButton="0" quotePrefix="0" xfId="0"/>
    <xf numFmtId="3" fontId="17" fillId="10" borderId="0" applyAlignment="1" pivotButton="0" quotePrefix="0" xfId="0">
      <alignment horizontal="right"/>
    </xf>
    <xf numFmtId="165" fontId="17" fillId="10" borderId="0" applyAlignment="1" pivotButton="0" quotePrefix="0" xfId="0">
      <alignment horizontal="right"/>
    </xf>
    <xf numFmtId="164" fontId="17" fillId="10" borderId="0" applyAlignment="1" pivotButton="0" quotePrefix="0" xfId="0">
      <alignment horizontal="right"/>
    </xf>
    <xf numFmtId="0" fontId="17" fillId="10" borderId="0" applyAlignment="1" pivotButton="0" quotePrefix="1" xfId="0">
      <alignment horizontal="center"/>
    </xf>
    <xf numFmtId="0" fontId="17" fillId="10" borderId="7" pivotButton="0" quotePrefix="0" xfId="0"/>
    <xf numFmtId="3" fontId="17" fillId="10" borderId="8" applyAlignment="1" pivotButton="0" quotePrefix="0" xfId="0">
      <alignment horizontal="right"/>
    </xf>
    <xf numFmtId="164" fontId="17" fillId="10" borderId="8" applyAlignment="1" pivotButton="0" quotePrefix="0" xfId="0">
      <alignment horizontal="right"/>
    </xf>
    <xf numFmtId="165" fontId="17" fillId="10" borderId="9" applyAlignment="1" pivotButton="0" quotePrefix="0" xfId="0">
      <alignment horizontal="right"/>
    </xf>
    <xf numFmtId="0" fontId="18" fillId="11" borderId="0" applyAlignment="1" pivotButton="0" quotePrefix="0" xfId="0">
      <alignment horizontal="center"/>
    </xf>
    <xf numFmtId="0" fontId="19" fillId="12" borderId="0" pivotButton="0" quotePrefix="0" xfId="0"/>
    <xf numFmtId="0" fontId="20" fillId="0" borderId="0" pivotButton="0" quotePrefix="0" xfId="0"/>
    <xf numFmtId="49" fontId="20" fillId="0" borderId="0" applyAlignment="1" pivotButton="0" quotePrefix="1" xfId="0">
      <alignment horizontal="right"/>
    </xf>
    <xf numFmtId="0" fontId="20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49" fontId="20" fillId="0" borderId="0" pivotButton="0" quotePrefix="1" xfId="0"/>
    <xf numFmtId="0" fontId="20" fillId="13" borderId="0" applyAlignment="1" pivotButton="0" quotePrefix="0" xfId="0">
      <alignment horizontal="right"/>
    </xf>
    <xf numFmtId="49" fontId="20" fillId="0" borderId="0" pivotButton="0" quotePrefix="0" xfId="0"/>
    <xf numFmtId="0" fontId="21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right"/>
    </xf>
    <xf numFmtId="0" fontId="22" fillId="2" borderId="0" applyAlignment="1" pivotButton="0" quotePrefix="0" xfId="0">
      <alignment horizontal="center" vertical="center"/>
    </xf>
    <xf numFmtId="166" fontId="16" fillId="0" borderId="0" pivotButton="0" quotePrefix="0" xfId="0"/>
    <xf numFmtId="167" fontId="16" fillId="0" borderId="0" pivotButton="0" quotePrefix="0" xfId="0"/>
    <xf numFmtId="168" fontId="23" fillId="0" borderId="0" applyAlignment="1" pivotButton="0" quotePrefix="0" xfId="0">
      <alignment horizontal="right" vertical="center"/>
    </xf>
    <xf numFmtId="168" fontId="24" fillId="0" borderId="0" applyAlignment="1" pivotButton="0" quotePrefix="0" xfId="0">
      <alignment horizontal="right" vertical="center"/>
    </xf>
    <xf numFmtId="169" fontId="16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10" applyAlignment="1" pivotButton="0" quotePrefix="0" xfId="0">
      <alignment horizontal="left"/>
    </xf>
    <xf numFmtId="0" fontId="32" fillId="2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70" fontId="33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right" vertical="center"/>
    </xf>
    <xf numFmtId="3" fontId="33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/>
    </xf>
    <xf numFmtId="171" fontId="35" fillId="15" borderId="0" applyAlignment="1" pivotButton="0" quotePrefix="0" xfId="0">
      <alignment horizontal="right" vertical="center"/>
    </xf>
    <xf numFmtId="0" fontId="35" fillId="15" borderId="0" applyAlignment="1" pivotButton="0" quotePrefix="0" xfId="0">
      <alignment vertical="center"/>
    </xf>
    <xf numFmtId="0" fontId="22" fillId="22" borderId="32" applyAlignment="1" pivotButton="0" quotePrefix="0" xfId="0">
      <alignment horizontal="left" vertical="center"/>
    </xf>
    <xf numFmtId="0" fontId="22" fillId="22" borderId="33" applyAlignment="1" pivotButton="0" quotePrefix="0" xfId="0">
      <alignment horizontal="center" vertical="center"/>
    </xf>
    <xf numFmtId="0" fontId="22" fillId="22" borderId="33" applyAlignment="1" pivotButton="0" quotePrefix="0" xfId="0">
      <alignment horizontal="right" vertical="center"/>
    </xf>
    <xf numFmtId="0" fontId="22" fillId="22" borderId="34" applyAlignment="1" pivotButton="0" quotePrefix="0" xfId="0">
      <alignment horizontal="center" vertical="center"/>
    </xf>
    <xf numFmtId="0" fontId="51" fillId="9" borderId="32" applyAlignment="1" pivotButton="0" quotePrefix="0" xfId="0">
      <alignment horizontal="left" vertical="center"/>
    </xf>
    <xf numFmtId="3" fontId="23" fillId="9" borderId="33" applyAlignment="1" pivotButton="0" quotePrefix="0" xfId="0">
      <alignment horizontal="center" vertical="center"/>
    </xf>
    <xf numFmtId="168" fontId="23" fillId="9" borderId="33" applyAlignment="1" pivotButton="0" quotePrefix="0" xfId="0">
      <alignment horizontal="right" vertical="center"/>
    </xf>
    <xf numFmtId="168" fontId="24" fillId="9" borderId="33" applyAlignment="1" pivotButton="0" quotePrefix="0" xfId="0">
      <alignment horizontal="right" vertical="center"/>
    </xf>
    <xf numFmtId="165" fontId="52" fillId="9" borderId="33" applyAlignment="1" pivotButton="0" quotePrefix="0" xfId="0">
      <alignment horizontal="right" vertical="center"/>
    </xf>
    <xf numFmtId="0" fontId="23" fillId="9" borderId="34" applyAlignment="1" pivotButton="0" quotePrefix="0" xfId="0">
      <alignment horizontal="center" vertical="center"/>
    </xf>
    <xf numFmtId="0" fontId="51" fillId="23" borderId="32" applyAlignment="1" pivotButton="0" quotePrefix="0" xfId="0">
      <alignment horizontal="left" vertical="center"/>
    </xf>
    <xf numFmtId="3" fontId="23" fillId="23" borderId="33" applyAlignment="1" pivotButton="0" quotePrefix="0" xfId="0">
      <alignment horizontal="center" vertical="center"/>
    </xf>
    <xf numFmtId="168" fontId="23" fillId="23" borderId="33" applyAlignment="1" pivotButton="0" quotePrefix="0" xfId="0">
      <alignment horizontal="right" vertical="center"/>
    </xf>
    <xf numFmtId="168" fontId="24" fillId="23" borderId="33" applyAlignment="1" pivotButton="0" quotePrefix="0" xfId="0">
      <alignment horizontal="right" vertical="center"/>
    </xf>
    <xf numFmtId="165" fontId="52" fillId="23" borderId="33" applyAlignment="1" pivotButton="0" quotePrefix="0" xfId="0">
      <alignment horizontal="right" vertical="center"/>
    </xf>
    <xf numFmtId="0" fontId="23" fillId="23" borderId="34" applyAlignment="1" pivotButton="0" quotePrefix="0" xfId="0">
      <alignment horizontal="center" vertical="center"/>
    </xf>
    <xf numFmtId="0" fontId="51" fillId="23" borderId="35" applyAlignment="1" pivotButton="0" quotePrefix="0" xfId="0">
      <alignment horizontal="left" vertical="center"/>
    </xf>
    <xf numFmtId="3" fontId="23" fillId="23" borderId="36" applyAlignment="1" pivotButton="0" quotePrefix="0" xfId="0">
      <alignment horizontal="center" vertical="center"/>
    </xf>
    <xf numFmtId="168" fontId="23" fillId="23" borderId="36" applyAlignment="1" pivotButton="0" quotePrefix="0" xfId="0">
      <alignment horizontal="right" vertical="center"/>
    </xf>
    <xf numFmtId="168" fontId="24" fillId="23" borderId="36" applyAlignment="1" pivotButton="0" quotePrefix="0" xfId="0">
      <alignment horizontal="right" vertical="center"/>
    </xf>
    <xf numFmtId="165" fontId="52" fillId="23" borderId="36" applyAlignment="1" pivotButton="0" quotePrefix="0" xfId="0">
      <alignment horizontal="right" vertical="center"/>
    </xf>
    <xf numFmtId="0" fontId="23" fillId="23" borderId="37" applyAlignment="1" pivotButton="0" quotePrefix="0" xfId="0">
      <alignment horizontal="center" vertical="center"/>
    </xf>
    <xf numFmtId="0" fontId="52" fillId="9" borderId="32" applyAlignment="1" pivotButton="0" quotePrefix="0" xfId="0">
      <alignment horizontal="left" vertical="center"/>
    </xf>
    <xf numFmtId="4" fontId="23" fillId="9" borderId="33" applyAlignment="1" pivotButton="0" quotePrefix="0" xfId="0">
      <alignment horizontal="center" vertical="center"/>
    </xf>
    <xf numFmtId="0" fontId="52" fillId="23" borderId="32" applyAlignment="1" pivotButton="0" quotePrefix="0" xfId="0">
      <alignment horizontal="left" vertical="center"/>
    </xf>
    <xf numFmtId="4" fontId="23" fillId="23" borderId="33" applyAlignment="1" pivotButton="0" quotePrefix="0" xfId="0">
      <alignment horizontal="center" vertical="center"/>
    </xf>
    <xf numFmtId="0" fontId="52" fillId="23" borderId="35" applyAlignment="1" pivotButton="0" quotePrefix="0" xfId="0">
      <alignment horizontal="left" vertical="center"/>
    </xf>
    <xf numFmtId="4" fontId="23" fillId="23" borderId="36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0" fontId="0" fillId="0" borderId="0" pivotButton="0" quotePrefix="0" xfId="0"/>
    <xf numFmtId="164" fontId="9" fillId="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4" fillId="7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30" fillId="14" borderId="0" applyAlignment="1" pivotButton="0" quotePrefix="0" xfId="0">
      <alignment horizontal="center" vertical="center"/>
    </xf>
    <xf numFmtId="0" fontId="31" fillId="14" borderId="0" applyAlignment="1" pivotButton="0" quotePrefix="0" xfId="0">
      <alignment horizontal="center" vertical="center"/>
    </xf>
    <xf numFmtId="0" fontId="35" fillId="15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0" fontId="29" fillId="14" borderId="0" applyAlignment="1" pivotButton="0" quotePrefix="0" xfId="0">
      <alignment horizontal="center" vertical="center"/>
    </xf>
    <xf numFmtId="171" fontId="30" fillId="14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7" fillId="16" borderId="11" applyAlignment="1" pivotButton="0" quotePrefix="0" xfId="0">
      <alignment horizontal="center" vertical="center"/>
    </xf>
    <xf numFmtId="0" fontId="38" fillId="0" borderId="12" pivotButton="0" quotePrefix="0" xfId="0"/>
    <xf numFmtId="0" fontId="38" fillId="0" borderId="13" pivotButton="0" quotePrefix="0" xfId="0"/>
    <xf numFmtId="0" fontId="38" fillId="0" borderId="14" pivotButton="0" quotePrefix="0" xfId="0"/>
    <xf numFmtId="0" fontId="39" fillId="17" borderId="11" applyAlignment="1" pivotButton="0" quotePrefix="0" xfId="0">
      <alignment horizontal="center" vertical="center"/>
    </xf>
    <xf numFmtId="0" fontId="40" fillId="18" borderId="11" applyAlignment="1" pivotButton="0" quotePrefix="0" xfId="0">
      <alignment horizontal="center" vertical="center"/>
    </xf>
    <xf numFmtId="0" fontId="41" fillId="19" borderId="11" applyAlignment="1" pivotButton="0" quotePrefix="0" xfId="0">
      <alignment horizontal="center" vertical="center"/>
    </xf>
    <xf numFmtId="0" fontId="43" fillId="16" borderId="15" applyAlignment="1" pivotButton="0" quotePrefix="0" xfId="0">
      <alignment horizontal="center" vertical="center"/>
    </xf>
    <xf numFmtId="0" fontId="38" fillId="0" borderId="16" pivotButton="0" quotePrefix="0" xfId="0"/>
    <xf numFmtId="0" fontId="44" fillId="21" borderId="15" applyAlignment="1" pivotButton="0" quotePrefix="0" xfId="0">
      <alignment horizontal="left" vertical="center"/>
    </xf>
    <xf numFmtId="168" fontId="47" fillId="9" borderId="20" applyAlignment="1" pivotButton="0" quotePrefix="0" xfId="0">
      <alignment horizontal="center" vertical="center"/>
    </xf>
    <xf numFmtId="0" fontId="38" fillId="0" borderId="21" pivotButton="0" quotePrefix="0" xfId="0"/>
    <xf numFmtId="0" fontId="38" fillId="0" borderId="22" pivotButton="0" quotePrefix="0" xfId="0"/>
    <xf numFmtId="0" fontId="38" fillId="0" borderId="23" pivotButton="0" quotePrefix="0" xfId="0"/>
    <xf numFmtId="0" fontId="38" fillId="0" borderId="24" pivotButton="0" quotePrefix="0" xfId="0"/>
    <xf numFmtId="0" fontId="38" fillId="0" borderId="25" pivotButton="0" quotePrefix="0" xfId="0"/>
    <xf numFmtId="165" fontId="48" fillId="9" borderId="20" applyAlignment="1" pivotButton="0" quotePrefix="0" xfId="0">
      <alignment horizontal="center" vertical="center"/>
    </xf>
    <xf numFmtId="168" fontId="46" fillId="9" borderId="20" applyAlignment="1" pivotButton="0" quotePrefix="0" xfId="0">
      <alignment horizontal="center" vertical="center"/>
    </xf>
    <xf numFmtId="0" fontId="49" fillId="21" borderId="26" applyAlignment="1" pivotButton="0" quotePrefix="0" xfId="0">
      <alignment horizontal="center" vertical="center"/>
    </xf>
    <xf numFmtId="0" fontId="38" fillId="0" borderId="27" pivotButton="0" quotePrefix="0" xfId="0"/>
    <xf numFmtId="0" fontId="38" fillId="0" borderId="28" pivotButton="0" quotePrefix="0" xfId="0"/>
    <xf numFmtId="0" fontId="50" fillId="2" borderId="29" applyAlignment="1" pivotButton="0" quotePrefix="0" xfId="0">
      <alignment horizontal="center" vertical="center"/>
    </xf>
    <xf numFmtId="0" fontId="38" fillId="0" borderId="30" pivotButton="0" quotePrefix="0" xfId="0"/>
    <xf numFmtId="0" fontId="38" fillId="0" borderId="31" pivotButton="0" quotePrefix="0" xfId="0"/>
    <xf numFmtId="0" fontId="42" fillId="20" borderId="15" applyAlignment="1" pivotButton="0" quotePrefix="0" xfId="0">
      <alignment horizontal="right" vertical="center"/>
    </xf>
    <xf numFmtId="0" fontId="42" fillId="20" borderId="17" applyAlignment="1" pivotButton="0" quotePrefix="0" xfId="0">
      <alignment horizontal="center" vertical="center"/>
    </xf>
    <xf numFmtId="0" fontId="38" fillId="0" borderId="18" pivotButton="0" quotePrefix="0" xfId="0"/>
    <xf numFmtId="0" fontId="38" fillId="0" borderId="19" pivotButton="0" quotePrefix="0" xfId="0"/>
    <xf numFmtId="168" fontId="45" fillId="9" borderId="20" applyAlignment="1" pivotButton="0" quotePrefix="0" xfId="0">
      <alignment horizontal="center" vertical="center"/>
    </xf>
    <xf numFmtId="172" fontId="0" fillId="0" borderId="0" pivotButton="0" quotePrefix="0" xfId="0"/>
    <xf numFmtId="171" fontId="30" fillId="14" borderId="0" applyAlignment="1" pivotButton="0" quotePrefix="0" xfId="0">
      <alignment horizontal="center" vertical="center"/>
    </xf>
    <xf numFmtId="170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right" vertical="center"/>
    </xf>
    <xf numFmtId="171" fontId="35" fillId="15" borderId="0" applyAlignment="1" pivotButton="0" quotePrefix="0" xfId="0">
      <alignment horizontal="right" vertical="center"/>
    </xf>
    <xf numFmtId="0" fontId="37" fillId="16" borderId="38" applyAlignment="1" pivotButton="0" quotePrefix="0" xfId="0">
      <alignment horizontal="center" vertical="center"/>
    </xf>
    <xf numFmtId="0" fontId="0" fillId="0" borderId="12" pivotButton="0" quotePrefix="0" xfId="0"/>
    <xf numFmtId="0" fontId="39" fillId="17" borderId="38" applyAlignment="1" pivotButton="0" quotePrefix="0" xfId="0">
      <alignment horizontal="center" vertical="center"/>
    </xf>
    <xf numFmtId="0" fontId="40" fillId="18" borderId="38" applyAlignment="1" pivotButton="0" quotePrefix="0" xfId="0">
      <alignment horizontal="center" vertical="center"/>
    </xf>
    <xf numFmtId="0" fontId="41" fillId="19" borderId="3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2" fillId="20" borderId="38" applyAlignment="1" pivotButton="0" quotePrefix="0" xfId="0">
      <alignment horizontal="right" vertical="center"/>
    </xf>
    <xf numFmtId="0" fontId="0" fillId="0" borderId="16" pivotButton="0" quotePrefix="0" xfId="0"/>
    <xf numFmtId="0" fontId="43" fillId="16" borderId="38" applyAlignment="1" pivotButton="0" quotePrefix="0" xfId="0">
      <alignment horizontal="center" vertical="center"/>
    </xf>
    <xf numFmtId="0" fontId="44" fillId="21" borderId="38" applyAlignment="1" pivotButton="0" quotePrefix="0" xfId="0">
      <alignment horizontal="left" vertical="center"/>
    </xf>
    <xf numFmtId="0" fontId="42" fillId="20" borderId="4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168" fontId="45" fillId="9" borderId="45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8" fontId="46" fillId="9" borderId="45" applyAlignment="1" pivotButton="0" quotePrefix="0" xfId="0">
      <alignment horizontal="center" vertical="center"/>
    </xf>
    <xf numFmtId="168" fontId="47" fillId="9" borderId="45" applyAlignment="1" pivotButton="0" quotePrefix="0" xfId="0">
      <alignment horizontal="center" vertical="center"/>
    </xf>
    <xf numFmtId="165" fontId="48" fillId="9" borderId="45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49" fillId="21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0" fillId="2" borderId="4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</cellXfs>
  <cellStyles count="1">
    <cellStyle name="Normal" xfId="0" builtinId="0"/>
  </cellStyles>
  <dxfs count="5">
    <dxf>
      <font>
        <b val="1"/>
        <color rgb="FF156434"/>
      </font>
      <fill>
        <patternFill patternType="solid">
          <fgColor rgb="FFDCFBE7"/>
          <bgColor rgb="FFDCFBE7"/>
        </patternFill>
      </fill>
    </dxf>
    <dxf>
      <font>
        <b val="1"/>
        <color rgb="FF991B1B"/>
      </font>
      <fill>
        <patternFill patternType="solid">
          <fgColor rgb="FFFDE1E1"/>
          <bgColor rgb="FFFDE1E1"/>
        </patternFill>
      </fill>
    </dxf>
    <dxf>
      <font>
        <b val="1"/>
        <color rgb="FF1E40AE"/>
      </font>
      <fill>
        <patternFill patternType="solid">
          <fgColor rgb="FFDBEAFD"/>
          <bgColor rgb="FFDBEAFD"/>
        </patternFill>
      </fill>
    </dxf>
    <dxf>
      <font>
        <b val="1"/>
        <color rgb="FF92400E"/>
      </font>
      <fill>
        <patternFill patternType="solid">
          <fgColor rgb="FFFDF3C6"/>
          <bgColor rgb="FFFDF3C6"/>
        </patternFill>
      </fill>
    </dxf>
    <dxf>
      <font>
        <b val="1"/>
        <color rgb="FF991B1B"/>
      </font>
      <fill>
        <patternFill patternType="solid">
          <fgColor rgb="FFFDE1E1"/>
          <bgColor rgb="FFFDE1E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O28"/>
  <sheetViews>
    <sheetView workbookViewId="0">
      <selection activeCell="A1" sqref="A1"/>
    </sheetView>
  </sheetViews>
  <sheetFormatPr baseColWidth="8" defaultColWidth="12.6328125" defaultRowHeight="15.75" customHeight="1"/>
  <cols>
    <col width="3.90625" customWidth="1" style="85" min="1" max="1"/>
    <col width="23.26953125" customWidth="1" style="85" min="2" max="2"/>
    <col width="11.36328125" customWidth="1" style="85" min="3" max="3"/>
    <col width="12.6328125" customWidth="1" style="85" min="4" max="4"/>
    <col width="15.7265625" customWidth="1" style="85" min="5" max="5"/>
    <col width="13.26953125" customWidth="1" style="85" min="6" max="6"/>
    <col width="10.7265625" customWidth="1" style="85" min="7" max="7"/>
    <col width="3.26953125" customWidth="1" style="85" min="8" max="8"/>
    <col width="20.7265625" customWidth="1" style="85" min="9" max="9"/>
    <col width="11.36328125" customWidth="1" style="85" min="10" max="11"/>
    <col width="12" customWidth="1" style="85" min="12" max="12"/>
    <col width="15.7265625" customWidth="1" style="85" min="13" max="13"/>
    <col width="20.7265625" customWidth="1" style="85" min="14" max="14"/>
    <col width="11.36328125" customWidth="1" style="85" min="15" max="15"/>
  </cols>
  <sheetData>
    <row r="1" ht="30" customHeight="1" s="85">
      <c r="B1" s="92" t="inlineStr">
        <is>
          <t>🏢 CLOUD-BASED BILLING, INVENTORY &amp; ACCOUNTING ERP SUITE • EXECUTIVE DASHBOARD</t>
        </is>
      </c>
    </row>
    <row r="2" ht="12.5" customHeight="1" s="85">
      <c r="B2" s="93" t="inlineStr">
        <is>
          <t>TOTAL INVENTORY VALUE</t>
        </is>
      </c>
      <c r="E2" s="94" t="inlineStr">
        <is>
          <t>LOW STOCK &amp; ZERO STOCK ALERTS</t>
        </is>
      </c>
      <c r="H2" s="95" t="inlineStr">
        <is>
          <t>ACCOUNTS RECEIVABLE (TO COLLECT)</t>
        </is>
      </c>
      <c r="L2" s="96" t="inlineStr">
        <is>
          <t>ACCOUNTS PAYABLE (TO PAY)</t>
        </is>
      </c>
    </row>
    <row r="3" ht="12.5" customHeight="1" s="85">
      <c r="B3" s="97">
        <f>SUM(Inventory_Master!P2:P100)</f>
        <v/>
      </c>
      <c r="E3" s="98">
        <f>COUNTIF(Inventory_Master!Q2:Q100, "Low Stock") + COUNTIF(Inventory_Master!Q2:Q100, "Out of Stock")</f>
        <v/>
      </c>
      <c r="H3" s="84">
        <f>IFERROR(__xludf.DUMMYFUNCTION("IFERROR(SUMPRODUCT((Parties_Directory!C2:C100=""Customer"") * IFERROR(REGEXREPLACE(Parties_Directory!D2:D100&amp;"""", ""[^0-9.-]"", """")+0, 0)), 0)"),132370.169999999)</f>
        <v/>
      </c>
      <c r="L3" s="86">
        <f>IFERROR(__xludf.DUMMYFUNCTION("IFERROR(SUMPRODUCT((Parties_Directory!C2:C100=""Supplier"") * IFERROR(REGEXREPLACE(Parties_Directory!D2:D100&amp;"""", ""[^0-9.-]"", """")+0, 0)), 0)"),62531.59)</f>
        <v/>
      </c>
    </row>
    <row r="4" ht="15.75" customHeight="1" s="85"/>
    <row r="5" ht="12.5" customHeight="1" s="85">
      <c r="B5" s="87">
        <f>COUNTA(Inventory_Master!A2:A100)&amp;" Total Catalog Products"</f>
        <v/>
      </c>
      <c r="E5" s="88">
        <f>"Critical: "&amp;COUNTIF(Inventory_Master!Q2:Q100, "Out of Stock")&amp;" Zero Stock Items"</f>
        <v/>
      </c>
      <c r="H5" s="89">
        <f>IFERROR(__xludf.DUMMYFUNCTION("SUMPRODUCT((Parties_Directory!C2:C100=""Customer"") * (IFERROR(REGEXREPLACE(Parties_Directory!D2:D100&amp;"""", ""[^0-9.-]"", """")+0, 0) &gt; 0)) &amp; "" Customers with Pending Balance"""),"7 Customers with Pending Balance")</f>
        <v/>
      </c>
      <c r="L5" s="90">
        <f>IFERROR(__xludf.DUMMYFUNCTION("SUMPRODUCT((Parties_Directory!C2:C100=""Supplier"") * (IFERROR(REGEXREPLACE(Parties_Directory!D2:D100&amp;"""", ""[^0-9.-]"", """")+0, 0) &gt; 0)) &amp; "" Suppliers with Pending Balance"""),"2 Suppliers with Pending Balance")</f>
        <v/>
      </c>
    </row>
    <row r="7" ht="13" customHeight="1" s="85">
      <c r="B7" s="91" t="inlineStr">
        <is>
          <t>📦 INVENTORY CATEGORY ANALYSIS &amp; ASSET ALLOCATION</t>
        </is>
      </c>
      <c r="I7" s="91" t="inlineStr">
        <is>
          <t>⚠️ STOCK HEALTH &amp; RESTOCK PRIORITY MONITOR</t>
        </is>
      </c>
    </row>
    <row r="8" ht="12.5" customHeight="1" s="85">
      <c r="B8" s="1" t="inlineStr">
        <is>
          <t>Category Name</t>
        </is>
      </c>
      <c r="C8" s="2" t="inlineStr">
        <is>
          <t>Items Count</t>
        </is>
      </c>
      <c r="D8" s="2" t="inlineStr">
        <is>
          <t>Units on Hand</t>
        </is>
      </c>
      <c r="E8" s="2" t="inlineStr">
        <is>
          <t>Stock Value (₹)</t>
        </is>
      </c>
      <c r="F8" s="2" t="inlineStr">
        <is>
          <t>Avg Unit Cost</t>
        </is>
      </c>
      <c r="G8" s="3" t="inlineStr">
        <is>
          <t>Share %</t>
        </is>
      </c>
      <c r="I8" s="4" t="inlineStr">
        <is>
          <t>Stock Condition</t>
        </is>
      </c>
      <c r="J8" s="5" t="inlineStr">
        <is>
          <t>Items Count</t>
        </is>
      </c>
      <c r="K8" s="5" t="inlineStr">
        <is>
          <t>Catalog Share</t>
        </is>
      </c>
      <c r="L8" s="5" t="inlineStr">
        <is>
          <t>Units Total</t>
        </is>
      </c>
      <c r="M8" s="5" t="inlineStr">
        <is>
          <t>Valuation (₹)</t>
        </is>
      </c>
      <c r="N8" s="4" t="inlineStr">
        <is>
          <t>Recommended Action</t>
        </is>
      </c>
      <c r="O8" s="6" t="inlineStr">
        <is>
          <t>Alert Level</t>
        </is>
      </c>
    </row>
    <row r="9" ht="12.5" customHeight="1" s="85">
      <c r="B9" s="7" t="inlineStr">
        <is>
          <t>Electronics</t>
        </is>
      </c>
      <c r="C9" s="8">
        <f>COUNTIF(Inventory_Master!$C$2:$C100, B9)</f>
        <v/>
      </c>
      <c r="D9" s="8">
        <f>SUMIF(Inventory_Master!$C$2:$C100, B9, Inventory_Master!$L$2:$L100)</f>
        <v/>
      </c>
      <c r="E9" s="9">
        <f>SUMIF(Inventory_Master!$C$2:$C100, B9, Inventory_Master!$P$2:$P100)</f>
        <v/>
      </c>
      <c r="F9" s="9">
        <f>IFERROR(E9/D9, 0)</f>
        <v/>
      </c>
      <c r="G9" s="10">
        <f>IFERROR(E9/$E$28, 0)</f>
        <v/>
      </c>
      <c r="I9" s="11" t="inlineStr">
        <is>
          <t>In Stock (Healthy)</t>
        </is>
      </c>
      <c r="J9" s="12">
        <f>COUNTIF(Inventory_Master!$Q$2:$Q100, "In Stock")</f>
        <v/>
      </c>
      <c r="K9" s="13">
        <f>IFERROR(J9/$J$12, 0)</f>
        <v/>
      </c>
      <c r="L9" s="12">
        <f>SUMIF(Inventory_Master!$Q$2:$Q100, "In Stock", Inventory_Master!$L$2:$L100)</f>
        <v/>
      </c>
      <c r="M9" s="14">
        <f>SUMIF(Inventory_Master!$Q$2:$Q100, "In Stock", Inventory_Master!$P$2:$P100)</f>
        <v/>
      </c>
      <c r="N9" s="11" t="inlineStr">
        <is>
          <t>Sufficient Inventory</t>
        </is>
      </c>
      <c r="O9" s="15" t="inlineStr">
        <is>
          <t>Normal</t>
        </is>
      </c>
    </row>
    <row r="10" ht="12.5" customHeight="1" s="85">
      <c r="B10" s="7" t="inlineStr">
        <is>
          <t>Kerala Clothing</t>
        </is>
      </c>
      <c r="C10" s="8">
        <f>COUNTIF(Inventory_Master!$C$2:$C100, B10)</f>
        <v/>
      </c>
      <c r="D10" s="8">
        <f>SUMIF(Inventory_Master!$C$2:$C100, B10, Inventory_Master!$L$2:$L100)</f>
        <v/>
      </c>
      <c r="E10" s="9">
        <f>SUMIF(Inventory_Master!$C$2:$C100, B10, Inventory_Master!$P$2:$P100)</f>
        <v/>
      </c>
      <c r="F10" s="9">
        <f>IFERROR(E10/D10, 0)</f>
        <v/>
      </c>
      <c r="G10" s="10">
        <f>IFERROR(E10/$E$28, 0)</f>
        <v/>
      </c>
      <c r="I10" s="11" t="inlineStr">
        <is>
          <t>Low Stock (Reorder)</t>
        </is>
      </c>
      <c r="J10" s="12">
        <f>COUNTIF(Inventory_Master!$Q$2:$Q100, "Low Stock")</f>
        <v/>
      </c>
      <c r="K10" s="13">
        <f>IFERROR(J10/$J$12, 0)</f>
        <v/>
      </c>
      <c r="L10" s="12">
        <f>SUMIF(Inventory_Master!$Q$2:$Q100, "Low Stock", Inventory_Master!$L$2:$L100)</f>
        <v/>
      </c>
      <c r="M10" s="14">
        <f>SUMIF(Inventory_Master!$Q$2:$Q100, "Low Stock", Inventory_Master!$P$2:$P100)</f>
        <v/>
      </c>
      <c r="N10" s="11" t="inlineStr">
        <is>
          <t>Create Restock PO</t>
        </is>
      </c>
      <c r="O10" s="15" t="inlineStr">
        <is>
          <t>Warning</t>
        </is>
      </c>
    </row>
    <row r="11" ht="12.5" customHeight="1" s="85">
      <c r="B11" s="7" t="inlineStr">
        <is>
          <t>Kitchen Utensils</t>
        </is>
      </c>
      <c r="C11" s="8">
        <f>COUNTIF(Inventory_Master!$C$2:$C100, B11)</f>
        <v/>
      </c>
      <c r="D11" s="8">
        <f>SUMIF(Inventory_Master!$C$2:$C100, B11, Inventory_Master!$L$2:$L100)</f>
        <v/>
      </c>
      <c r="E11" s="9">
        <f>SUMIF(Inventory_Master!$C$2:$C100, B11, Inventory_Master!$P$2:$P100)</f>
        <v/>
      </c>
      <c r="F11" s="9">
        <f>IFERROR(E11/D11, 0)</f>
        <v/>
      </c>
      <c r="G11" s="10">
        <f>IFERROR(E11/$E$28, 0)</f>
        <v/>
      </c>
      <c r="I11" s="11" t="inlineStr">
        <is>
          <t>Out of Stock (Zero)</t>
        </is>
      </c>
      <c r="J11" s="12">
        <f>COUNTIF(Inventory_Master!$Q$2:$Q100, "Out of Stock")</f>
        <v/>
      </c>
      <c r="K11" s="13">
        <f>IFERROR(J11/$J$12, 0)</f>
        <v/>
      </c>
      <c r="L11" s="12" t="n">
        <v>0</v>
      </c>
      <c r="M11" s="14" t="n">
        <v>0</v>
      </c>
      <c r="N11" s="11" t="inlineStr">
        <is>
          <t>Immediate Restock</t>
        </is>
      </c>
      <c r="O11" s="15" t="inlineStr">
        <is>
          <t>Critical</t>
        </is>
      </c>
    </row>
    <row r="12" ht="13" customHeight="1" s="85">
      <c r="B12" s="7" t="inlineStr">
        <is>
          <t>Masalas &amp; Spices</t>
        </is>
      </c>
      <c r="C12" s="8">
        <f>COUNTIF(Inventory_Master!$C$2:$C100, B12)</f>
        <v/>
      </c>
      <c r="D12" s="8">
        <f>SUMIF(Inventory_Master!$C$2:$C100, B12, Inventory_Master!$L$2:$L100)</f>
        <v/>
      </c>
      <c r="E12" s="9">
        <f>SUMIF(Inventory_Master!$C$2:$C100, B12, Inventory_Master!$P$2:$P100)</f>
        <v/>
      </c>
      <c r="F12" s="9">
        <f>IFERROR(E12/D12, 0)</f>
        <v/>
      </c>
      <c r="G12" s="10">
        <f>IFERROR(E12/$E$28, 0)</f>
        <v/>
      </c>
      <c r="I12" s="16" t="inlineStr">
        <is>
          <t>All Status Total</t>
        </is>
      </c>
      <c r="J12" s="17">
        <f>SUM(J9:J11)</f>
        <v/>
      </c>
      <c r="K12" s="18">
        <f>SUM(K9:K11)</f>
        <v/>
      </c>
      <c r="L12" s="17">
        <f>SUM(L9:L11)</f>
        <v/>
      </c>
      <c r="M12" s="19">
        <f>SUM(M9:M11)</f>
        <v/>
      </c>
      <c r="N12" s="16" t="inlineStr">
        <is>
          <t>System Monitored</t>
        </is>
      </c>
      <c r="O12" s="20" t="inlineStr">
        <is>
          <t>100%</t>
        </is>
      </c>
    </row>
    <row r="13" ht="12.5" customHeight="1" s="85">
      <c r="B13" s="7" t="inlineStr">
        <is>
          <t>Pickles</t>
        </is>
      </c>
      <c r="C13" s="8">
        <f>COUNTIF(Inventory_Master!$C$2:$C100, B13)</f>
        <v/>
      </c>
      <c r="D13" s="8">
        <f>SUMIF(Inventory_Master!$C$2:$C100, B13, Inventory_Master!$L$2:$L100)</f>
        <v/>
      </c>
      <c r="E13" s="9">
        <f>SUMIF(Inventory_Master!$C$2:$C100, B13, Inventory_Master!$P$2:$P100)</f>
        <v/>
      </c>
      <c r="F13" s="9">
        <f>IFERROR(E13/D13, 0)</f>
        <v/>
      </c>
      <c r="G13" s="10">
        <f>IFERROR(E13/$E$28, 0)</f>
        <v/>
      </c>
    </row>
    <row r="14" ht="12.5" customHeight="1" s="85">
      <c r="B14" s="7" t="inlineStr">
        <is>
          <t>Snacks</t>
        </is>
      </c>
      <c r="C14" s="8">
        <f>COUNTIF(Inventory_Master!$C$2:$C100, B14)</f>
        <v/>
      </c>
      <c r="D14" s="8">
        <f>SUMIF(Inventory_Master!$C$2:$C100, B14, Inventory_Master!$L$2:$L100)</f>
        <v/>
      </c>
      <c r="E14" s="9">
        <f>SUMIF(Inventory_Master!$C$2:$C100, B14, Inventory_Master!$P$2:$P100)</f>
        <v/>
      </c>
      <c r="F14" s="9">
        <f>IFERROR(E14/D14, 0)</f>
        <v/>
      </c>
      <c r="G14" s="10">
        <f>IFERROR(E14/$E$28, 0)</f>
        <v/>
      </c>
    </row>
    <row r="15" ht="12.5" customHeight="1" s="85">
      <c r="B15" s="7" t="inlineStr">
        <is>
          <t>Raw Items &amp; Produce</t>
        </is>
      </c>
      <c r="C15" s="8">
        <f>COUNTIF(Inventory_Master!$C$2:$C100, B15)</f>
        <v/>
      </c>
      <c r="D15" s="8">
        <f>SUMIF(Inventory_Master!$C$2:$C100, B15, Inventory_Master!$L$2:$L100)</f>
        <v/>
      </c>
      <c r="E15" s="9">
        <f>SUMIF(Inventory_Master!$C$2:$C100, B15, Inventory_Master!$P$2:$P100)</f>
        <v/>
      </c>
      <c r="F15" s="9">
        <f>IFERROR(E15/D15, 0)</f>
        <v/>
      </c>
      <c r="G15" s="10">
        <f>IFERROR(E15/$E$28, 0)</f>
        <v/>
      </c>
    </row>
    <row r="16" ht="12.5" customHeight="1" s="85">
      <c r="B16" s="7" t="inlineStr">
        <is>
          <t>Books &amp; Bibles</t>
        </is>
      </c>
      <c r="C16" s="8">
        <f>COUNTIF(Inventory_Master!$C$2:$C100, B16)</f>
        <v/>
      </c>
      <c r="D16" s="8">
        <f>SUMIF(Inventory_Master!$C$2:$C100, B16, Inventory_Master!$L$2:$L100)</f>
        <v/>
      </c>
      <c r="E16" s="9">
        <f>SUMIF(Inventory_Master!$C$2:$C100, B16, Inventory_Master!$P$2:$P100)</f>
        <v/>
      </c>
      <c r="F16" s="9">
        <f>IFERROR(E16/D16, 0)</f>
        <v/>
      </c>
      <c r="G16" s="10">
        <f>IFERROR(E16/$E$28, 0)</f>
        <v/>
      </c>
    </row>
    <row r="17" ht="12.5" customHeight="1" s="85">
      <c r="B17" s="7" t="inlineStr">
        <is>
          <t>Healthcare Items</t>
        </is>
      </c>
      <c r="C17" s="8">
        <f>COUNTIF(Inventory_Master!$C$2:$C100, B17)</f>
        <v/>
      </c>
      <c r="D17" s="8">
        <f>SUMIF(Inventory_Master!$C$2:$C100, B17, Inventory_Master!$L$2:$L100)</f>
        <v/>
      </c>
      <c r="E17" s="9">
        <f>SUMIF(Inventory_Master!$C$2:$C100, B17, Inventory_Master!$P$2:$P100)</f>
        <v/>
      </c>
      <c r="F17" s="9">
        <f>IFERROR(E17/D17, 0)</f>
        <v/>
      </c>
      <c r="G17" s="10">
        <f>IFERROR(E17/$E$28, 0)</f>
        <v/>
      </c>
    </row>
    <row r="18" ht="12.5" customHeight="1" s="85">
      <c r="B18" s="7" t="inlineStr">
        <is>
          <t>Grains &amp; Flours</t>
        </is>
      </c>
      <c r="C18" s="8">
        <f>COUNTIF(Inventory_Master!$C$2:$C100, B18)</f>
        <v/>
      </c>
      <c r="D18" s="8">
        <f>SUMIF(Inventory_Master!$C$2:$C100, B18, Inventory_Master!$L$2:$L100)</f>
        <v/>
      </c>
      <c r="E18" s="9">
        <f>SUMIF(Inventory_Master!$C$2:$C100, B18, Inventory_Master!$P$2:$P100)</f>
        <v/>
      </c>
      <c r="F18" s="9">
        <f>IFERROR(E18/D18, 0)</f>
        <v/>
      </c>
      <c r="G18" s="10">
        <f>IFERROR(E18/$E$28, 0)</f>
        <v/>
      </c>
    </row>
    <row r="19" ht="12.5" customHeight="1" s="85">
      <c r="B19" s="7" t="inlineStr">
        <is>
          <t>Rice Items</t>
        </is>
      </c>
      <c r="C19" s="8">
        <f>COUNTIF(Inventory_Master!$C$2:$C100, B19)</f>
        <v/>
      </c>
      <c r="D19" s="8">
        <f>SUMIF(Inventory_Master!$C$2:$C100, B19, Inventory_Master!$L$2:$L100)</f>
        <v/>
      </c>
      <c r="E19" s="9">
        <f>SUMIF(Inventory_Master!$C$2:$C100, B19, Inventory_Master!$P$2:$P100)</f>
        <v/>
      </c>
      <c r="F19" s="9">
        <f>IFERROR(E19/D19, 0)</f>
        <v/>
      </c>
      <c r="G19" s="10">
        <f>IFERROR(E19/$E$28, 0)</f>
        <v/>
      </c>
    </row>
    <row r="20" ht="12.5" customHeight="1" s="85">
      <c r="B20" s="7" t="inlineStr">
        <is>
          <t>Edible Oils &amp; Ghee</t>
        </is>
      </c>
      <c r="C20" s="8">
        <f>COUNTIF(Inventory_Master!$C$2:$C100, B20)</f>
        <v/>
      </c>
      <c r="D20" s="8">
        <f>SUMIF(Inventory_Master!$C$2:$C100, B20, Inventory_Master!$L$2:$L100)</f>
        <v/>
      </c>
      <c r="E20" s="9">
        <f>SUMIF(Inventory_Master!$C$2:$C100, B20, Inventory_Master!$P$2:$P100)</f>
        <v/>
      </c>
      <c r="F20" s="9">
        <f>IFERROR(E20/D20, 0)</f>
        <v/>
      </c>
      <c r="G20" s="10">
        <f>IFERROR(E20/$E$28, 0)</f>
        <v/>
      </c>
    </row>
    <row r="21" ht="12.5" customHeight="1" s="85">
      <c r="B21" s="7" t="inlineStr">
        <is>
          <t>Fish &amp; Meat</t>
        </is>
      </c>
      <c r="C21" s="8">
        <f>COUNTIF(Inventory_Master!$C$2:$C100, B21)</f>
        <v/>
      </c>
      <c r="D21" s="8">
        <f>SUMIF(Inventory_Master!$C$2:$C100, B21, Inventory_Master!$L$2:$L100)</f>
        <v/>
      </c>
      <c r="E21" s="9">
        <f>SUMIF(Inventory_Master!$C$2:$C100, B21, Inventory_Master!$P$2:$P100)</f>
        <v/>
      </c>
      <c r="F21" s="9">
        <f>IFERROR(E21/D21, 0)</f>
        <v/>
      </c>
      <c r="G21" s="10">
        <f>IFERROR(E21/$E$28, 0)</f>
        <v/>
      </c>
    </row>
    <row r="22" ht="12.5" customHeight="1" s="85">
      <c r="B22" s="7" t="inlineStr">
        <is>
          <t>Ready to Eat &amp; Mixes</t>
        </is>
      </c>
      <c r="C22" s="8">
        <f>COUNTIF(Inventory_Master!$C$2:$C100, B22)</f>
        <v/>
      </c>
      <c r="D22" s="8">
        <f>SUMIF(Inventory_Master!$C$2:$C100, B22, Inventory_Master!$L$2:$L100)</f>
        <v/>
      </c>
      <c r="E22" s="9">
        <f>SUMIF(Inventory_Master!$C$2:$C100, B22, Inventory_Master!$P$2:$P100)</f>
        <v/>
      </c>
      <c r="F22" s="9">
        <f>IFERROR(E22/D22, 0)</f>
        <v/>
      </c>
      <c r="G22" s="10">
        <f>IFERROR(E22/$E$28, 0)</f>
        <v/>
      </c>
    </row>
    <row r="23" ht="12.5" customHeight="1" s="85">
      <c r="B23" s="7" t="inlineStr">
        <is>
          <t>Beverages</t>
        </is>
      </c>
      <c r="C23" s="8">
        <f>COUNTIF(Inventory_Master!$C$2:$C100, B23)</f>
        <v/>
      </c>
      <c r="D23" s="8">
        <f>SUMIF(Inventory_Master!$C$2:$C100, B23, Inventory_Master!$L$2:$L100)</f>
        <v/>
      </c>
      <c r="E23" s="9">
        <f>SUMIF(Inventory_Master!$C$2:$C100, B23, Inventory_Master!$P$2:$P100)</f>
        <v/>
      </c>
      <c r="F23" s="9">
        <f>IFERROR(E23/D23, 0)</f>
        <v/>
      </c>
      <c r="G23" s="10">
        <f>IFERROR(E23/$E$28, 0)</f>
        <v/>
      </c>
    </row>
    <row r="24" ht="12.5" customHeight="1" s="85">
      <c r="B24" s="7" t="inlineStr">
        <is>
          <t>Church Articles</t>
        </is>
      </c>
      <c r="C24" s="8">
        <f>COUNTIF(Inventory_Master!$C$2:$C100, B24)</f>
        <v/>
      </c>
      <c r="D24" s="8">
        <f>SUMIF(Inventory_Master!$C$2:$C100, B24, Inventory_Master!$L$2:$L100)</f>
        <v/>
      </c>
      <c r="E24" s="9">
        <f>SUMIF(Inventory_Master!$C$2:$C100, B24, Inventory_Master!$P$2:$P100)</f>
        <v/>
      </c>
      <c r="F24" s="9">
        <f>IFERROR(E24/D24, 0)</f>
        <v/>
      </c>
      <c r="G24" s="10">
        <f>IFERROR(E24/$E$28, 0)</f>
        <v/>
      </c>
    </row>
    <row r="25" ht="12.5" customHeight="1" s="85">
      <c r="B25" s="7" t="inlineStr">
        <is>
          <t>Stationery</t>
        </is>
      </c>
      <c r="C25" s="8">
        <f>COUNTIF(Inventory_Master!$C$2:$C100, B25)</f>
        <v/>
      </c>
      <c r="D25" s="8">
        <f>SUMIF(Inventory_Master!$C$2:$C100, B25, Inventory_Master!$L$2:$L100)</f>
        <v/>
      </c>
      <c r="E25" s="9">
        <f>SUMIF(Inventory_Master!$C$2:$C100, B25, Inventory_Master!$P$2:$P100)</f>
        <v/>
      </c>
      <c r="F25" s="9">
        <f>IFERROR(E25/D25, 0)</f>
        <v/>
      </c>
      <c r="G25" s="10">
        <f>IFERROR(E25/$E$28, 0)</f>
        <v/>
      </c>
    </row>
    <row r="26" ht="12.5" customHeight="1" s="85">
      <c r="B26" s="7" t="inlineStr">
        <is>
          <t>Fixed Assets</t>
        </is>
      </c>
      <c r="C26" s="8">
        <f>COUNTIF(Inventory_Master!$C$2:$C100, B26)</f>
        <v/>
      </c>
      <c r="D26" s="8">
        <f>SUMIF(Inventory_Master!$C$2:$C100, B26, Inventory_Master!$L$2:$L100)</f>
        <v/>
      </c>
      <c r="E26" s="9">
        <f>SUMIF(Inventory_Master!$C$2:$C100, B26, Inventory_Master!$P$2:$P100)</f>
        <v/>
      </c>
      <c r="F26" s="9">
        <f>IFERROR(E26/D26, 0)</f>
        <v/>
      </c>
      <c r="G26" s="10">
        <f>IFERROR(E26/$E$28, 0)</f>
        <v/>
      </c>
    </row>
    <row r="27" ht="12.5" customHeight="1" s="85">
      <c r="B27" s="7" t="inlineStr">
        <is>
          <t>Household &amp; Cleaning</t>
        </is>
      </c>
      <c r="C27" s="8">
        <f>COUNTIF(Inventory_Master!$C$2:$C100, B27)</f>
        <v/>
      </c>
      <c r="D27" s="8">
        <f>SUMIF(Inventory_Master!$C$2:$C100, B27, Inventory_Master!$L$2:$L100)</f>
        <v/>
      </c>
      <c r="E27" s="9">
        <f>SUMIF(Inventory_Master!$C$2:$C100, B27, Inventory_Master!$P$2:$P100)</f>
        <v/>
      </c>
      <c r="F27" s="9">
        <f>IFERROR(E27/D27, 0)</f>
        <v/>
      </c>
      <c r="G27" s="10">
        <f>IFERROR(E27/$E$28, 0)</f>
        <v/>
      </c>
    </row>
    <row r="28" ht="13" customHeight="1" s="85">
      <c r="B28" s="21" t="inlineStr">
        <is>
          <t>Total Inventory</t>
        </is>
      </c>
      <c r="C28" s="22">
        <f>SUM(C9:C27)</f>
        <v/>
      </c>
      <c r="D28" s="22">
        <f>SUM(D9:D27)</f>
        <v/>
      </c>
      <c r="E28" s="23">
        <f>SUM(E9:E27)</f>
        <v/>
      </c>
      <c r="F28" s="23">
        <f>IFERROR(E28/D28, 0)</f>
        <v/>
      </c>
      <c r="G28" s="24">
        <f>SUM(G9:G27)</f>
        <v/>
      </c>
    </row>
  </sheetData>
  <mergeCells count="15">
    <mergeCell ref="L5:O5"/>
    <mergeCell ref="B1:O1"/>
    <mergeCell ref="E2:G2"/>
    <mergeCell ref="B5:D5"/>
    <mergeCell ref="E5:G5"/>
    <mergeCell ref="H3:K4"/>
    <mergeCell ref="L3:O4"/>
    <mergeCell ref="H2:K2"/>
    <mergeCell ref="B2:D2"/>
    <mergeCell ref="L2:O2"/>
    <mergeCell ref="I7:O7"/>
    <mergeCell ref="B3:D4"/>
    <mergeCell ref="E3:G4"/>
    <mergeCell ref="B7:G7"/>
    <mergeCell ref="H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23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12.6328125" defaultRowHeight="15.75" customHeight="1"/>
  <cols>
    <col width="51.08984375" customWidth="1" style="85" min="1" max="1"/>
  </cols>
  <sheetData>
    <row r="1">
      <c r="A1" s="25" t="inlineStr">
        <is>
          <t>Item Name*
 (mandatory field)</t>
        </is>
      </c>
      <c r="B1" s="25" t="inlineStr">
        <is>
          <t>Description</t>
        </is>
      </c>
      <c r="C1" s="25" t="inlineStr">
        <is>
          <t>Category</t>
        </is>
      </c>
      <c r="D1" s="25" t="inlineStr">
        <is>
          <t>Item code</t>
        </is>
      </c>
      <c r="E1" s="25" t="inlineStr">
        <is>
          <t>HSN Code</t>
        </is>
      </c>
      <c r="F1" s="25" t="inlineStr">
        <is>
          <t>GST Tax Rate(%)</t>
        </is>
      </c>
      <c r="G1" s="25" t="inlineStr">
        <is>
          <t>Sales Price</t>
        </is>
      </c>
      <c r="H1" s="25" t="inlineStr">
        <is>
          <t>Sales Tax inclusive</t>
        </is>
      </c>
      <c r="I1" s="25" t="inlineStr">
        <is>
          <t>Purchase Price</t>
        </is>
      </c>
      <c r="J1" s="25" t="inlineStr">
        <is>
          <t>Purchase Tax inclusive</t>
        </is>
      </c>
      <c r="K1" s="25" t="inlineStr">
        <is>
          <t>MRP</t>
        </is>
      </c>
      <c r="L1" s="25" t="inlineStr">
        <is>
          <t>Current stock</t>
        </is>
      </c>
      <c r="M1" s="25" t="inlineStr">
        <is>
          <t>Low stock alert quantity</t>
        </is>
      </c>
      <c r="N1" s="25" t="inlineStr">
        <is>
          <t>Visible on Online Store?</t>
        </is>
      </c>
      <c r="O1" s="25" t="inlineStr">
        <is>
          <t>Discount</t>
        </is>
      </c>
      <c r="P1" s="26" t="inlineStr">
        <is>
          <t>Stock Valuation</t>
        </is>
      </c>
      <c r="Q1" s="26" t="inlineStr">
        <is>
          <t>Stock Status Alert</t>
        </is>
      </c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15.75" customHeight="1" s="85">
      <c r="A2" s="27" t="inlineStr">
        <is>
          <t>120W TYPE C CABLE</t>
        </is>
      </c>
      <c r="B2" s="27" t="n"/>
      <c r="C2" s="27" t="inlineStr">
        <is>
          <t>Electronics</t>
        </is>
      </c>
      <c r="D2" s="28" t="inlineStr">
        <is>
          <t>514182562487</t>
        </is>
      </c>
      <c r="E2" s="27" t="n"/>
      <c r="F2" s="29" t="n">
        <v>0</v>
      </c>
      <c r="G2" s="29" t="n">
        <v>60</v>
      </c>
      <c r="H2" s="27" t="inlineStr">
        <is>
          <t>Exclusive</t>
        </is>
      </c>
      <c r="I2" s="29" t="n">
        <v>30</v>
      </c>
      <c r="J2" s="27" t="inlineStr">
        <is>
          <t>Exclusive</t>
        </is>
      </c>
      <c r="K2" s="29" t="n">
        <v>90</v>
      </c>
      <c r="L2" s="29" t="n">
        <v>14</v>
      </c>
      <c r="M2" s="27" t="n"/>
      <c r="N2" s="27" t="inlineStr">
        <is>
          <t>Yes</t>
        </is>
      </c>
      <c r="O2" s="29" t="n">
        <v>0</v>
      </c>
      <c r="P2" s="30" t="n">
        <v>420</v>
      </c>
      <c r="Q2" s="31" t="inlineStr">
        <is>
          <t>In Stock</t>
        </is>
      </c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15.75" customHeight="1" s="85">
      <c r="A3" s="27" t="inlineStr">
        <is>
          <t>128 GB MEMORY CARD</t>
        </is>
      </c>
      <c r="B3" s="27" t="n"/>
      <c r="C3" s="27" t="inlineStr">
        <is>
          <t>Electronics</t>
        </is>
      </c>
      <c r="D3" s="32" t="inlineStr">
        <is>
          <t>100001</t>
        </is>
      </c>
      <c r="E3" s="27" t="n"/>
      <c r="F3" s="29" t="n">
        <v>0</v>
      </c>
      <c r="G3" s="29" t="n">
        <v>640</v>
      </c>
      <c r="H3" s="27" t="inlineStr">
        <is>
          <t>Inclusive</t>
        </is>
      </c>
      <c r="I3" s="29" t="n">
        <v>250</v>
      </c>
      <c r="J3" s="27" t="inlineStr">
        <is>
          <t>Inclusive</t>
        </is>
      </c>
      <c r="K3" s="29" t="n">
        <v>720</v>
      </c>
      <c r="L3" s="29" t="n">
        <v>0</v>
      </c>
      <c r="M3" s="33" t="n">
        <v>1</v>
      </c>
      <c r="N3" s="27" t="inlineStr">
        <is>
          <t>No</t>
        </is>
      </c>
      <c r="O3" s="29" t="n">
        <v>0</v>
      </c>
      <c r="P3" s="30" t="n">
        <v>450</v>
      </c>
      <c r="Q3" s="31" t="inlineStr">
        <is>
          <t>In Stock</t>
        </is>
      </c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15.75" customHeight="1" s="85">
      <c r="A4" s="27" t="inlineStr">
        <is>
          <t>16GB MEMORY CARD</t>
        </is>
      </c>
      <c r="B4" s="27" t="n"/>
      <c r="C4" s="27" t="inlineStr">
        <is>
          <t>Electronics</t>
        </is>
      </c>
      <c r="D4" s="32" t="inlineStr">
        <is>
          <t>100002</t>
        </is>
      </c>
      <c r="E4" s="27" t="n"/>
      <c r="F4" s="29" t="n">
        <v>0</v>
      </c>
      <c r="G4" s="29" t="n">
        <v>270</v>
      </c>
      <c r="H4" s="27" t="inlineStr">
        <is>
          <t>Inclusive</t>
        </is>
      </c>
      <c r="I4" s="29" t="n">
        <v>170</v>
      </c>
      <c r="J4" s="27" t="inlineStr">
        <is>
          <t>Inclusive</t>
        </is>
      </c>
      <c r="K4" s="29" t="n">
        <v>300</v>
      </c>
      <c r="L4" s="29" t="n">
        <v>1</v>
      </c>
      <c r="M4" s="33" t="n">
        <v>1</v>
      </c>
      <c r="N4" s="27" t="inlineStr">
        <is>
          <t>No</t>
        </is>
      </c>
      <c r="O4" s="29" t="n">
        <v>0</v>
      </c>
      <c r="P4" s="30" t="n">
        <v>450</v>
      </c>
      <c r="Q4" s="31" t="inlineStr">
        <is>
          <t>In Stock</t>
        </is>
      </c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15.75" customHeight="1" s="85">
      <c r="A5" s="27" t="inlineStr">
        <is>
          <t>32GB MEMORY CARD</t>
        </is>
      </c>
      <c r="B5" s="27" t="n"/>
      <c r="C5" s="27" t="inlineStr">
        <is>
          <t>Electronics</t>
        </is>
      </c>
      <c r="D5" s="32" t="inlineStr">
        <is>
          <t>100003</t>
        </is>
      </c>
      <c r="E5" s="27" t="n"/>
      <c r="F5" s="29" t="n">
        <v>0</v>
      </c>
      <c r="G5" s="29" t="n">
        <v>370</v>
      </c>
      <c r="H5" s="27" t="inlineStr">
        <is>
          <t>Inclusive</t>
        </is>
      </c>
      <c r="I5" s="29" t="n">
        <v>210</v>
      </c>
      <c r="J5" s="27" t="inlineStr">
        <is>
          <t>Inclusive</t>
        </is>
      </c>
      <c r="K5" s="29" t="n">
        <v>420</v>
      </c>
      <c r="L5" s="29" t="n">
        <v>0</v>
      </c>
      <c r="M5" s="33" t="n">
        <v>1</v>
      </c>
      <c r="N5" s="27" t="inlineStr">
        <is>
          <t>No</t>
        </is>
      </c>
      <c r="O5" s="29" t="n">
        <v>0</v>
      </c>
      <c r="P5" s="30" t="n">
        <v>450</v>
      </c>
      <c r="Q5" s="31" t="inlineStr">
        <is>
          <t>In Stock</t>
        </is>
      </c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5.75" customHeight="1" s="85">
      <c r="A6" s="27" t="inlineStr">
        <is>
          <t>32GB PENDRIVE</t>
        </is>
      </c>
      <c r="B6" s="27" t="n"/>
      <c r="C6" s="27" t="inlineStr">
        <is>
          <t>Electronics</t>
        </is>
      </c>
      <c r="D6" s="28" t="inlineStr">
        <is>
          <t>284487757003</t>
        </is>
      </c>
      <c r="E6" s="27" t="n"/>
      <c r="F6" s="29" t="n">
        <v>0</v>
      </c>
      <c r="G6" s="29" t="n">
        <v>485</v>
      </c>
      <c r="H6" s="27" t="inlineStr">
        <is>
          <t>Exclusive</t>
        </is>
      </c>
      <c r="I6" s="29" t="n">
        <v>270</v>
      </c>
      <c r="J6" s="27" t="inlineStr">
        <is>
          <t>Exclusive</t>
        </is>
      </c>
      <c r="K6" s="29" t="n">
        <v>525</v>
      </c>
      <c r="L6" s="29" t="n">
        <v>5</v>
      </c>
      <c r="M6" s="27" t="n"/>
      <c r="N6" s="27" t="inlineStr">
        <is>
          <t>Yes</t>
        </is>
      </c>
      <c r="O6" s="29" t="n">
        <v>0</v>
      </c>
      <c r="P6" s="30" t="n">
        <v>450</v>
      </c>
      <c r="Q6" s="31" t="inlineStr">
        <is>
          <t>In Stock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15.75" customHeight="1" s="85">
      <c r="A7" s="27" t="inlineStr">
        <is>
          <t>64 GB MEMORY CARD</t>
        </is>
      </c>
      <c r="B7" s="27" t="n"/>
      <c r="C7" s="27" t="inlineStr">
        <is>
          <t>Electronics</t>
        </is>
      </c>
      <c r="D7" s="32" t="inlineStr">
        <is>
          <t>100004</t>
        </is>
      </c>
      <c r="E7" s="27" t="n"/>
      <c r="F7" s="29" t="n">
        <v>0</v>
      </c>
      <c r="G7" s="29" t="n">
        <v>470</v>
      </c>
      <c r="H7" s="27" t="inlineStr">
        <is>
          <t>Inclusive</t>
        </is>
      </c>
      <c r="I7" s="29" t="n">
        <v>230</v>
      </c>
      <c r="J7" s="27" t="inlineStr">
        <is>
          <t>Inclusive</t>
        </is>
      </c>
      <c r="K7" s="29" t="n">
        <v>520</v>
      </c>
      <c r="L7" s="29" t="n">
        <v>0</v>
      </c>
      <c r="M7" s="33" t="n">
        <v>1</v>
      </c>
      <c r="N7" s="27" t="inlineStr">
        <is>
          <t>No</t>
        </is>
      </c>
      <c r="O7" s="29" t="n">
        <v>0</v>
      </c>
      <c r="P7" s="30" t="n">
        <v>450</v>
      </c>
      <c r="Q7" s="31" t="inlineStr">
        <is>
          <t>In Stock</t>
        </is>
      </c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15.75" customHeight="1" s="85">
      <c r="A8" s="27" t="inlineStr">
        <is>
          <t>999 KARA MUND</t>
        </is>
      </c>
      <c r="B8" s="27" t="n"/>
      <c r="C8" s="27" t="inlineStr">
        <is>
          <t>Kerala Clothing</t>
        </is>
      </c>
      <c r="D8" s="28" t="inlineStr">
        <is>
          <t>321028977531</t>
        </is>
      </c>
      <c r="E8" s="27" t="n"/>
      <c r="F8" s="29" t="n">
        <v>0</v>
      </c>
      <c r="G8" s="29" t="n">
        <v>380</v>
      </c>
      <c r="H8" s="27" t="inlineStr">
        <is>
          <t>Inclusive</t>
        </is>
      </c>
      <c r="I8" s="29" t="n">
        <v>290</v>
      </c>
      <c r="J8" s="27" t="inlineStr">
        <is>
          <t>Inclusive</t>
        </is>
      </c>
      <c r="K8" s="29" t="n">
        <v>400</v>
      </c>
      <c r="L8" s="29" t="n">
        <v>0</v>
      </c>
      <c r="M8" s="33" t="n">
        <v>1</v>
      </c>
      <c r="N8" s="27" t="inlineStr">
        <is>
          <t>Yes</t>
        </is>
      </c>
      <c r="O8" s="29" t="n">
        <v>0</v>
      </c>
      <c r="P8" s="30" t="n">
        <v>450</v>
      </c>
      <c r="Q8" s="31" t="inlineStr">
        <is>
          <t>In Stock</t>
        </is>
      </c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5.75" customHeight="1" s="85">
      <c r="A9" s="27" t="inlineStr">
        <is>
          <t>9 PC GIFT MIX</t>
        </is>
      </c>
      <c r="B9" s="27" t="n"/>
      <c r="C9" s="27" t="inlineStr">
        <is>
          <t>Church Articles</t>
        </is>
      </c>
      <c r="D9" s="28" t="inlineStr">
        <is>
          <t>406295139484</t>
        </is>
      </c>
      <c r="E9" s="27" t="n"/>
      <c r="F9" s="29" t="n">
        <v>0</v>
      </c>
      <c r="G9" s="29" t="n">
        <v>50</v>
      </c>
      <c r="H9" s="27" t="inlineStr">
        <is>
          <t>Exclusive</t>
        </is>
      </c>
      <c r="I9" s="29" t="n">
        <v>36</v>
      </c>
      <c r="J9" s="27" t="inlineStr">
        <is>
          <t>Inclusive</t>
        </is>
      </c>
      <c r="K9" s="29" t="n">
        <v>50</v>
      </c>
      <c r="L9" s="29" t="n">
        <v>0</v>
      </c>
      <c r="M9" s="33" t="n">
        <v>1</v>
      </c>
      <c r="N9" s="27" t="inlineStr">
        <is>
          <t>Yes</t>
        </is>
      </c>
      <c r="O9" s="29" t="n">
        <v>0</v>
      </c>
      <c r="P9" s="30" t="n">
        <v>450</v>
      </c>
      <c r="Q9" s="31" t="inlineStr">
        <is>
          <t>In Stock</t>
        </is>
      </c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15.75" customHeight="1" s="85">
      <c r="A10" s="27" t="inlineStr">
        <is>
          <t>A3 LAMINATION</t>
        </is>
      </c>
      <c r="B10" s="27" t="n"/>
      <c r="C10" s="27" t="inlineStr">
        <is>
          <t>Stationery</t>
        </is>
      </c>
      <c r="D10" s="34" t="inlineStr">
        <is>
          <t>LA3</t>
        </is>
      </c>
      <c r="E10" s="27" t="n"/>
      <c r="F10" s="29" t="n">
        <v>0</v>
      </c>
      <c r="G10" s="29" t="n">
        <v>30</v>
      </c>
      <c r="H10" s="27" t="inlineStr">
        <is>
          <t>Inclusive</t>
        </is>
      </c>
      <c r="I10" s="29" t="n">
        <v>10</v>
      </c>
      <c r="J10" s="27" t="inlineStr">
        <is>
          <t>Inclusive</t>
        </is>
      </c>
      <c r="K10" s="29" t="n">
        <v>40</v>
      </c>
      <c r="L10" s="29" t="n">
        <v>407</v>
      </c>
      <c r="M10" s="33" t="n">
        <v>1</v>
      </c>
      <c r="N10" s="27" t="inlineStr">
        <is>
          <t>No</t>
        </is>
      </c>
      <c r="O10" s="29" t="n">
        <v>0</v>
      </c>
      <c r="P10" s="30" t="n">
        <v>450</v>
      </c>
      <c r="Q10" s="31" t="inlineStr">
        <is>
          <t>In Stock</t>
        </is>
      </c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15.75" customHeight="1" s="85">
      <c r="A11" s="27" t="inlineStr">
        <is>
          <t>A3 WALL TEXT WITHOUT LAMINATION</t>
        </is>
      </c>
      <c r="B11" s="27" t="n"/>
      <c r="C11" s="27" t="inlineStr">
        <is>
          <t>Church Articles</t>
        </is>
      </c>
      <c r="D11" s="32" t="inlineStr">
        <is>
          <t>100005</t>
        </is>
      </c>
      <c r="E11" s="27" t="n"/>
      <c r="F11" s="29" t="n">
        <v>0</v>
      </c>
      <c r="G11" s="29" t="n">
        <v>30</v>
      </c>
      <c r="H11" s="27" t="inlineStr">
        <is>
          <t>Exclusive</t>
        </is>
      </c>
      <c r="I11" s="29" t="n">
        <v>20</v>
      </c>
      <c r="J11" s="27" t="inlineStr">
        <is>
          <t>Exclusive</t>
        </is>
      </c>
      <c r="K11" s="29" t="n">
        <v>35</v>
      </c>
      <c r="L11" s="29" t="n">
        <v>4</v>
      </c>
      <c r="M11" s="33" t="n">
        <v>1</v>
      </c>
      <c r="N11" s="27" t="inlineStr">
        <is>
          <t>No</t>
        </is>
      </c>
      <c r="O11" s="29" t="n">
        <v>0</v>
      </c>
      <c r="P11" s="30" t="n">
        <v>450</v>
      </c>
      <c r="Q11" s="31" t="inlineStr">
        <is>
          <t>In Stock</t>
        </is>
      </c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15.75" customHeight="1" s="85">
      <c r="A12" s="27" t="inlineStr">
        <is>
          <t>A4 FRAME WITH WALL TEXT</t>
        </is>
      </c>
      <c r="B12" s="27" t="n"/>
      <c r="C12" s="27" t="inlineStr">
        <is>
          <t>Church Articles</t>
        </is>
      </c>
      <c r="D12" s="28" t="inlineStr">
        <is>
          <t>352219848557</t>
        </is>
      </c>
      <c r="E12" s="27" t="n"/>
      <c r="F12" s="29" t="n">
        <v>0</v>
      </c>
      <c r="G12" s="29" t="n">
        <v>200</v>
      </c>
      <c r="H12" s="27" t="inlineStr">
        <is>
          <t>Inclusive</t>
        </is>
      </c>
      <c r="I12" s="29" t="n">
        <v>150</v>
      </c>
      <c r="J12" s="27" t="inlineStr">
        <is>
          <t>Inclusive</t>
        </is>
      </c>
      <c r="K12" s="29" t="n">
        <v>220</v>
      </c>
      <c r="L12" s="29" t="n">
        <v>0</v>
      </c>
      <c r="M12" s="33" t="n">
        <v>1</v>
      </c>
      <c r="N12" s="27" t="inlineStr">
        <is>
          <t>No</t>
        </is>
      </c>
      <c r="O12" s="29" t="n">
        <v>0</v>
      </c>
      <c r="P12" s="30" t="n">
        <v>450</v>
      </c>
      <c r="Q12" s="31" t="inlineStr">
        <is>
          <t>In Stock</t>
        </is>
      </c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15.75" customHeight="1" s="85">
      <c r="A13" s="27" t="inlineStr">
        <is>
          <t>A4 GLOSSY PAPER</t>
        </is>
      </c>
      <c r="B13" s="27" t="n"/>
      <c r="C13" s="27" t="inlineStr">
        <is>
          <t>Stationery</t>
        </is>
      </c>
      <c r="D13" s="32" t="inlineStr">
        <is>
          <t>100006</t>
        </is>
      </c>
      <c r="E13" s="27" t="n"/>
      <c r="F13" s="29" t="n">
        <v>0</v>
      </c>
      <c r="G13" s="29" t="n">
        <v>6</v>
      </c>
      <c r="H13" s="27" t="inlineStr">
        <is>
          <t>Inclusive</t>
        </is>
      </c>
      <c r="I13" s="29" t="n">
        <v>3</v>
      </c>
      <c r="J13" s="27" t="inlineStr">
        <is>
          <t>Inclusive</t>
        </is>
      </c>
      <c r="K13" s="29" t="n">
        <v>7</v>
      </c>
      <c r="L13" s="29" t="n">
        <v>1000</v>
      </c>
      <c r="M13" s="33" t="n">
        <v>1</v>
      </c>
      <c r="N13" s="27" t="inlineStr">
        <is>
          <t>No</t>
        </is>
      </c>
      <c r="O13" s="29" t="n">
        <v>0</v>
      </c>
      <c r="P13" s="30" t="n">
        <v>450</v>
      </c>
      <c r="Q13" s="31" t="inlineStr">
        <is>
          <t>In Stock</t>
        </is>
      </c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15.75" customHeight="1" s="85">
      <c r="A14" s="27" t="inlineStr">
        <is>
          <t>A4 LAMINATION</t>
        </is>
      </c>
      <c r="B14" s="27" t="n"/>
      <c r="C14" s="27" t="inlineStr">
        <is>
          <t>Stationery</t>
        </is>
      </c>
      <c r="D14" s="32" t="inlineStr">
        <is>
          <t>100007</t>
        </is>
      </c>
      <c r="E14" s="27" t="n"/>
      <c r="F14" s="29" t="n">
        <v>0</v>
      </c>
      <c r="G14" s="29" t="n">
        <v>20</v>
      </c>
      <c r="H14" s="27" t="inlineStr">
        <is>
          <t>Inclusive</t>
        </is>
      </c>
      <c r="I14" s="29" t="n">
        <v>9</v>
      </c>
      <c r="J14" s="27" t="inlineStr">
        <is>
          <t>Inclusive</t>
        </is>
      </c>
      <c r="K14" s="29" t="n">
        <v>25</v>
      </c>
      <c r="L14" s="29" t="n">
        <v>178</v>
      </c>
      <c r="M14" s="33" t="n">
        <v>1</v>
      </c>
      <c r="N14" s="27" t="inlineStr">
        <is>
          <t>No</t>
        </is>
      </c>
      <c r="O14" s="29" t="n">
        <v>0</v>
      </c>
      <c r="P14" s="30" t="n">
        <v>450</v>
      </c>
      <c r="Q14" s="31" t="inlineStr">
        <is>
          <t>In Stock</t>
        </is>
      </c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15.75" customHeight="1" s="85">
      <c r="A15" s="27" t="inlineStr">
        <is>
          <t>A4 PAPER BUNDLE</t>
        </is>
      </c>
      <c r="B15" s="27" t="n"/>
      <c r="C15" s="27" t="inlineStr">
        <is>
          <t>Stationery</t>
        </is>
      </c>
      <c r="D15" s="32" t="inlineStr">
        <is>
          <t>100008</t>
        </is>
      </c>
      <c r="E15" s="27" t="n"/>
      <c r="F15" s="29" t="n">
        <v>0</v>
      </c>
      <c r="G15" s="29" t="n">
        <v>240</v>
      </c>
      <c r="H15" s="27" t="inlineStr">
        <is>
          <t>Exclusive</t>
        </is>
      </c>
      <c r="I15" s="29" t="n">
        <v>210</v>
      </c>
      <c r="J15" s="27" t="inlineStr">
        <is>
          <t>Exclusive</t>
        </is>
      </c>
      <c r="K15" s="29" t="n">
        <v>322</v>
      </c>
      <c r="L15" s="29" t="n">
        <v>0</v>
      </c>
      <c r="M15" s="33" t="n">
        <v>1</v>
      </c>
      <c r="N15" s="27" t="inlineStr">
        <is>
          <t>No</t>
        </is>
      </c>
      <c r="O15" s="29" t="n">
        <v>0</v>
      </c>
      <c r="P15" s="30" t="n">
        <v>450</v>
      </c>
      <c r="Q15" s="31" t="inlineStr">
        <is>
          <t>In Stock</t>
        </is>
      </c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15.75" customHeight="1" s="85">
      <c r="A16" s="27" t="inlineStr">
        <is>
          <t>A4 SINGLE SHEET</t>
        </is>
      </c>
      <c r="B16" s="27" t="n"/>
      <c r="C16" s="27" t="inlineStr">
        <is>
          <t>Stationery</t>
        </is>
      </c>
      <c r="D16" s="32" t="inlineStr">
        <is>
          <t>100009</t>
        </is>
      </c>
      <c r="E16" s="27" t="n"/>
      <c r="F16" s="29" t="n">
        <v>0</v>
      </c>
      <c r="G16" s="29" t="n">
        <v>1</v>
      </c>
      <c r="H16" s="27" t="inlineStr">
        <is>
          <t>Exclusive</t>
        </is>
      </c>
      <c r="I16" s="29" t="n">
        <v>0.5</v>
      </c>
      <c r="J16" s="27" t="inlineStr">
        <is>
          <t>Exclusive</t>
        </is>
      </c>
      <c r="K16" s="29" t="n">
        <v>2</v>
      </c>
      <c r="L16" s="29" t="n">
        <v>0</v>
      </c>
      <c r="M16" s="33" t="n">
        <v>1</v>
      </c>
      <c r="N16" s="27" t="inlineStr">
        <is>
          <t>No</t>
        </is>
      </c>
      <c r="O16" s="29" t="n">
        <v>0</v>
      </c>
      <c r="P16" s="30" t="n">
        <v>450</v>
      </c>
      <c r="Q16" s="31" t="inlineStr">
        <is>
          <t>In Stock</t>
        </is>
      </c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15.75" customHeight="1" s="85">
      <c r="A17" s="27" t="inlineStr">
        <is>
          <t>AACHI CHICKEN 65 50GM</t>
        </is>
      </c>
      <c r="B17" s="27" t="n"/>
      <c r="C17" s="27" t="inlineStr">
        <is>
          <t>Masalas &amp; Spices</t>
        </is>
      </c>
      <c r="D17" s="28" t="inlineStr">
        <is>
          <t>8906021120418</t>
        </is>
      </c>
      <c r="E17" s="27" t="n"/>
      <c r="F17" s="29" t="n">
        <v>0</v>
      </c>
      <c r="G17" s="29" t="n">
        <v>32</v>
      </c>
      <c r="H17" s="27" t="inlineStr">
        <is>
          <t>Inclusive</t>
        </is>
      </c>
      <c r="I17" s="29" t="n">
        <v>24</v>
      </c>
      <c r="J17" s="27" t="inlineStr">
        <is>
          <t>Inclusive</t>
        </is>
      </c>
      <c r="K17" s="29" t="n">
        <v>32</v>
      </c>
      <c r="L17" s="29" t="n">
        <v>0</v>
      </c>
      <c r="M17" s="33" t="n">
        <v>1</v>
      </c>
      <c r="N17" s="27" t="inlineStr">
        <is>
          <t>Yes</t>
        </is>
      </c>
      <c r="O17" s="29" t="n">
        <v>0</v>
      </c>
      <c r="P17" s="30" t="n">
        <v>450</v>
      </c>
      <c r="Q17" s="31" t="inlineStr">
        <is>
          <t>In Stock</t>
        </is>
      </c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15.75" customHeight="1" s="85">
      <c r="A18" s="27" t="inlineStr">
        <is>
          <t>AACHI FISH CURRY MASALA 550GM</t>
        </is>
      </c>
      <c r="B18" s="27" t="n"/>
      <c r="C18" s="27" t="inlineStr">
        <is>
          <t>Masalas &amp; Spices</t>
        </is>
      </c>
      <c r="D18" s="32" t="inlineStr">
        <is>
          <t>100010</t>
        </is>
      </c>
      <c r="E18" s="27" t="n"/>
      <c r="F18" s="29" t="n">
        <v>0</v>
      </c>
      <c r="G18" s="29" t="n">
        <v>52</v>
      </c>
      <c r="H18" s="27" t="inlineStr">
        <is>
          <t>Inclusive</t>
        </is>
      </c>
      <c r="I18" s="29" t="n">
        <v>19</v>
      </c>
      <c r="J18" s="27" t="inlineStr">
        <is>
          <t>Inclusive</t>
        </is>
      </c>
      <c r="K18" s="29" t="n">
        <v>0</v>
      </c>
      <c r="L18" s="29" t="n">
        <v>4</v>
      </c>
      <c r="M18" s="33" t="n">
        <v>1</v>
      </c>
      <c r="N18" s="27" t="inlineStr">
        <is>
          <t>Yes</t>
        </is>
      </c>
      <c r="O18" s="29" t="n">
        <v>0</v>
      </c>
      <c r="P18" s="30" t="n">
        <v>450</v>
      </c>
      <c r="Q18" s="31" t="inlineStr">
        <is>
          <t>In Stock</t>
        </is>
      </c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15.75" customHeight="1" s="85">
      <c r="A19" s="27" t="inlineStr">
        <is>
          <t>AACHI FISH FRY MASALA 50GM</t>
        </is>
      </c>
      <c r="B19" s="27" t="n"/>
      <c r="C19" s="27" t="inlineStr">
        <is>
          <t>Masalas &amp; Spices</t>
        </is>
      </c>
      <c r="D19" s="28" t="inlineStr">
        <is>
          <t>8906021121118</t>
        </is>
      </c>
      <c r="E19" s="27" t="n"/>
      <c r="F19" s="29" t="n">
        <v>0</v>
      </c>
      <c r="G19" s="29" t="n">
        <v>31</v>
      </c>
      <c r="H19" s="27" t="inlineStr">
        <is>
          <t>Inclusive</t>
        </is>
      </c>
      <c r="I19" s="29" t="n">
        <v>22</v>
      </c>
      <c r="J19" s="27" t="inlineStr">
        <is>
          <t>Inclusive</t>
        </is>
      </c>
      <c r="K19" s="29" t="n">
        <v>31</v>
      </c>
      <c r="L19" s="29" t="n">
        <v>0</v>
      </c>
      <c r="M19" s="33" t="n">
        <v>1</v>
      </c>
      <c r="N19" s="27" t="inlineStr">
        <is>
          <t>Yes</t>
        </is>
      </c>
      <c r="O19" s="29" t="n">
        <v>0</v>
      </c>
      <c r="P19" s="30" t="n">
        <v>450</v>
      </c>
      <c r="Q19" s="31" t="inlineStr">
        <is>
          <t>In Stock</t>
        </is>
      </c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12.5" customHeight="1" s="85">
      <c r="A20" s="27" t="inlineStr">
        <is>
          <t>AACHI LIME PICKLE 500GM</t>
        </is>
      </c>
      <c r="B20" s="27" t="n"/>
      <c r="C20" s="27" t="inlineStr">
        <is>
          <t>Pickles</t>
        </is>
      </c>
      <c r="D20" s="28" t="inlineStr">
        <is>
          <t>8904209302205</t>
        </is>
      </c>
      <c r="E20" s="27" t="n"/>
      <c r="F20" s="29" t="n">
        <v>0</v>
      </c>
      <c r="G20" s="29" t="n">
        <v>110</v>
      </c>
      <c r="H20" s="27" t="inlineStr">
        <is>
          <t>Exclusive</t>
        </is>
      </c>
      <c r="I20" s="29" t="n">
        <v>100</v>
      </c>
      <c r="J20" s="27" t="inlineStr">
        <is>
          <t>Exclusive</t>
        </is>
      </c>
      <c r="K20" s="29" t="n">
        <v>110</v>
      </c>
      <c r="L20" s="29" t="n">
        <v>0</v>
      </c>
      <c r="M20" s="33" t="n">
        <v>1</v>
      </c>
      <c r="N20" s="27" t="inlineStr">
        <is>
          <t>Yes</t>
        </is>
      </c>
      <c r="O20" s="29" t="n">
        <v>0</v>
      </c>
      <c r="P20" s="30" t="n">
        <v>450</v>
      </c>
      <c r="Q20" s="31" t="inlineStr">
        <is>
          <t>In Stock</t>
        </is>
      </c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12.5" customHeight="1" s="85">
      <c r="A21" s="27" t="inlineStr">
        <is>
          <t>AACHI SAMBAR POWDER 100GM</t>
        </is>
      </c>
      <c r="B21" s="27" t="n"/>
      <c r="C21" s="27" t="inlineStr">
        <is>
          <t>Masalas &amp; Spices</t>
        </is>
      </c>
      <c r="D21" s="32" t="inlineStr">
        <is>
          <t>100011</t>
        </is>
      </c>
      <c r="E21" s="27" t="n"/>
      <c r="F21" s="29" t="n">
        <v>0</v>
      </c>
      <c r="G21" s="29" t="n">
        <v>50</v>
      </c>
      <c r="H21" s="27" t="inlineStr">
        <is>
          <t>Inclusive</t>
        </is>
      </c>
      <c r="I21" s="29" t="n">
        <v>38</v>
      </c>
      <c r="J21" s="27" t="inlineStr">
        <is>
          <t>Inclusive</t>
        </is>
      </c>
      <c r="K21" s="29" t="n">
        <v>0</v>
      </c>
      <c r="L21" s="29" t="n">
        <v>0</v>
      </c>
      <c r="M21" s="33" t="n">
        <v>1</v>
      </c>
      <c r="N21" s="27" t="inlineStr">
        <is>
          <t>Yes</t>
        </is>
      </c>
      <c r="O21" s="29" t="n">
        <v>0</v>
      </c>
      <c r="P21" s="30" t="n">
        <v>450</v>
      </c>
      <c r="Q21" s="31" t="inlineStr">
        <is>
          <t>In Stock</t>
        </is>
      </c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12.5" customHeight="1" s="85">
      <c r="A22" s="27" t="inlineStr">
        <is>
          <t>AARADHANA GEET</t>
        </is>
      </c>
      <c r="B22" s="27" t="n"/>
      <c r="C22" s="27" t="inlineStr">
        <is>
          <t>Books &amp; Bibles</t>
        </is>
      </c>
      <c r="D22" s="28" t="inlineStr">
        <is>
          <t>385863257369</t>
        </is>
      </c>
      <c r="E22" s="27" t="n"/>
      <c r="F22" s="29" t="n">
        <v>0</v>
      </c>
      <c r="G22" s="29" t="n">
        <v>85</v>
      </c>
      <c r="H22" s="27" t="inlineStr">
        <is>
          <t>Inclusive</t>
        </is>
      </c>
      <c r="I22" s="29" t="n">
        <v>24</v>
      </c>
      <c r="J22" s="27" t="inlineStr">
        <is>
          <t>Inclusive</t>
        </is>
      </c>
      <c r="K22" s="29" t="n">
        <v>100</v>
      </c>
      <c r="L22" s="29" t="n">
        <v>39</v>
      </c>
      <c r="M22" s="33" t="n">
        <v>1</v>
      </c>
      <c r="N22" s="27" t="inlineStr">
        <is>
          <t>Yes</t>
        </is>
      </c>
      <c r="O22" s="29" t="n">
        <v>0</v>
      </c>
      <c r="P22" s="30" t="n">
        <v>450</v>
      </c>
      <c r="Q22" s="31" t="inlineStr">
        <is>
          <t>In Stock</t>
        </is>
      </c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12.5" customHeight="1" s="85">
      <c r="A23" s="27" t="inlineStr">
        <is>
          <t>AATMIK GEET SONG BOOK</t>
        </is>
      </c>
      <c r="B23" s="27" t="n"/>
      <c r="C23" s="27" t="inlineStr">
        <is>
          <t>Books &amp; Bibles</t>
        </is>
      </c>
      <c r="D23" s="32" t="inlineStr">
        <is>
          <t>100012</t>
        </is>
      </c>
      <c r="E23" s="27" t="n"/>
      <c r="F23" s="29" t="n">
        <v>0</v>
      </c>
      <c r="G23" s="29" t="n">
        <v>50</v>
      </c>
      <c r="H23" s="27" t="inlineStr">
        <is>
          <t>Exclusive</t>
        </is>
      </c>
      <c r="I23" s="29" t="n">
        <v>25</v>
      </c>
      <c r="J23" s="27" t="inlineStr">
        <is>
          <t>Exclusive</t>
        </is>
      </c>
      <c r="K23" s="29" t="n">
        <v>0</v>
      </c>
      <c r="L23" s="29" t="n">
        <v>0</v>
      </c>
      <c r="M23" s="33" t="n">
        <v>1</v>
      </c>
      <c r="N23" s="27" t="inlineStr">
        <is>
          <t>Yes</t>
        </is>
      </c>
      <c r="O23" s="29" t="n">
        <v>0</v>
      </c>
      <c r="P23" s="30" t="n">
        <v>450</v>
      </c>
      <c r="Q23" s="31" t="inlineStr">
        <is>
          <t>In Stock</t>
        </is>
      </c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12.5" customHeight="1" s="85">
      <c r="A24" s="27" t="inlineStr">
        <is>
          <t>ACRYLIC COLOUR</t>
        </is>
      </c>
      <c r="B24" s="27" t="n"/>
      <c r="C24" s="27" t="inlineStr">
        <is>
          <t>Stationery</t>
        </is>
      </c>
      <c r="D24" s="32" t="inlineStr">
        <is>
          <t>100013</t>
        </is>
      </c>
      <c r="E24" s="27" t="n"/>
      <c r="F24" s="29" t="n">
        <v>0</v>
      </c>
      <c r="G24" s="29" t="n">
        <v>25</v>
      </c>
      <c r="H24" s="27" t="inlineStr">
        <is>
          <t>Exclusive</t>
        </is>
      </c>
      <c r="I24" s="29" t="n">
        <v>20</v>
      </c>
      <c r="J24" s="27" t="inlineStr">
        <is>
          <t>Exclusive</t>
        </is>
      </c>
      <c r="K24" s="29" t="n">
        <v>25</v>
      </c>
      <c r="L24" s="29" t="n">
        <v>3</v>
      </c>
      <c r="M24" s="33" t="n">
        <v>1</v>
      </c>
      <c r="N24" s="27" t="inlineStr">
        <is>
          <t>No</t>
        </is>
      </c>
      <c r="O24" s="29" t="n">
        <v>0</v>
      </c>
      <c r="P24" s="30" t="n">
        <v>450</v>
      </c>
      <c r="Q24" s="31" t="inlineStr">
        <is>
          <t>In Stock</t>
        </is>
      </c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12.5" customHeight="1" s="85">
      <c r="A25" s="27" t="inlineStr">
        <is>
          <t>AGRAHAR PULIYINJI PICKLE 200GM</t>
        </is>
      </c>
      <c r="B25" s="27" t="n"/>
      <c r="C25" s="27" t="inlineStr">
        <is>
          <t>Pickles</t>
        </is>
      </c>
      <c r="D25" s="32" t="inlineStr">
        <is>
          <t>100014</t>
        </is>
      </c>
      <c r="E25" s="27" t="n"/>
      <c r="F25" s="29" t="n">
        <v>0</v>
      </c>
      <c r="G25" s="29" t="n">
        <v>85</v>
      </c>
      <c r="H25" s="27" t="inlineStr">
        <is>
          <t>Exclusive</t>
        </is>
      </c>
      <c r="I25" s="29" t="n">
        <v>77</v>
      </c>
      <c r="J25" s="27" t="inlineStr">
        <is>
          <t>Exclusive</t>
        </is>
      </c>
      <c r="K25" s="29" t="n">
        <v>0</v>
      </c>
      <c r="L25" s="29" t="n">
        <v>4</v>
      </c>
      <c r="M25" s="33" t="n">
        <v>1</v>
      </c>
      <c r="N25" s="27" t="inlineStr">
        <is>
          <t>Yes</t>
        </is>
      </c>
      <c r="O25" s="29" t="n">
        <v>0</v>
      </c>
      <c r="P25" s="30" t="n">
        <v>450</v>
      </c>
      <c r="Q25" s="31" t="inlineStr">
        <is>
          <t>In Stock</t>
        </is>
      </c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12.5" customHeight="1" s="85">
      <c r="A26" s="27" t="inlineStr">
        <is>
          <t>AGRAHAR VADUKAPULI PICKLE 200GM</t>
        </is>
      </c>
      <c r="B26" s="27" t="n"/>
      <c r="C26" s="27" t="inlineStr">
        <is>
          <t>Pickles</t>
        </is>
      </c>
      <c r="D26" s="32" t="inlineStr">
        <is>
          <t>100015</t>
        </is>
      </c>
      <c r="E26" s="27" t="n"/>
      <c r="F26" s="29" t="n">
        <v>0</v>
      </c>
      <c r="G26" s="29" t="n">
        <v>80</v>
      </c>
      <c r="H26" s="27" t="inlineStr">
        <is>
          <t>Exclusive</t>
        </is>
      </c>
      <c r="I26" s="29" t="n">
        <v>72</v>
      </c>
      <c r="J26" s="27" t="inlineStr">
        <is>
          <t>Exclusive</t>
        </is>
      </c>
      <c r="K26" s="29" t="n">
        <v>0</v>
      </c>
      <c r="L26" s="29" t="n">
        <v>0</v>
      </c>
      <c r="M26" s="33" t="n">
        <v>1</v>
      </c>
      <c r="N26" s="27" t="inlineStr">
        <is>
          <t>Yes</t>
        </is>
      </c>
      <c r="O26" s="29" t="n">
        <v>0</v>
      </c>
      <c r="P26" s="30" t="n">
        <v>450</v>
      </c>
      <c r="Q26" s="31" t="inlineStr">
        <is>
          <t>In Stock</t>
        </is>
      </c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12.5" customHeight="1" s="85">
      <c r="A27" s="27" t="inlineStr">
        <is>
          <t>AIRCONDITIONER</t>
        </is>
      </c>
      <c r="B27" s="27" t="n"/>
      <c r="C27" s="27" t="inlineStr">
        <is>
          <t>Fixed Assets</t>
        </is>
      </c>
      <c r="D27" s="32" t="inlineStr">
        <is>
          <t>100016</t>
        </is>
      </c>
      <c r="E27" s="27" t="n"/>
      <c r="F27" s="29" t="n">
        <v>0</v>
      </c>
      <c r="G27" s="29" t="n">
        <v>12000</v>
      </c>
      <c r="H27" s="27" t="inlineStr">
        <is>
          <t>Exclusive</t>
        </is>
      </c>
      <c r="I27" s="29" t="n">
        <v>12000</v>
      </c>
      <c r="J27" s="27" t="inlineStr">
        <is>
          <t>Exclusive</t>
        </is>
      </c>
      <c r="K27" s="29" t="n">
        <v>12000</v>
      </c>
      <c r="L27" s="29" t="n">
        <v>0</v>
      </c>
      <c r="M27" s="27" t="n"/>
      <c r="N27" s="27" t="inlineStr">
        <is>
          <t>Yes</t>
        </is>
      </c>
      <c r="O27" s="29" t="n">
        <v>0</v>
      </c>
      <c r="P27" s="30" t="n">
        <v>450</v>
      </c>
      <c r="Q27" s="31" t="inlineStr">
        <is>
          <t>In Stock</t>
        </is>
      </c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12.5" customHeight="1" s="85">
      <c r="A28" s="27" t="inlineStr">
        <is>
          <t>AJWA ANDHRA MURUK WHITE 60/-</t>
        </is>
      </c>
      <c r="B28" s="27" t="n"/>
      <c r="C28" s="27" t="inlineStr">
        <is>
          <t>Snacks</t>
        </is>
      </c>
      <c r="D28" s="28" t="inlineStr">
        <is>
          <t>8906054683430</t>
        </is>
      </c>
      <c r="E28" s="27" t="n"/>
      <c r="F28" s="29" t="n">
        <v>0</v>
      </c>
      <c r="G28" s="29" t="n">
        <v>60</v>
      </c>
      <c r="H28" s="27" t="inlineStr">
        <is>
          <t>Exclusive</t>
        </is>
      </c>
      <c r="I28" s="29" t="n">
        <v>44</v>
      </c>
      <c r="J28" s="27" t="inlineStr">
        <is>
          <t>Exclusive</t>
        </is>
      </c>
      <c r="K28" s="29" t="n">
        <v>60</v>
      </c>
      <c r="L28" s="29" t="n">
        <v>0</v>
      </c>
      <c r="M28" s="33" t="n">
        <v>1</v>
      </c>
      <c r="N28" s="27" t="inlineStr">
        <is>
          <t>Yes</t>
        </is>
      </c>
      <c r="O28" s="29" t="n">
        <v>0</v>
      </c>
      <c r="P28" s="30" t="n">
        <v>450</v>
      </c>
      <c r="Q28" s="31" t="inlineStr">
        <is>
          <t>In Stock</t>
        </is>
      </c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2.5" customHeight="1" s="85">
      <c r="A29" s="27" t="inlineStr">
        <is>
          <t>AJWA BUTTER MURUK SMALL</t>
        </is>
      </c>
      <c r="B29" s="27" t="n"/>
      <c r="C29" s="27" t="inlineStr">
        <is>
          <t>Snacks</t>
        </is>
      </c>
      <c r="D29" s="28" t="inlineStr">
        <is>
          <t>942174962478</t>
        </is>
      </c>
      <c r="E29" s="27" t="n"/>
      <c r="F29" s="29" t="n">
        <v>0</v>
      </c>
      <c r="G29" s="29" t="n">
        <v>70</v>
      </c>
      <c r="H29" s="27" t="inlineStr">
        <is>
          <t>Exclusive</t>
        </is>
      </c>
      <c r="I29" s="29" t="n">
        <v>55</v>
      </c>
      <c r="J29" s="27" t="inlineStr">
        <is>
          <t>Exclusive</t>
        </is>
      </c>
      <c r="K29" s="29" t="n">
        <v>70</v>
      </c>
      <c r="L29" s="29" t="n">
        <v>32</v>
      </c>
      <c r="M29" s="33" t="n">
        <v>1</v>
      </c>
      <c r="N29" s="27" t="inlineStr">
        <is>
          <t>Yes</t>
        </is>
      </c>
      <c r="O29" s="29" t="n">
        <v>0</v>
      </c>
      <c r="P29" s="30" t="n">
        <v>450</v>
      </c>
      <c r="Q29" s="31" t="inlineStr">
        <is>
          <t>In Stock</t>
        </is>
      </c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12.5" customHeight="1" s="85">
      <c r="A30" s="27" t="inlineStr">
        <is>
          <t>AJWA BUTTER MURUK SPICY</t>
        </is>
      </c>
      <c r="B30" s="27" t="n"/>
      <c r="C30" s="27" t="inlineStr">
        <is>
          <t>Snacks</t>
        </is>
      </c>
      <c r="D30" s="28" t="inlineStr">
        <is>
          <t>8906054688022</t>
        </is>
      </c>
      <c r="E30" s="27" t="n"/>
      <c r="F30" s="29" t="n">
        <v>0</v>
      </c>
      <c r="G30" s="29" t="n">
        <v>75</v>
      </c>
      <c r="H30" s="27" t="inlineStr">
        <is>
          <t>Exclusive</t>
        </is>
      </c>
      <c r="I30" s="29" t="n">
        <v>60</v>
      </c>
      <c r="J30" s="27" t="inlineStr">
        <is>
          <t>Exclusive</t>
        </is>
      </c>
      <c r="K30" s="29" t="n">
        <v>75</v>
      </c>
      <c r="L30" s="29" t="n">
        <v>24</v>
      </c>
      <c r="M30" s="33" t="n">
        <v>1</v>
      </c>
      <c r="N30" s="27" t="inlineStr">
        <is>
          <t>Yes</t>
        </is>
      </c>
      <c r="O30" s="29" t="n">
        <v>0</v>
      </c>
      <c r="P30" s="30" t="n">
        <v>450</v>
      </c>
      <c r="Q30" s="31" t="inlineStr">
        <is>
          <t>In Stock</t>
        </is>
      </c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12.5" customHeight="1" s="85">
      <c r="A31" s="27" t="inlineStr">
        <is>
          <t>AJWA BUTTER MURUK SPICY 60/-</t>
        </is>
      </c>
      <c r="B31" s="27" t="n"/>
      <c r="C31" s="27" t="inlineStr">
        <is>
          <t>Snacks</t>
        </is>
      </c>
      <c r="D31" s="28" t="inlineStr">
        <is>
          <t>8906054688251</t>
        </is>
      </c>
      <c r="E31" s="27" t="n"/>
      <c r="F31" s="29" t="n">
        <v>0</v>
      </c>
      <c r="G31" s="29" t="n">
        <v>70</v>
      </c>
      <c r="H31" s="27" t="inlineStr">
        <is>
          <t>Exclusive</t>
        </is>
      </c>
      <c r="I31" s="29" t="n">
        <v>50</v>
      </c>
      <c r="J31" s="27" t="inlineStr">
        <is>
          <t>Exclusive</t>
        </is>
      </c>
      <c r="K31" s="29" t="n">
        <v>70</v>
      </c>
      <c r="L31" s="29" t="n">
        <v>0</v>
      </c>
      <c r="M31" s="33" t="n">
        <v>1</v>
      </c>
      <c r="N31" s="27" t="inlineStr">
        <is>
          <t>Yes</t>
        </is>
      </c>
      <c r="O31" s="29" t="n">
        <v>0</v>
      </c>
      <c r="P31" s="30" t="n">
        <v>450</v>
      </c>
      <c r="Q31" s="31" t="inlineStr">
        <is>
          <t>In Stock</t>
        </is>
      </c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12.5" customHeight="1" s="85">
      <c r="A32" s="27" t="inlineStr">
        <is>
          <t>AJWA GARLIC MURUK</t>
        </is>
      </c>
      <c r="B32" s="27" t="n"/>
      <c r="C32" s="27" t="inlineStr">
        <is>
          <t>Snacks</t>
        </is>
      </c>
      <c r="D32" s="28" t="inlineStr">
        <is>
          <t>8906054683416</t>
        </is>
      </c>
      <c r="E32" s="27" t="n"/>
      <c r="F32" s="29" t="n">
        <v>0</v>
      </c>
      <c r="G32" s="29" t="n">
        <v>80</v>
      </c>
      <c r="H32" s="27" t="inlineStr">
        <is>
          <t>Exclusive</t>
        </is>
      </c>
      <c r="I32" s="29" t="n">
        <v>44</v>
      </c>
      <c r="J32" s="27" t="inlineStr">
        <is>
          <t>Exclusive</t>
        </is>
      </c>
      <c r="K32" s="29" t="n">
        <v>60</v>
      </c>
      <c r="L32" s="29" t="n">
        <v>3</v>
      </c>
      <c r="M32" s="33" t="n">
        <v>1</v>
      </c>
      <c r="N32" s="27" t="inlineStr">
        <is>
          <t>Yes</t>
        </is>
      </c>
      <c r="O32" s="29" t="n">
        <v>0</v>
      </c>
      <c r="P32" s="30" t="n">
        <v>450</v>
      </c>
      <c r="Q32" s="31" t="inlineStr">
        <is>
          <t>In Stock</t>
        </is>
      </c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12.5" customHeight="1" s="85">
      <c r="A33" s="27" t="inlineStr">
        <is>
          <t>AJWA ROLL MURUK</t>
        </is>
      </c>
      <c r="B33" s="27" t="n"/>
      <c r="C33" s="27" t="inlineStr">
        <is>
          <t>Snacks</t>
        </is>
      </c>
      <c r="D33" s="28" t="inlineStr">
        <is>
          <t>8906054688183</t>
        </is>
      </c>
      <c r="E33" s="27" t="n"/>
      <c r="F33" s="29" t="n">
        <v>0</v>
      </c>
      <c r="G33" s="29" t="n">
        <v>75</v>
      </c>
      <c r="H33" s="27" t="inlineStr">
        <is>
          <t>Inclusive</t>
        </is>
      </c>
      <c r="I33" s="29" t="n">
        <v>50</v>
      </c>
      <c r="J33" s="27" t="inlineStr">
        <is>
          <t>Inclusive</t>
        </is>
      </c>
      <c r="K33" s="29" t="n">
        <v>75</v>
      </c>
      <c r="L33" s="29" t="n">
        <v>0</v>
      </c>
      <c r="M33" s="33" t="n">
        <v>1</v>
      </c>
      <c r="N33" s="27" t="inlineStr">
        <is>
          <t>Yes</t>
        </is>
      </c>
      <c r="O33" s="29" t="n">
        <v>0</v>
      </c>
      <c r="P33" s="30" t="n">
        <v>450</v>
      </c>
      <c r="Q33" s="31" t="inlineStr">
        <is>
          <t>In Stock</t>
        </is>
      </c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12.5" customHeight="1" s="85">
      <c r="A34" s="27" t="inlineStr">
        <is>
          <t>ALMIRAH MAKING</t>
        </is>
      </c>
      <c r="B34" s="27" t="n"/>
      <c r="C34" s="27" t="inlineStr">
        <is>
          <t>Fixed Assets</t>
        </is>
      </c>
      <c r="D34" s="32" t="inlineStr">
        <is>
          <t>100017</t>
        </is>
      </c>
      <c r="E34" s="27" t="n"/>
      <c r="F34" s="29" t="n">
        <v>0</v>
      </c>
      <c r="G34" s="29" t="n">
        <v>23000</v>
      </c>
      <c r="H34" s="27" t="inlineStr">
        <is>
          <t>Exclusive</t>
        </is>
      </c>
      <c r="I34" s="29" t="n">
        <v>23000</v>
      </c>
      <c r="J34" s="27" t="inlineStr">
        <is>
          <t>Exclusive</t>
        </is>
      </c>
      <c r="K34" s="29" t="n">
        <v>23000</v>
      </c>
      <c r="L34" s="29" t="n">
        <v>1</v>
      </c>
      <c r="M34" s="33" t="n">
        <v>1</v>
      </c>
      <c r="N34" s="27" t="inlineStr">
        <is>
          <t>No</t>
        </is>
      </c>
      <c r="O34" s="29" t="n">
        <v>0</v>
      </c>
      <c r="P34" s="30" t="n">
        <v>450</v>
      </c>
      <c r="Q34" s="31" t="inlineStr">
        <is>
          <t>In Stock</t>
        </is>
      </c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12.5" customHeight="1" s="85">
      <c r="A35" s="27" t="inlineStr">
        <is>
          <t>ALO FRUIT 3 DEGREE MINT</t>
        </is>
      </c>
      <c r="B35" s="27" t="n"/>
      <c r="C35" s="27" t="inlineStr">
        <is>
          <t>Beverages</t>
        </is>
      </c>
      <c r="D35" s="28" t="inlineStr">
        <is>
          <t>8906044995963</t>
        </is>
      </c>
      <c r="E35" s="27" t="n"/>
      <c r="F35" s="29" t="n">
        <v>0</v>
      </c>
      <c r="G35" s="29" t="n">
        <v>60</v>
      </c>
      <c r="H35" s="27" t="inlineStr">
        <is>
          <t>Exclusive</t>
        </is>
      </c>
      <c r="I35" s="29" t="n">
        <v>52</v>
      </c>
      <c r="J35" s="27" t="inlineStr">
        <is>
          <t>Exclusive</t>
        </is>
      </c>
      <c r="K35" s="29" t="n">
        <v>60</v>
      </c>
      <c r="L35" s="29" t="n">
        <v>3</v>
      </c>
      <c r="M35" s="33" t="n">
        <v>1</v>
      </c>
      <c r="N35" s="27" t="inlineStr">
        <is>
          <t>Yes</t>
        </is>
      </c>
      <c r="O35" s="29" t="n">
        <v>0</v>
      </c>
      <c r="P35" s="30" t="n">
        <v>450</v>
      </c>
      <c r="Q35" s="31" t="inlineStr">
        <is>
          <t>In Stock</t>
        </is>
      </c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12.5" customHeight="1" s="85">
      <c r="A36" s="27" t="inlineStr">
        <is>
          <t>AMMA VADI MATTA RICE 5KG</t>
        </is>
      </c>
      <c r="B36" s="27" t="n"/>
      <c r="C36" s="27" t="inlineStr">
        <is>
          <t>Rice Items</t>
        </is>
      </c>
      <c r="D36" s="28" t="inlineStr">
        <is>
          <t>8908882426067</t>
        </is>
      </c>
      <c r="E36" s="27" t="n"/>
      <c r="F36" s="29" t="n">
        <v>0</v>
      </c>
      <c r="G36" s="29" t="n">
        <v>520</v>
      </c>
      <c r="H36" s="27" t="inlineStr">
        <is>
          <t>Exclusive</t>
        </is>
      </c>
      <c r="I36" s="29" t="n">
        <v>333.33</v>
      </c>
      <c r="J36" s="27" t="inlineStr">
        <is>
          <t>Exclusive</t>
        </is>
      </c>
      <c r="K36" s="29" t="n">
        <v>520</v>
      </c>
      <c r="L36" s="29" t="n">
        <v>0</v>
      </c>
      <c r="M36" s="27" t="n"/>
      <c r="N36" s="27" t="inlineStr">
        <is>
          <t>Yes</t>
        </is>
      </c>
      <c r="O36" s="29" t="n">
        <v>0</v>
      </c>
      <c r="P36" s="30" t="n">
        <v>450</v>
      </c>
      <c r="Q36" s="31" t="inlineStr">
        <is>
          <t>In Stock</t>
        </is>
      </c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12.5" customHeight="1" s="85">
      <c r="A37" s="27" t="inlineStr">
        <is>
          <t>AMUL KOOL 200GM</t>
        </is>
      </c>
      <c r="B37" s="27" t="n"/>
      <c r="C37" s="27" t="inlineStr">
        <is>
          <t>Beverages</t>
        </is>
      </c>
      <c r="D37" s="28" t="inlineStr">
        <is>
          <t>8901262152211</t>
        </is>
      </c>
      <c r="E37" s="27" t="n"/>
      <c r="F37" s="29" t="n">
        <v>0</v>
      </c>
      <c r="G37" s="29" t="n">
        <v>25</v>
      </c>
      <c r="H37" s="27" t="inlineStr">
        <is>
          <t>Exclusive</t>
        </is>
      </c>
      <c r="I37" s="29" t="n">
        <v>23</v>
      </c>
      <c r="J37" s="27" t="inlineStr">
        <is>
          <t>Exclusive</t>
        </is>
      </c>
      <c r="K37" s="29" t="n">
        <v>25</v>
      </c>
      <c r="L37" s="29" t="n">
        <v>0</v>
      </c>
      <c r="M37" s="33" t="n">
        <v>1</v>
      </c>
      <c r="N37" s="27" t="inlineStr">
        <is>
          <t>Yes</t>
        </is>
      </c>
      <c r="O37" s="29" t="n">
        <v>0</v>
      </c>
      <c r="P37" s="30" t="n">
        <v>450</v>
      </c>
      <c r="Q37" s="31" t="inlineStr">
        <is>
          <t>In Stock</t>
        </is>
      </c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12.5" customHeight="1" s="85">
      <c r="A38" s="27" t="inlineStr">
        <is>
          <t>ANANT JEEVAN</t>
        </is>
      </c>
      <c r="B38" s="27" t="n"/>
      <c r="C38" s="27" t="inlineStr">
        <is>
          <t>Books &amp; Bibles</t>
        </is>
      </c>
      <c r="D38" s="32" t="inlineStr">
        <is>
          <t>100018</t>
        </is>
      </c>
      <c r="E38" s="27" t="n"/>
      <c r="F38" s="29" t="n">
        <v>0</v>
      </c>
      <c r="G38" s="29" t="n">
        <v>50</v>
      </c>
      <c r="H38" s="27" t="inlineStr">
        <is>
          <t>Exclusive</t>
        </is>
      </c>
      <c r="I38" s="29" t="n">
        <v>30</v>
      </c>
      <c r="J38" s="27" t="inlineStr">
        <is>
          <t>Exclusive</t>
        </is>
      </c>
      <c r="K38" s="29" t="n">
        <v>80</v>
      </c>
      <c r="L38" s="29" t="n">
        <v>0</v>
      </c>
      <c r="M38" s="33" t="n">
        <v>1</v>
      </c>
      <c r="N38" s="27" t="inlineStr">
        <is>
          <t>Yes</t>
        </is>
      </c>
      <c r="O38" s="29" t="n">
        <v>0</v>
      </c>
      <c r="P38" s="30" t="n">
        <v>450</v>
      </c>
      <c r="Q38" s="31" t="inlineStr">
        <is>
          <t>In Stock</t>
        </is>
      </c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12.5" customHeight="1" s="85">
      <c r="A39" s="27" t="inlineStr">
        <is>
          <t>ANCHOVY ACHAR</t>
        </is>
      </c>
      <c r="B39" s="27" t="n"/>
      <c r="C39" s="27" t="inlineStr">
        <is>
          <t>Pickles</t>
        </is>
      </c>
      <c r="D39" s="28" t="inlineStr">
        <is>
          <t>8907093003111</t>
        </is>
      </c>
      <c r="E39" s="27" t="n"/>
      <c r="F39" s="29" t="n">
        <v>0</v>
      </c>
      <c r="G39" s="29" t="n">
        <v>225</v>
      </c>
      <c r="H39" s="27" t="inlineStr">
        <is>
          <t>Exclusive</t>
        </is>
      </c>
      <c r="I39" s="29" t="n">
        <v>216</v>
      </c>
      <c r="J39" s="27" t="inlineStr">
        <is>
          <t>Exclusive</t>
        </is>
      </c>
      <c r="K39" s="29" t="n">
        <v>225</v>
      </c>
      <c r="L39" s="29" t="n">
        <v>0</v>
      </c>
      <c r="M39" s="33" t="n">
        <v>1</v>
      </c>
      <c r="N39" s="27" t="inlineStr">
        <is>
          <t>Yes</t>
        </is>
      </c>
      <c r="O39" s="29" t="n">
        <v>0</v>
      </c>
      <c r="P39" s="30" t="n">
        <v>450</v>
      </c>
      <c r="Q39" s="31" t="inlineStr">
        <is>
          <t>In Stock</t>
        </is>
      </c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12.5" customHeight="1" s="85">
      <c r="A40" s="27" t="inlineStr">
        <is>
          <t>ANDERSON PUZZLE BOOK ENGLISH</t>
        </is>
      </c>
      <c r="B40" s="27" t="n"/>
      <c r="C40" s="27" t="inlineStr">
        <is>
          <t>Books &amp; Bibles</t>
        </is>
      </c>
      <c r="D40" s="32" t="inlineStr">
        <is>
          <t>100019</t>
        </is>
      </c>
      <c r="E40" s="27" t="n"/>
      <c r="F40" s="29" t="n">
        <v>0</v>
      </c>
      <c r="G40" s="29" t="n">
        <v>250</v>
      </c>
      <c r="H40" s="27" t="inlineStr">
        <is>
          <t>Exclusive</t>
        </is>
      </c>
      <c r="I40" s="29" t="n">
        <v>110</v>
      </c>
      <c r="J40" s="27" t="inlineStr">
        <is>
          <t>Exclusive</t>
        </is>
      </c>
      <c r="K40" s="29" t="n">
        <v>280</v>
      </c>
      <c r="L40" s="29" t="n">
        <v>3</v>
      </c>
      <c r="M40" s="33" t="n">
        <v>1</v>
      </c>
      <c r="N40" s="27" t="inlineStr">
        <is>
          <t>Yes</t>
        </is>
      </c>
      <c r="O40" s="29" t="n">
        <v>0</v>
      </c>
      <c r="P40" s="30" t="n">
        <v>450</v>
      </c>
      <c r="Q40" s="31" t="inlineStr">
        <is>
          <t>In Stock</t>
        </is>
      </c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12.5" customHeight="1" s="85">
      <c r="A41" s="27" t="inlineStr">
        <is>
          <t>ANUS FIED RAWA 500GM</t>
        </is>
      </c>
      <c r="B41" s="27" t="n"/>
      <c r="C41" s="27" t="inlineStr">
        <is>
          <t>Grains &amp; Flours</t>
        </is>
      </c>
      <c r="D41" s="28" t="inlineStr">
        <is>
          <t>8904406128387</t>
        </is>
      </c>
      <c r="E41" s="27" t="n"/>
      <c r="F41" s="29" t="n">
        <v>0</v>
      </c>
      <c r="G41" s="29" t="n">
        <v>58</v>
      </c>
      <c r="H41" s="27" t="inlineStr">
        <is>
          <t>Exclusive</t>
        </is>
      </c>
      <c r="I41" s="29" t="n">
        <v>56</v>
      </c>
      <c r="J41" s="27" t="inlineStr">
        <is>
          <t>Exclusive</t>
        </is>
      </c>
      <c r="K41" s="29" t="n">
        <v>0</v>
      </c>
      <c r="L41" s="29" t="n">
        <v>0</v>
      </c>
      <c r="M41" s="33" t="n">
        <v>1</v>
      </c>
      <c r="N41" s="27" t="inlineStr">
        <is>
          <t>Yes</t>
        </is>
      </c>
      <c r="O41" s="29" t="n">
        <v>0</v>
      </c>
      <c r="P41" s="30" t="n">
        <v>450</v>
      </c>
      <c r="Q41" s="31" t="inlineStr">
        <is>
          <t>In Stock</t>
        </is>
      </c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12.5" customHeight="1" s="85">
      <c r="A42" s="27" t="inlineStr">
        <is>
          <t>ANUS GINGER COFFEE 150GM</t>
        </is>
      </c>
      <c r="B42" s="27" t="n"/>
      <c r="C42" s="27" t="inlineStr">
        <is>
          <t>Beverages</t>
        </is>
      </c>
      <c r="D42" s="28" t="inlineStr">
        <is>
          <t>8904406127182</t>
        </is>
      </c>
      <c r="E42" s="27" t="n"/>
      <c r="F42" s="29" t="n">
        <v>0</v>
      </c>
      <c r="G42" s="29" t="n">
        <v>105</v>
      </c>
      <c r="H42" s="27" t="inlineStr">
        <is>
          <t>Exclusive</t>
        </is>
      </c>
      <c r="I42" s="29" t="n">
        <v>95</v>
      </c>
      <c r="J42" s="27" t="inlineStr">
        <is>
          <t>Exclusive</t>
        </is>
      </c>
      <c r="K42" s="29" t="n">
        <v>105</v>
      </c>
      <c r="L42" s="29" t="n">
        <v>4</v>
      </c>
      <c r="M42" s="33" t="n">
        <v>1</v>
      </c>
      <c r="N42" s="27" t="inlineStr">
        <is>
          <t>Yes</t>
        </is>
      </c>
      <c r="O42" s="29" t="n">
        <v>0</v>
      </c>
      <c r="P42" s="30" t="n">
        <v>450</v>
      </c>
      <c r="Q42" s="31" t="inlineStr">
        <is>
          <t>In Stock</t>
        </is>
      </c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12.5" customHeight="1" s="85">
      <c r="A43" s="27" t="inlineStr">
        <is>
          <t>ANUS KUTTANADAN BIRYANI MIX</t>
        </is>
      </c>
      <c r="B43" s="27" t="n"/>
      <c r="C43" s="27" t="inlineStr">
        <is>
          <t>Ready to Eat &amp; Mixes</t>
        </is>
      </c>
      <c r="D43" s="28" t="inlineStr">
        <is>
          <t>8904406126888</t>
        </is>
      </c>
      <c r="E43" s="27" t="n"/>
      <c r="F43" s="29" t="n">
        <v>0</v>
      </c>
      <c r="G43" s="29" t="n">
        <v>295</v>
      </c>
      <c r="H43" s="27" t="inlineStr">
        <is>
          <t>Inclusive</t>
        </is>
      </c>
      <c r="I43" s="29" t="n">
        <v>260</v>
      </c>
      <c r="J43" s="27" t="inlineStr">
        <is>
          <t>Inclusive</t>
        </is>
      </c>
      <c r="K43" s="29" t="n">
        <v>295</v>
      </c>
      <c r="L43" s="29" t="n">
        <v>0</v>
      </c>
      <c r="M43" s="33" t="n">
        <v>1</v>
      </c>
      <c r="N43" s="27" t="inlineStr">
        <is>
          <t>Yes</t>
        </is>
      </c>
      <c r="O43" s="29" t="n">
        <v>0</v>
      </c>
      <c r="P43" s="30" t="n">
        <v>450</v>
      </c>
      <c r="Q43" s="31" t="inlineStr">
        <is>
          <t>In Stock</t>
        </is>
      </c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12.5" customHeight="1" s="85">
      <c r="A44" s="27" t="inlineStr">
        <is>
          <t>ANUS LEMON PICKLE 500GM</t>
        </is>
      </c>
      <c r="B44" s="27" t="n"/>
      <c r="C44" s="27" t="inlineStr">
        <is>
          <t>Pickles</t>
        </is>
      </c>
      <c r="D44" s="32" t="inlineStr">
        <is>
          <t>100020</t>
        </is>
      </c>
      <c r="E44" s="27" t="n"/>
      <c r="F44" s="29" t="n">
        <v>0</v>
      </c>
      <c r="G44" s="29" t="n">
        <v>84</v>
      </c>
      <c r="H44" s="27" t="inlineStr">
        <is>
          <t>Exclusive</t>
        </is>
      </c>
      <c r="I44" s="29" t="n">
        <v>75</v>
      </c>
      <c r="J44" s="27" t="inlineStr">
        <is>
          <t>Exclusive</t>
        </is>
      </c>
      <c r="K44" s="29" t="n">
        <v>84</v>
      </c>
      <c r="L44" s="29" t="n">
        <v>0</v>
      </c>
      <c r="M44" s="33" t="n">
        <v>1</v>
      </c>
      <c r="N44" s="27" t="inlineStr">
        <is>
          <t>Yes</t>
        </is>
      </c>
      <c r="O44" s="29" t="n">
        <v>0</v>
      </c>
      <c r="P44" s="30" t="n">
        <v>450</v>
      </c>
      <c r="Q44" s="31" t="inlineStr">
        <is>
          <t>In Stock</t>
        </is>
      </c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12.5" customHeight="1" s="85">
      <c r="A45" s="27" t="inlineStr">
        <is>
          <t>ANUS LIME PICKLE 500GM</t>
        </is>
      </c>
      <c r="B45" s="27" t="n"/>
      <c r="C45" s="27" t="inlineStr">
        <is>
          <t>Pickles</t>
        </is>
      </c>
      <c r="D45" s="32" t="inlineStr">
        <is>
          <t>100021</t>
        </is>
      </c>
      <c r="E45" s="27" t="n"/>
      <c r="F45" s="29" t="n">
        <v>0</v>
      </c>
      <c r="G45" s="29" t="n">
        <v>84</v>
      </c>
      <c r="H45" s="27" t="inlineStr">
        <is>
          <t>Exclusive</t>
        </is>
      </c>
      <c r="I45" s="29" t="n">
        <v>77</v>
      </c>
      <c r="J45" s="27" t="inlineStr">
        <is>
          <t>Exclusive</t>
        </is>
      </c>
      <c r="K45" s="29" t="n">
        <v>84</v>
      </c>
      <c r="L45" s="29" t="n">
        <v>2</v>
      </c>
      <c r="M45" s="33" t="n">
        <v>1</v>
      </c>
      <c r="N45" s="27" t="inlineStr">
        <is>
          <t>Yes</t>
        </is>
      </c>
      <c r="O45" s="29" t="n">
        <v>0</v>
      </c>
      <c r="P45" s="30" t="n">
        <v>450</v>
      </c>
      <c r="Q45" s="31" t="inlineStr">
        <is>
          <t>In Stock</t>
        </is>
      </c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12.5" customHeight="1" s="85">
      <c r="A46" s="27" t="inlineStr">
        <is>
          <t>ANUS PALADA MIX</t>
        </is>
      </c>
      <c r="B46" s="27" t="n"/>
      <c r="C46" s="27" t="inlineStr">
        <is>
          <t>Ready to Eat &amp; Mixes</t>
        </is>
      </c>
      <c r="D46" s="28" t="inlineStr">
        <is>
          <t>8904406126819</t>
        </is>
      </c>
      <c r="E46" s="27" t="n"/>
      <c r="F46" s="29" t="n">
        <v>0</v>
      </c>
      <c r="G46" s="29" t="n">
        <v>75</v>
      </c>
      <c r="H46" s="27" t="inlineStr">
        <is>
          <t>Exclusive</t>
        </is>
      </c>
      <c r="I46" s="29" t="n">
        <v>74</v>
      </c>
      <c r="J46" s="27" t="inlineStr">
        <is>
          <t>Exclusive</t>
        </is>
      </c>
      <c r="K46" s="29" t="n">
        <v>75</v>
      </c>
      <c r="L46" s="29" t="n">
        <v>1</v>
      </c>
      <c r="M46" s="33" t="n">
        <v>1</v>
      </c>
      <c r="N46" s="27" t="inlineStr">
        <is>
          <t>Yes</t>
        </is>
      </c>
      <c r="O46" s="29" t="n">
        <v>0</v>
      </c>
      <c r="P46" s="30" t="n">
        <v>450</v>
      </c>
      <c r="Q46" s="31" t="inlineStr">
        <is>
          <t>In Stock</t>
        </is>
      </c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2.5" customHeight="1" s="85">
      <c r="A47" s="27" t="inlineStr">
        <is>
          <t>ANUS PULI TAMARIND 250</t>
        </is>
      </c>
      <c r="B47" s="27" t="n"/>
      <c r="C47" s="27" t="inlineStr">
        <is>
          <t>Masalas &amp; Spices</t>
        </is>
      </c>
      <c r="D47" s="28" t="inlineStr">
        <is>
          <t>8904406127441</t>
        </is>
      </c>
      <c r="E47" s="27" t="n"/>
      <c r="F47" s="29" t="n">
        <v>0</v>
      </c>
      <c r="G47" s="29" t="n">
        <v>50</v>
      </c>
      <c r="H47" s="27" t="inlineStr">
        <is>
          <t>Exclusive</t>
        </is>
      </c>
      <c r="I47" s="29" t="n">
        <v>45</v>
      </c>
      <c r="J47" s="27" t="inlineStr">
        <is>
          <t>Exclusive</t>
        </is>
      </c>
      <c r="K47" s="29" t="n">
        <v>50</v>
      </c>
      <c r="L47" s="29" t="n">
        <v>0</v>
      </c>
      <c r="M47" s="33" t="n">
        <v>1</v>
      </c>
      <c r="N47" s="27" t="inlineStr">
        <is>
          <t>Yes</t>
        </is>
      </c>
      <c r="O47" s="29" t="n">
        <v>0</v>
      </c>
      <c r="P47" s="30" t="n">
        <v>450</v>
      </c>
      <c r="Q47" s="31" t="inlineStr">
        <is>
          <t>In Stock</t>
        </is>
      </c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2.5" customHeight="1" s="85">
      <c r="A48" s="27" t="inlineStr">
        <is>
          <t>ANUS SABUDANA CHOWARY 100GM</t>
        </is>
      </c>
      <c r="B48" s="27" t="n"/>
      <c r="C48" s="27" t="inlineStr">
        <is>
          <t>Grains &amp; Flours</t>
        </is>
      </c>
      <c r="D48" s="28" t="inlineStr">
        <is>
          <t>8904406127281</t>
        </is>
      </c>
      <c r="E48" s="27" t="n"/>
      <c r="F48" s="29" t="n">
        <v>0</v>
      </c>
      <c r="G48" s="29" t="n">
        <v>23</v>
      </c>
      <c r="H48" s="27" t="inlineStr">
        <is>
          <t>Exclusive</t>
        </is>
      </c>
      <c r="I48" s="29" t="n">
        <v>20</v>
      </c>
      <c r="J48" s="27" t="inlineStr">
        <is>
          <t>Exclusive</t>
        </is>
      </c>
      <c r="K48" s="29" t="n">
        <v>23</v>
      </c>
      <c r="L48" s="29" t="n">
        <v>0</v>
      </c>
      <c r="M48" s="33" t="n">
        <v>1</v>
      </c>
      <c r="N48" s="27" t="inlineStr">
        <is>
          <t>Yes</t>
        </is>
      </c>
      <c r="O48" s="29" t="n">
        <v>0</v>
      </c>
      <c r="P48" s="30" t="n">
        <v>450</v>
      </c>
      <c r="Q48" s="31" t="inlineStr">
        <is>
          <t>In Stock</t>
        </is>
      </c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2.5" customHeight="1" s="85">
      <c r="A49" s="27" t="inlineStr">
        <is>
          <t>ANUS SODAPODI 100GM</t>
        </is>
      </c>
      <c r="B49" s="27" t="n"/>
      <c r="C49" s="27" t="inlineStr">
        <is>
          <t>Ready to Eat &amp; Mixes</t>
        </is>
      </c>
      <c r="D49" s="28" t="inlineStr">
        <is>
          <t>214246761197</t>
        </is>
      </c>
      <c r="E49" s="27" t="n"/>
      <c r="F49" s="29" t="n">
        <v>0</v>
      </c>
      <c r="G49" s="29" t="n">
        <v>18</v>
      </c>
      <c r="H49" s="27" t="inlineStr">
        <is>
          <t>Exclusive</t>
        </is>
      </c>
      <c r="I49" s="29" t="n">
        <v>15</v>
      </c>
      <c r="J49" s="27" t="inlineStr">
        <is>
          <t>Exclusive</t>
        </is>
      </c>
      <c r="K49" s="29" t="n">
        <v>18</v>
      </c>
      <c r="L49" s="29" t="n">
        <v>4</v>
      </c>
      <c r="M49" s="33" t="n">
        <v>1</v>
      </c>
      <c r="N49" s="27" t="inlineStr">
        <is>
          <t>Yes</t>
        </is>
      </c>
      <c r="O49" s="29" t="n">
        <v>0</v>
      </c>
      <c r="P49" s="30" t="n">
        <v>450</v>
      </c>
      <c r="Q49" s="31" t="inlineStr">
        <is>
          <t>In Stock</t>
        </is>
      </c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2.5" customHeight="1" s="85">
      <c r="A50" s="27" t="inlineStr">
        <is>
          <t>ANUS TAMARIND 500GM</t>
        </is>
      </c>
      <c r="B50" s="27" t="n"/>
      <c r="C50" s="27" t="inlineStr">
        <is>
          <t>Masalas &amp; Spices</t>
        </is>
      </c>
      <c r="D50" s="28" t="inlineStr">
        <is>
          <t>217973763491</t>
        </is>
      </c>
      <c r="E50" s="27" t="n"/>
      <c r="F50" s="29" t="n">
        <v>0</v>
      </c>
      <c r="G50" s="29" t="n">
        <v>105</v>
      </c>
      <c r="H50" s="27" t="inlineStr">
        <is>
          <t>Exclusive</t>
        </is>
      </c>
      <c r="I50" s="29" t="n">
        <v>85</v>
      </c>
      <c r="J50" s="27" t="inlineStr">
        <is>
          <t>Exclusive</t>
        </is>
      </c>
      <c r="K50" s="29" t="n">
        <v>105</v>
      </c>
      <c r="L50" s="29" t="n">
        <v>0</v>
      </c>
      <c r="M50" s="33" t="n">
        <v>1</v>
      </c>
      <c r="N50" s="27" t="inlineStr">
        <is>
          <t>Yes</t>
        </is>
      </c>
      <c r="O50" s="29" t="n">
        <v>0</v>
      </c>
      <c r="P50" s="30" t="n">
        <v>450</v>
      </c>
      <c r="Q50" s="31" t="inlineStr">
        <is>
          <t>In Stock</t>
        </is>
      </c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12.5" customHeight="1" s="85">
      <c r="A51" s="27" t="inlineStr">
        <is>
          <t>ANUS YEAST POUCH</t>
        </is>
      </c>
      <c r="B51" s="27" t="n"/>
      <c r="C51" s="27" t="inlineStr">
        <is>
          <t>Ready to Eat &amp; Mixes</t>
        </is>
      </c>
      <c r="D51" s="32" t="inlineStr">
        <is>
          <t>100022</t>
        </is>
      </c>
      <c r="E51" s="27" t="n"/>
      <c r="F51" s="29" t="n">
        <v>0</v>
      </c>
      <c r="G51" s="29" t="n">
        <v>15</v>
      </c>
      <c r="H51" s="27" t="inlineStr">
        <is>
          <t>Exclusive</t>
        </is>
      </c>
      <c r="I51" s="29" t="n">
        <v>10</v>
      </c>
      <c r="J51" s="27" t="inlineStr">
        <is>
          <t>Exclusive</t>
        </is>
      </c>
      <c r="K51" s="29" t="n">
        <v>0</v>
      </c>
      <c r="L51" s="29" t="n">
        <v>0</v>
      </c>
      <c r="M51" s="33" t="n">
        <v>1</v>
      </c>
      <c r="N51" s="27" t="inlineStr">
        <is>
          <t>Yes</t>
        </is>
      </c>
      <c r="O51" s="29" t="n">
        <v>0</v>
      </c>
      <c r="P51" s="30" t="n">
        <v>450</v>
      </c>
      <c r="Q51" s="31" t="inlineStr">
        <is>
          <t>In Stock</t>
        </is>
      </c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12.5" customHeight="1" s="85">
      <c r="A52" s="27" t="inlineStr">
        <is>
          <t>ARHAR DAAL 500GM</t>
        </is>
      </c>
      <c r="B52" s="27" t="n"/>
      <c r="C52" s="27" t="inlineStr">
        <is>
          <t>Grains &amp; Flours</t>
        </is>
      </c>
      <c r="D52" s="28" t="inlineStr">
        <is>
          <t>376324123723</t>
        </is>
      </c>
      <c r="E52" s="27" t="n"/>
      <c r="F52" s="29" t="n">
        <v>0</v>
      </c>
      <c r="G52" s="29" t="n">
        <v>88</v>
      </c>
      <c r="H52" s="27" t="inlineStr">
        <is>
          <t>Exclusive</t>
        </is>
      </c>
      <c r="I52" s="29" t="n">
        <v>76</v>
      </c>
      <c r="J52" s="27" t="inlineStr">
        <is>
          <t>Exclusive</t>
        </is>
      </c>
      <c r="K52" s="29" t="n">
        <v>88</v>
      </c>
      <c r="L52" s="29" t="n">
        <v>5</v>
      </c>
      <c r="M52" s="33" t="n">
        <v>1</v>
      </c>
      <c r="N52" s="27" t="inlineStr">
        <is>
          <t>Yes</t>
        </is>
      </c>
      <c r="O52" s="29" t="n">
        <v>0</v>
      </c>
      <c r="P52" s="30" t="n">
        <v>450</v>
      </c>
      <c r="Q52" s="31" t="inlineStr">
        <is>
          <t>In Stock</t>
        </is>
      </c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2.5" customHeight="1" s="85">
      <c r="A53" s="27" t="inlineStr">
        <is>
          <t>ASMAANI KITAB</t>
        </is>
      </c>
      <c r="B53" s="27" t="n"/>
      <c r="C53" s="27" t="inlineStr">
        <is>
          <t>Books &amp; Bibles</t>
        </is>
      </c>
      <c r="D53" s="28" t="inlineStr">
        <is>
          <t>947348180967</t>
        </is>
      </c>
      <c r="E53" s="27" t="n"/>
      <c r="F53" s="29" t="n">
        <v>0</v>
      </c>
      <c r="G53" s="29" t="n">
        <v>170</v>
      </c>
      <c r="H53" s="27" t="inlineStr">
        <is>
          <t>Exclusive</t>
        </is>
      </c>
      <c r="I53" s="29" t="n">
        <v>85</v>
      </c>
      <c r="J53" s="27" t="inlineStr">
        <is>
          <t>Exclusive</t>
        </is>
      </c>
      <c r="K53" s="29" t="n">
        <v>225</v>
      </c>
      <c r="L53" s="29" t="n">
        <v>339</v>
      </c>
      <c r="M53" s="33" t="n">
        <v>1</v>
      </c>
      <c r="N53" s="27" t="inlineStr">
        <is>
          <t>Yes</t>
        </is>
      </c>
      <c r="O53" s="29" t="n">
        <v>0</v>
      </c>
      <c r="P53" s="30" t="n">
        <v>450</v>
      </c>
      <c r="Q53" s="31" t="inlineStr">
        <is>
          <t>In Stock</t>
        </is>
      </c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2.5" customHeight="1" s="85">
      <c r="A54" s="27" t="inlineStr">
        <is>
          <t>ASSAM TEA 250GM</t>
        </is>
      </c>
      <c r="B54" s="27" t="n"/>
      <c r="C54" s="27" t="inlineStr">
        <is>
          <t>Beverages</t>
        </is>
      </c>
      <c r="D54" s="28" t="inlineStr">
        <is>
          <t>8901304245185</t>
        </is>
      </c>
      <c r="E54" s="27" t="n"/>
      <c r="F54" s="29" t="n">
        <v>0</v>
      </c>
      <c r="G54" s="29" t="n">
        <v>140</v>
      </c>
      <c r="H54" s="27" t="inlineStr">
        <is>
          <t>Inclusive</t>
        </is>
      </c>
      <c r="I54" s="29" t="n">
        <v>130</v>
      </c>
      <c r="J54" s="27" t="inlineStr">
        <is>
          <t>Inclusive</t>
        </is>
      </c>
      <c r="K54" s="29" t="n">
        <v>140</v>
      </c>
      <c r="L54" s="29" t="n">
        <v>0</v>
      </c>
      <c r="M54" s="33" t="n">
        <v>1</v>
      </c>
      <c r="N54" s="27" t="inlineStr">
        <is>
          <t>Yes</t>
        </is>
      </c>
      <c r="O54" s="29" t="n">
        <v>0</v>
      </c>
      <c r="P54" s="30" t="n">
        <v>450</v>
      </c>
      <c r="Q54" s="31" t="inlineStr">
        <is>
          <t>In Stock</t>
        </is>
      </c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12.5" customHeight="1" s="85">
      <c r="A55" s="27" t="inlineStr">
        <is>
          <t>ATMI</t>
        </is>
      </c>
      <c r="B55" s="27" t="n"/>
      <c r="C55" s="27" t="inlineStr">
        <is>
          <t>Books &amp; Bibles</t>
        </is>
      </c>
      <c r="D55" s="32" t="inlineStr">
        <is>
          <t>100023</t>
        </is>
      </c>
      <c r="E55" s="27" t="n"/>
      <c r="F55" s="29" t="n">
        <v>0</v>
      </c>
      <c r="G55" s="29" t="n">
        <v>40</v>
      </c>
      <c r="H55" s="27" t="inlineStr">
        <is>
          <t>Exclusive</t>
        </is>
      </c>
      <c r="I55" s="29" t="n">
        <v>0</v>
      </c>
      <c r="J55" s="27" t="inlineStr">
        <is>
          <t>Exclusive</t>
        </is>
      </c>
      <c r="K55" s="29" t="n">
        <v>0</v>
      </c>
      <c r="L55" s="29" t="n">
        <v>0</v>
      </c>
      <c r="M55" s="33" t="n">
        <v>1</v>
      </c>
      <c r="N55" s="27" t="inlineStr">
        <is>
          <t>Yes</t>
        </is>
      </c>
      <c r="O55" s="29" t="n">
        <v>0</v>
      </c>
      <c r="P55" s="30" t="n">
        <v>450</v>
      </c>
      <c r="Q55" s="31" t="inlineStr">
        <is>
          <t>In Stock</t>
        </is>
      </c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12.5" customHeight="1" s="85">
      <c r="A56" s="27" t="inlineStr">
        <is>
          <t>AVAL VILAYICHATHU</t>
        </is>
      </c>
      <c r="B56" s="27" t="n"/>
      <c r="C56" s="27" t="inlineStr">
        <is>
          <t>Snacks</t>
        </is>
      </c>
      <c r="D56" s="32" t="inlineStr">
        <is>
          <t>100024</t>
        </is>
      </c>
      <c r="E56" s="27" t="n"/>
      <c r="F56" s="29" t="n">
        <v>0</v>
      </c>
      <c r="G56" s="29" t="n">
        <v>70</v>
      </c>
      <c r="H56" s="27" t="inlineStr">
        <is>
          <t>Exclusive</t>
        </is>
      </c>
      <c r="I56" s="29" t="n">
        <v>60</v>
      </c>
      <c r="J56" s="27" t="inlineStr">
        <is>
          <t>Exclusive</t>
        </is>
      </c>
      <c r="K56" s="29" t="n">
        <v>70</v>
      </c>
      <c r="L56" s="29" t="n">
        <v>0</v>
      </c>
      <c r="M56" s="33" t="n">
        <v>1</v>
      </c>
      <c r="N56" s="27" t="inlineStr">
        <is>
          <t>Yes</t>
        </is>
      </c>
      <c r="O56" s="29" t="n">
        <v>0</v>
      </c>
      <c r="P56" s="30" t="n">
        <v>450</v>
      </c>
      <c r="Q56" s="31" t="inlineStr">
        <is>
          <t>In Stock</t>
        </is>
      </c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12.5" customHeight="1" s="85">
      <c r="A57" s="27" t="inlineStr">
        <is>
          <t>AVIL VARUTHATHU 250GM</t>
        </is>
      </c>
      <c r="B57" s="27" t="n"/>
      <c r="C57" s="27" t="inlineStr">
        <is>
          <t>Snacks</t>
        </is>
      </c>
      <c r="D57" s="28" t="inlineStr">
        <is>
          <t>957659812986</t>
        </is>
      </c>
      <c r="E57" s="27" t="n"/>
      <c r="F57" s="29" t="n">
        <v>0</v>
      </c>
      <c r="G57" s="29" t="n">
        <v>45</v>
      </c>
      <c r="H57" s="27" t="inlineStr">
        <is>
          <t>Exclusive</t>
        </is>
      </c>
      <c r="I57" s="29" t="n">
        <v>35</v>
      </c>
      <c r="J57" s="27" t="inlineStr">
        <is>
          <t>Exclusive</t>
        </is>
      </c>
      <c r="K57" s="29" t="n">
        <v>50</v>
      </c>
      <c r="L57" s="29" t="n">
        <v>0</v>
      </c>
      <c r="M57" s="33" t="n">
        <v>1</v>
      </c>
      <c r="N57" s="27" t="inlineStr">
        <is>
          <t>Yes</t>
        </is>
      </c>
      <c r="O57" s="29" t="n">
        <v>0</v>
      </c>
      <c r="P57" s="30" t="n">
        <v>450</v>
      </c>
      <c r="Q57" s="31" t="inlineStr">
        <is>
          <t>In Stock</t>
        </is>
      </c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12.5" customHeight="1" s="85">
      <c r="A58" s="27" t="inlineStr">
        <is>
          <t>AVT TEA 100GM</t>
        </is>
      </c>
      <c r="B58" s="27" t="n"/>
      <c r="C58" s="27" t="inlineStr">
        <is>
          <t>Beverages</t>
        </is>
      </c>
      <c r="D58" s="28" t="inlineStr">
        <is>
          <t>8902042111053</t>
        </is>
      </c>
      <c r="E58" s="27" t="n"/>
      <c r="F58" s="29" t="n">
        <v>0</v>
      </c>
      <c r="G58" s="29" t="n">
        <v>60</v>
      </c>
      <c r="H58" s="27" t="inlineStr">
        <is>
          <t>Exclusive</t>
        </is>
      </c>
      <c r="I58" s="29" t="n">
        <v>40</v>
      </c>
      <c r="J58" s="27" t="inlineStr">
        <is>
          <t>Exclusive</t>
        </is>
      </c>
      <c r="K58" s="29" t="n">
        <v>60</v>
      </c>
      <c r="L58" s="29" t="n">
        <v>0</v>
      </c>
      <c r="M58" s="33" t="n">
        <v>1</v>
      </c>
      <c r="N58" s="27" t="inlineStr">
        <is>
          <t>Yes</t>
        </is>
      </c>
      <c r="O58" s="29" t="n">
        <v>0</v>
      </c>
      <c r="P58" s="30" t="n">
        <v>450</v>
      </c>
      <c r="Q58" s="31" t="inlineStr">
        <is>
          <t>In Stock</t>
        </is>
      </c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12.5" customHeight="1" s="85">
      <c r="A59" s="27" t="inlineStr">
        <is>
          <t>AVT TEA POWDER 250GM</t>
        </is>
      </c>
      <c r="B59" s="27" t="n"/>
      <c r="C59" s="27" t="inlineStr">
        <is>
          <t>Beverages</t>
        </is>
      </c>
      <c r="D59" s="28" t="inlineStr">
        <is>
          <t>8902042111060</t>
        </is>
      </c>
      <c r="E59" s="27" t="n"/>
      <c r="F59" s="29" t="n">
        <v>0</v>
      </c>
      <c r="G59" s="29" t="n">
        <v>130</v>
      </c>
      <c r="H59" s="27" t="inlineStr">
        <is>
          <t>Exclusive</t>
        </is>
      </c>
      <c r="I59" s="29" t="n">
        <v>110</v>
      </c>
      <c r="J59" s="27" t="inlineStr">
        <is>
          <t>Exclusive</t>
        </is>
      </c>
      <c r="K59" s="29" t="n">
        <v>0</v>
      </c>
      <c r="L59" s="29" t="n">
        <v>0</v>
      </c>
      <c r="M59" s="33" t="n">
        <v>1</v>
      </c>
      <c r="N59" s="27" t="inlineStr">
        <is>
          <t>Yes</t>
        </is>
      </c>
      <c r="O59" s="29" t="n">
        <v>0</v>
      </c>
      <c r="P59" s="30" t="n">
        <v>450</v>
      </c>
      <c r="Q59" s="31" t="inlineStr">
        <is>
          <t>In Stock</t>
        </is>
      </c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12.5" customHeight="1" s="85">
      <c r="A60" s="27" t="inlineStr">
        <is>
          <t>BADGE PRINTING</t>
        </is>
      </c>
      <c r="B60" s="27" t="n"/>
      <c r="C60" s="27" t="inlineStr">
        <is>
          <t>Stationery</t>
        </is>
      </c>
      <c r="D60" s="32" t="inlineStr">
        <is>
          <t>100025</t>
        </is>
      </c>
      <c r="E60" s="27" t="n"/>
      <c r="F60" s="29" t="n">
        <v>0</v>
      </c>
      <c r="G60" s="29" t="n">
        <v>10</v>
      </c>
      <c r="H60" s="27" t="inlineStr">
        <is>
          <t>Exclusive</t>
        </is>
      </c>
      <c r="I60" s="29" t="n">
        <v>5</v>
      </c>
      <c r="J60" s="27" t="inlineStr">
        <is>
          <t>Exclusive</t>
        </is>
      </c>
      <c r="K60" s="29" t="n">
        <v>15</v>
      </c>
      <c r="L60" s="29" t="n">
        <v>0</v>
      </c>
      <c r="M60" s="33" t="n">
        <v>1</v>
      </c>
      <c r="N60" s="27" t="inlineStr">
        <is>
          <t>No</t>
        </is>
      </c>
      <c r="O60" s="29" t="n">
        <v>0</v>
      </c>
      <c r="P60" s="30" t="n">
        <v>450</v>
      </c>
      <c r="Q60" s="31" t="inlineStr">
        <is>
          <t>In Stock</t>
        </is>
      </c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12.5" customHeight="1" s="85">
      <c r="A61" s="27" t="inlineStr">
        <is>
          <t>BALL PLASTIC 20</t>
        </is>
      </c>
      <c r="B61" s="27" t="n"/>
      <c r="C61" s="27" t="inlineStr">
        <is>
          <t>Stationery</t>
        </is>
      </c>
      <c r="D61" s="32" t="inlineStr">
        <is>
          <t>100026</t>
        </is>
      </c>
      <c r="E61" s="27" t="n"/>
      <c r="F61" s="29" t="n">
        <v>0</v>
      </c>
      <c r="G61" s="29" t="n">
        <v>20</v>
      </c>
      <c r="H61" s="27" t="inlineStr">
        <is>
          <t>Exclusive</t>
        </is>
      </c>
      <c r="I61" s="29" t="n">
        <v>15</v>
      </c>
      <c r="J61" s="27" t="inlineStr">
        <is>
          <t>Exclusive</t>
        </is>
      </c>
      <c r="K61" s="29" t="n">
        <v>20</v>
      </c>
      <c r="L61" s="29" t="n">
        <v>8</v>
      </c>
      <c r="M61" s="33" t="n">
        <v>1</v>
      </c>
      <c r="N61" s="27" t="inlineStr">
        <is>
          <t>No</t>
        </is>
      </c>
      <c r="O61" s="29" t="n">
        <v>0</v>
      </c>
      <c r="P61" s="30" t="n">
        <v>450</v>
      </c>
      <c r="Q61" s="31" t="inlineStr">
        <is>
          <t>In Stock</t>
        </is>
      </c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12.5" customHeight="1" s="85">
      <c r="A62" s="27" t="inlineStr">
        <is>
          <t>BALL THERMOCOL 25</t>
        </is>
      </c>
      <c r="B62" s="27" t="n"/>
      <c r="C62" s="27" t="inlineStr">
        <is>
          <t>Stationery</t>
        </is>
      </c>
      <c r="D62" s="32" t="inlineStr">
        <is>
          <t>100027</t>
        </is>
      </c>
      <c r="E62" s="27" t="n"/>
      <c r="F62" s="29" t="n">
        <v>0</v>
      </c>
      <c r="G62" s="29" t="n">
        <v>25</v>
      </c>
      <c r="H62" s="27" t="inlineStr">
        <is>
          <t>Exclusive</t>
        </is>
      </c>
      <c r="I62" s="29" t="n">
        <v>20</v>
      </c>
      <c r="J62" s="27" t="inlineStr">
        <is>
          <t>Exclusive</t>
        </is>
      </c>
      <c r="K62" s="29" t="n">
        <v>25</v>
      </c>
      <c r="L62" s="29" t="n">
        <v>15</v>
      </c>
      <c r="M62" s="33" t="n">
        <v>1</v>
      </c>
      <c r="N62" s="27" t="inlineStr">
        <is>
          <t>No</t>
        </is>
      </c>
      <c r="O62" s="29" t="n">
        <v>0</v>
      </c>
      <c r="P62" s="30" t="n">
        <v>450</v>
      </c>
      <c r="Q62" s="31" t="inlineStr">
        <is>
          <t>In Stock</t>
        </is>
      </c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12.5" customHeight="1" s="85">
      <c r="A63" s="27" t="inlineStr">
        <is>
          <t>BALOON</t>
        </is>
      </c>
      <c r="B63" s="27" t="n"/>
      <c r="C63" s="27" t="inlineStr">
        <is>
          <t>Stationery</t>
        </is>
      </c>
      <c r="D63" s="32" t="inlineStr">
        <is>
          <t>100028</t>
        </is>
      </c>
      <c r="E63" s="27" t="n"/>
      <c r="F63" s="29" t="n">
        <v>0</v>
      </c>
      <c r="G63" s="29" t="n">
        <v>25</v>
      </c>
      <c r="H63" s="27" t="inlineStr">
        <is>
          <t>Exclusive</t>
        </is>
      </c>
      <c r="I63" s="29" t="n">
        <v>20</v>
      </c>
      <c r="J63" s="27" t="inlineStr">
        <is>
          <t>Exclusive</t>
        </is>
      </c>
      <c r="K63" s="29" t="n">
        <v>25</v>
      </c>
      <c r="L63" s="29" t="n">
        <v>2</v>
      </c>
      <c r="M63" s="33" t="n">
        <v>1</v>
      </c>
      <c r="N63" s="27" t="inlineStr">
        <is>
          <t>No</t>
        </is>
      </c>
      <c r="O63" s="29" t="n">
        <v>0</v>
      </c>
      <c r="P63" s="30" t="n">
        <v>450</v>
      </c>
      <c r="Q63" s="31" t="inlineStr">
        <is>
          <t>In Stock</t>
        </is>
      </c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12.5" customHeight="1" s="85">
      <c r="A64" s="27" t="inlineStr">
        <is>
          <t>BALOON 1PC</t>
        </is>
      </c>
      <c r="B64" s="27" t="n"/>
      <c r="C64" s="27" t="inlineStr">
        <is>
          <t>Stationery</t>
        </is>
      </c>
      <c r="D64" s="32" t="inlineStr">
        <is>
          <t>100029</t>
        </is>
      </c>
      <c r="E64" s="27" t="n"/>
      <c r="F64" s="29" t="n">
        <v>0</v>
      </c>
      <c r="G64" s="29" t="n">
        <v>2</v>
      </c>
      <c r="H64" s="27" t="inlineStr">
        <is>
          <t>Exclusive</t>
        </is>
      </c>
      <c r="I64" s="29" t="n">
        <v>1</v>
      </c>
      <c r="J64" s="27" t="inlineStr">
        <is>
          <t>Exclusive</t>
        </is>
      </c>
      <c r="K64" s="29" t="n">
        <v>2</v>
      </c>
      <c r="L64" s="29" t="n">
        <v>1</v>
      </c>
      <c r="M64" s="33" t="n">
        <v>1</v>
      </c>
      <c r="N64" s="27" t="inlineStr">
        <is>
          <t>No</t>
        </is>
      </c>
      <c r="O64" s="29" t="n">
        <v>0</v>
      </c>
      <c r="P64" s="30" t="n">
        <v>450</v>
      </c>
      <c r="Q64" s="31" t="inlineStr">
        <is>
          <t>In Stock</t>
        </is>
      </c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12.5" customHeight="1" s="85">
      <c r="A65" s="27" t="inlineStr">
        <is>
          <t>BANANA CHIPS 100GM PACKED</t>
        </is>
      </c>
      <c r="B65" s="27" t="n"/>
      <c r="C65" s="27" t="inlineStr">
        <is>
          <t>Snacks</t>
        </is>
      </c>
      <c r="D65" s="28" t="inlineStr">
        <is>
          <t>404931692342</t>
        </is>
      </c>
      <c r="E65" s="27" t="n"/>
      <c r="F65" s="29" t="n">
        <v>0</v>
      </c>
      <c r="G65" s="29" t="n">
        <v>55</v>
      </c>
      <c r="H65" s="27" t="inlineStr">
        <is>
          <t>Exclusive</t>
        </is>
      </c>
      <c r="I65" s="29" t="n">
        <v>40</v>
      </c>
      <c r="J65" s="27" t="inlineStr">
        <is>
          <t>Exclusive</t>
        </is>
      </c>
      <c r="K65" s="29" t="n">
        <v>60</v>
      </c>
      <c r="L65" s="29" t="n">
        <v>0</v>
      </c>
      <c r="M65" s="33" t="n">
        <v>1</v>
      </c>
      <c r="N65" s="27" t="inlineStr">
        <is>
          <t>Yes</t>
        </is>
      </c>
      <c r="O65" s="29" t="n">
        <v>0</v>
      </c>
      <c r="P65" s="30" t="n">
        <v>450</v>
      </c>
      <c r="Q65" s="31" t="inlineStr">
        <is>
          <t>In Stock</t>
        </is>
      </c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2.5" customHeight="1" s="85">
      <c r="A66" s="27" t="inlineStr">
        <is>
          <t>BANANA CHIPS 250GM</t>
        </is>
      </c>
      <c r="B66" s="27" t="n"/>
      <c r="C66" s="27" t="inlineStr">
        <is>
          <t>Snacks</t>
        </is>
      </c>
      <c r="D66" s="28" t="inlineStr">
        <is>
          <t>573544474783</t>
        </is>
      </c>
      <c r="E66" s="27" t="n"/>
      <c r="F66" s="29" t="n">
        <v>0</v>
      </c>
      <c r="G66" s="29" t="n">
        <v>150</v>
      </c>
      <c r="H66" s="27" t="inlineStr">
        <is>
          <t>Exclusive</t>
        </is>
      </c>
      <c r="I66" s="29" t="n">
        <v>120</v>
      </c>
      <c r="J66" s="27" t="inlineStr">
        <is>
          <t>Exclusive</t>
        </is>
      </c>
      <c r="K66" s="29" t="n">
        <v>170</v>
      </c>
      <c r="L66" s="29" t="n">
        <v>0</v>
      </c>
      <c r="M66" s="33" t="n">
        <v>1</v>
      </c>
      <c r="N66" s="27" t="inlineStr">
        <is>
          <t>Yes</t>
        </is>
      </c>
      <c r="O66" s="29" t="n">
        <v>0</v>
      </c>
      <c r="P66" s="30" t="n">
        <v>450</v>
      </c>
      <c r="Q66" s="31" t="inlineStr">
        <is>
          <t>In Stock</t>
        </is>
      </c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12.5" customHeight="1" s="85">
      <c r="A67" s="27" t="inlineStr">
        <is>
          <t>BANANA CHIPS (COCONUT OIL) 250GM</t>
        </is>
      </c>
      <c r="B67" s="27" t="n"/>
      <c r="C67" s="27" t="inlineStr">
        <is>
          <t>Snacks</t>
        </is>
      </c>
      <c r="D67" s="28" t="inlineStr">
        <is>
          <t>112233</t>
        </is>
      </c>
      <c r="E67" s="27" t="n"/>
      <c r="F67" s="29" t="n">
        <v>0</v>
      </c>
      <c r="G67" s="29" t="n">
        <v>175</v>
      </c>
      <c r="H67" s="27" t="inlineStr">
        <is>
          <t>Exclusive</t>
        </is>
      </c>
      <c r="I67" s="29" t="n">
        <v>130</v>
      </c>
      <c r="J67" s="27" t="inlineStr">
        <is>
          <t>Exclusive</t>
        </is>
      </c>
      <c r="K67" s="29" t="n">
        <v>180</v>
      </c>
      <c r="L67" s="29" t="n">
        <v>11</v>
      </c>
      <c r="M67" s="33" t="n">
        <v>1</v>
      </c>
      <c r="N67" s="27" t="inlineStr">
        <is>
          <t>Yes</t>
        </is>
      </c>
      <c r="O67" s="29" t="n">
        <v>0</v>
      </c>
      <c r="P67" s="30" t="n">
        <v>450</v>
      </c>
      <c r="Q67" s="31" t="inlineStr">
        <is>
          <t>In Stock</t>
        </is>
      </c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12.5" customHeight="1" s="85">
      <c r="A68" s="27" t="inlineStr">
        <is>
          <t>BANANA CHIPS (COCONUT OIL) 250GM</t>
        </is>
      </c>
      <c r="B68" s="27" t="n"/>
      <c r="C68" s="27" t="inlineStr">
        <is>
          <t>Snacks</t>
        </is>
      </c>
      <c r="D68" s="28" t="inlineStr">
        <is>
          <t>564254278585</t>
        </is>
      </c>
      <c r="E68" s="27" t="n"/>
      <c r="F68" s="29" t="n">
        <v>0</v>
      </c>
      <c r="G68" s="29" t="n">
        <v>175</v>
      </c>
      <c r="H68" s="27" t="inlineStr">
        <is>
          <t>Exclusive</t>
        </is>
      </c>
      <c r="I68" s="29" t="n">
        <v>130</v>
      </c>
      <c r="J68" s="27" t="inlineStr">
        <is>
          <t>Exclusive</t>
        </is>
      </c>
      <c r="K68" s="29" t="n">
        <v>180</v>
      </c>
      <c r="L68" s="29" t="n">
        <v>1</v>
      </c>
      <c r="M68" s="33" t="n">
        <v>1</v>
      </c>
      <c r="N68" s="27" t="inlineStr">
        <is>
          <t>Yes</t>
        </is>
      </c>
      <c r="O68" s="29" t="n">
        <v>0</v>
      </c>
      <c r="P68" s="30" t="n">
        <v>450</v>
      </c>
      <c r="Q68" s="31" t="inlineStr">
        <is>
          <t>In Stock</t>
        </is>
      </c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12.5" customHeight="1" s="85">
      <c r="A69" s="27" t="inlineStr">
        <is>
          <t>BANANA CHIPS SMALL SLICE 250GM</t>
        </is>
      </c>
      <c r="B69" s="27" t="n"/>
      <c r="C69" s="27" t="inlineStr">
        <is>
          <t>Snacks</t>
        </is>
      </c>
      <c r="D69" s="28" t="inlineStr">
        <is>
          <t>501955159733</t>
        </is>
      </c>
      <c r="E69" s="27" t="n"/>
      <c r="F69" s="29" t="n">
        <v>0</v>
      </c>
      <c r="G69" s="29" t="n">
        <v>140</v>
      </c>
      <c r="H69" s="27" t="inlineStr">
        <is>
          <t>Exclusive</t>
        </is>
      </c>
      <c r="I69" s="29" t="n">
        <v>100</v>
      </c>
      <c r="J69" s="27" t="inlineStr">
        <is>
          <t>Exclusive</t>
        </is>
      </c>
      <c r="K69" s="29" t="n">
        <v>150</v>
      </c>
      <c r="L69" s="29" t="n">
        <v>0</v>
      </c>
      <c r="M69" s="33" t="n">
        <v>1</v>
      </c>
      <c r="N69" s="27" t="inlineStr">
        <is>
          <t>Yes</t>
        </is>
      </c>
      <c r="O69" s="29" t="n">
        <v>0</v>
      </c>
      <c r="P69" s="30" t="n">
        <v>450</v>
      </c>
      <c r="Q69" s="31" t="inlineStr">
        <is>
          <t>In Stock</t>
        </is>
      </c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12.5" customHeight="1" s="85">
      <c r="A70" s="27" t="inlineStr">
        <is>
          <t>BASUMATI RICE 1KG</t>
        </is>
      </c>
      <c r="B70" s="27" t="n"/>
      <c r="C70" s="27" t="inlineStr">
        <is>
          <t>Rice Items</t>
        </is>
      </c>
      <c r="D70" s="28" t="inlineStr">
        <is>
          <t>8906007287012</t>
        </is>
      </c>
      <c r="E70" s="27" t="n"/>
      <c r="F70" s="29" t="n">
        <v>0</v>
      </c>
      <c r="G70" s="29" t="n">
        <v>149</v>
      </c>
      <c r="H70" s="27" t="inlineStr">
        <is>
          <t>Exclusive</t>
        </is>
      </c>
      <c r="I70" s="29" t="n">
        <v>116</v>
      </c>
      <c r="J70" s="27" t="inlineStr">
        <is>
          <t>Exclusive</t>
        </is>
      </c>
      <c r="K70" s="29" t="n">
        <v>169</v>
      </c>
      <c r="L70" s="29" t="n">
        <v>2</v>
      </c>
      <c r="M70" s="27" t="n"/>
      <c r="N70" s="27" t="inlineStr">
        <is>
          <t>Yes</t>
        </is>
      </c>
      <c r="O70" s="29" t="n">
        <v>0</v>
      </c>
      <c r="P70" s="30" t="n">
        <v>450</v>
      </c>
      <c r="Q70" s="31" t="inlineStr">
        <is>
          <t>In Stock</t>
        </is>
      </c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12.5" customHeight="1" s="85">
      <c r="A71" s="27" t="inlineStr">
        <is>
          <t>BASUMATI RICE 1KG</t>
        </is>
      </c>
      <c r="B71" s="27" t="n"/>
      <c r="C71" s="27" t="inlineStr">
        <is>
          <t>Rice Items</t>
        </is>
      </c>
      <c r="D71" s="28" t="inlineStr">
        <is>
          <t>202838303039</t>
        </is>
      </c>
      <c r="E71" s="27" t="n"/>
      <c r="F71" s="29" t="n">
        <v>0</v>
      </c>
      <c r="G71" s="29" t="n">
        <v>136</v>
      </c>
      <c r="H71" s="27" t="inlineStr">
        <is>
          <t>Exclusive</t>
        </is>
      </c>
      <c r="I71" s="29" t="n">
        <v>118</v>
      </c>
      <c r="J71" s="27" t="inlineStr">
        <is>
          <t>Exclusive</t>
        </is>
      </c>
      <c r="K71" s="29" t="n">
        <v>152</v>
      </c>
      <c r="L71" s="29" t="n">
        <v>0</v>
      </c>
      <c r="M71" s="33" t="n">
        <v>1</v>
      </c>
      <c r="N71" s="27" t="inlineStr">
        <is>
          <t>Yes</t>
        </is>
      </c>
      <c r="O71" s="29" t="n">
        <v>0</v>
      </c>
      <c r="P71" s="30" t="n">
        <v>450</v>
      </c>
      <c r="Q71" s="31" t="inlineStr">
        <is>
          <t>In Stock</t>
        </is>
      </c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12.5" customHeight="1" s="85">
      <c r="A72" s="27" t="inlineStr">
        <is>
          <t>BB COOKIES</t>
        </is>
      </c>
      <c r="B72" s="27" t="n"/>
      <c r="C72" s="27" t="inlineStr">
        <is>
          <t>Snacks</t>
        </is>
      </c>
      <c r="D72" s="28" t="inlineStr">
        <is>
          <t>1000000125</t>
        </is>
      </c>
      <c r="E72" s="27" t="n"/>
      <c r="F72" s="29" t="n">
        <v>0</v>
      </c>
      <c r="G72" s="29" t="n">
        <v>190</v>
      </c>
      <c r="H72" s="27" t="inlineStr">
        <is>
          <t>Exclusive</t>
        </is>
      </c>
      <c r="I72" s="29" t="n">
        <v>180</v>
      </c>
      <c r="J72" s="27" t="inlineStr">
        <is>
          <t>Exclusive</t>
        </is>
      </c>
      <c r="K72" s="29" t="n">
        <v>190</v>
      </c>
      <c r="L72" s="29" t="n">
        <v>0</v>
      </c>
      <c r="M72" s="33" t="n">
        <v>1</v>
      </c>
      <c r="N72" s="27" t="inlineStr">
        <is>
          <t>Yes</t>
        </is>
      </c>
      <c r="O72" s="29" t="n">
        <v>0</v>
      </c>
      <c r="P72" s="30" t="n">
        <v>450</v>
      </c>
      <c r="Q72" s="31" t="inlineStr">
        <is>
          <t>In Stock</t>
        </is>
      </c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12.5" customHeight="1" s="85">
      <c r="A73" s="27" t="inlineStr">
        <is>
          <t>BEANS KADALA - MATTAR 500GM</t>
        </is>
      </c>
      <c r="B73" s="27" t="n"/>
      <c r="C73" s="27" t="inlineStr">
        <is>
          <t>Grains &amp; Flours</t>
        </is>
      </c>
      <c r="D73" s="28" t="inlineStr">
        <is>
          <t>413121627918</t>
        </is>
      </c>
      <c r="E73" s="27" t="n"/>
      <c r="F73" s="29" t="n">
        <v>0</v>
      </c>
      <c r="G73" s="29" t="n">
        <v>38</v>
      </c>
      <c r="H73" s="27" t="inlineStr">
        <is>
          <t>Exclusive</t>
        </is>
      </c>
      <c r="I73" s="29" t="n">
        <v>28</v>
      </c>
      <c r="J73" s="27" t="inlineStr">
        <is>
          <t>Exclusive</t>
        </is>
      </c>
      <c r="K73" s="29" t="n">
        <v>42</v>
      </c>
      <c r="L73" s="29" t="n">
        <v>1</v>
      </c>
      <c r="M73" s="33" t="n">
        <v>1</v>
      </c>
      <c r="N73" s="27" t="inlineStr">
        <is>
          <t>Yes</t>
        </is>
      </c>
      <c r="O73" s="29" t="n">
        <v>0</v>
      </c>
      <c r="P73" s="30" t="n">
        <v>450</v>
      </c>
      <c r="Q73" s="31" t="inlineStr">
        <is>
          <t>In Stock</t>
        </is>
      </c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12.5" customHeight="1" s="85">
      <c r="A74" s="27" t="inlineStr">
        <is>
          <t>BELL TYPE KEYCHAIN</t>
        </is>
      </c>
      <c r="B74" s="27" t="n"/>
      <c r="C74" s="27" t="inlineStr">
        <is>
          <t>Church Articles</t>
        </is>
      </c>
      <c r="D74" s="28" t="inlineStr">
        <is>
          <t>307588940274</t>
        </is>
      </c>
      <c r="E74" s="27" t="n"/>
      <c r="F74" s="29" t="n">
        <v>0</v>
      </c>
      <c r="G74" s="29" t="n">
        <v>30</v>
      </c>
      <c r="H74" s="27" t="inlineStr">
        <is>
          <t>Exclusive</t>
        </is>
      </c>
      <c r="I74" s="29" t="n">
        <v>18</v>
      </c>
      <c r="J74" s="27" t="inlineStr">
        <is>
          <t>Exclusive</t>
        </is>
      </c>
      <c r="K74" s="29" t="n">
        <v>40</v>
      </c>
      <c r="L74" s="29" t="n">
        <v>10</v>
      </c>
      <c r="M74" s="27" t="n"/>
      <c r="N74" s="27" t="inlineStr">
        <is>
          <t>Yes</t>
        </is>
      </c>
      <c r="O74" s="29" t="n">
        <v>0</v>
      </c>
      <c r="P74" s="30" t="n">
        <v>450</v>
      </c>
      <c r="Q74" s="31" t="inlineStr">
        <is>
          <t>In Stock</t>
        </is>
      </c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12.5" customHeight="1" s="85">
      <c r="A75" s="27" t="inlineStr">
        <is>
          <t>BIBLE AND GEETA</t>
        </is>
      </c>
      <c r="B75" s="27" t="n"/>
      <c r="C75" s="27" t="inlineStr">
        <is>
          <t>Books &amp; Bibles</t>
        </is>
      </c>
      <c r="D75" s="32" t="inlineStr">
        <is>
          <t>100031</t>
        </is>
      </c>
      <c r="E75" s="27" t="n"/>
      <c r="F75" s="29" t="n">
        <v>0</v>
      </c>
      <c r="G75" s="29" t="n">
        <v>80</v>
      </c>
      <c r="H75" s="27" t="inlineStr">
        <is>
          <t>Inclusive</t>
        </is>
      </c>
      <c r="I75" s="29" t="n">
        <v>70</v>
      </c>
      <c r="J75" s="27" t="inlineStr">
        <is>
          <t>Inclusive</t>
        </is>
      </c>
      <c r="K75" s="29" t="n">
        <v>100</v>
      </c>
      <c r="L75" s="29" t="n">
        <v>4</v>
      </c>
      <c r="M75" s="33" t="n">
        <v>1</v>
      </c>
      <c r="N75" s="27" t="inlineStr">
        <is>
          <t>Yes</t>
        </is>
      </c>
      <c r="O75" s="29" t="n">
        <v>0</v>
      </c>
      <c r="P75" s="30" t="n">
        <v>450</v>
      </c>
      <c r="Q75" s="31" t="inlineStr">
        <is>
          <t>In Stock</t>
        </is>
      </c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12.5" customHeight="1" s="85">
      <c r="A76" s="27" t="inlineStr">
        <is>
          <t>BIBLE BILINGUAL - HINDI ENGLISH</t>
        </is>
      </c>
      <c r="B76" s="27" t="n"/>
      <c r="C76" s="27" t="inlineStr">
        <is>
          <t>Books &amp; Bibles</t>
        </is>
      </c>
      <c r="D76" s="28" t="inlineStr">
        <is>
          <t>451195934499</t>
        </is>
      </c>
      <c r="E76" s="27" t="n"/>
      <c r="F76" s="29" t="n">
        <v>0</v>
      </c>
      <c r="G76" s="29" t="n">
        <v>2200</v>
      </c>
      <c r="H76" s="27" t="inlineStr">
        <is>
          <t>Inclusive</t>
        </is>
      </c>
      <c r="I76" s="29" t="n">
        <v>1800</v>
      </c>
      <c r="J76" s="27" t="inlineStr">
        <is>
          <t>Inclusive</t>
        </is>
      </c>
      <c r="K76" s="29" t="n">
        <v>2500</v>
      </c>
      <c r="L76" s="29" t="n">
        <v>1</v>
      </c>
      <c r="M76" s="33" t="n">
        <v>1</v>
      </c>
      <c r="N76" s="27" t="inlineStr">
        <is>
          <t>Yes</t>
        </is>
      </c>
      <c r="O76" s="29" t="n">
        <v>0</v>
      </c>
      <c r="P76" s="30" t="n">
        <v>450</v>
      </c>
      <c r="Q76" s="31" t="inlineStr">
        <is>
          <t>In Stock</t>
        </is>
      </c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12.5" customHeight="1" s="85">
      <c r="A77" s="27" t="inlineStr">
        <is>
          <t>BIBLE CHILDREN BALSULABH SACHITRA</t>
        </is>
      </c>
      <c r="B77" s="27" t="n"/>
      <c r="C77" s="27" t="inlineStr">
        <is>
          <t>Books &amp; Bibles</t>
        </is>
      </c>
      <c r="D77" s="32" t="inlineStr">
        <is>
          <t>100032</t>
        </is>
      </c>
      <c r="E77" s="27" t="n"/>
      <c r="F77" s="29" t="n">
        <v>0</v>
      </c>
      <c r="G77" s="29" t="n">
        <v>500</v>
      </c>
      <c r="H77" s="27" t="inlineStr">
        <is>
          <t>Inclusive</t>
        </is>
      </c>
      <c r="I77" s="29" t="n">
        <v>315</v>
      </c>
      <c r="J77" s="27" t="inlineStr">
        <is>
          <t>Inclusive</t>
        </is>
      </c>
      <c r="K77" s="29" t="n">
        <v>700</v>
      </c>
      <c r="L77" s="29" t="n">
        <v>69</v>
      </c>
      <c r="M77" s="33" t="n">
        <v>1</v>
      </c>
      <c r="N77" s="27" t="inlineStr">
        <is>
          <t>Yes</t>
        </is>
      </c>
      <c r="O77" s="29" t="n">
        <v>0</v>
      </c>
      <c r="P77" s="30" t="n">
        <v>450</v>
      </c>
      <c r="Q77" s="31" t="inlineStr">
        <is>
          <t>In Stock</t>
        </is>
      </c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12.5" customHeight="1" s="85">
      <c r="A78" s="27" t="inlineStr">
        <is>
          <t>BIBLE COVER GOOD QUALITY</t>
        </is>
      </c>
      <c r="B78" s="27" t="n"/>
      <c r="C78" s="27" t="inlineStr">
        <is>
          <t>Church Articles</t>
        </is>
      </c>
      <c r="D78" s="28" t="inlineStr">
        <is>
          <t>829352861043</t>
        </is>
      </c>
      <c r="E78" s="27" t="n"/>
      <c r="F78" s="29" t="n">
        <v>0</v>
      </c>
      <c r="G78" s="29" t="n">
        <v>220</v>
      </c>
      <c r="H78" s="27" t="inlineStr">
        <is>
          <t>Exclusive</t>
        </is>
      </c>
      <c r="I78" s="29" t="n">
        <v>105</v>
      </c>
      <c r="J78" s="27" t="inlineStr">
        <is>
          <t>Exclusive</t>
        </is>
      </c>
      <c r="K78" s="29" t="n">
        <v>250</v>
      </c>
      <c r="L78" s="29" t="n">
        <v>243</v>
      </c>
      <c r="M78" s="33" t="n">
        <v>1</v>
      </c>
      <c r="N78" s="27" t="inlineStr">
        <is>
          <t>Yes</t>
        </is>
      </c>
      <c r="O78" s="29" t="n">
        <v>0</v>
      </c>
      <c r="P78" s="30" t="n">
        <v>450</v>
      </c>
      <c r="Q78" s="31" t="inlineStr">
        <is>
          <t>In Stock</t>
        </is>
      </c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12.5" customHeight="1" s="85">
      <c r="A79" s="27" t="inlineStr">
        <is>
          <t>BIBLE COVER LATEST</t>
        </is>
      </c>
      <c r="B79" s="27" t="n"/>
      <c r="C79" s="27" t="inlineStr">
        <is>
          <t>Church Articles</t>
        </is>
      </c>
      <c r="D79" s="28" t="inlineStr">
        <is>
          <t>552508580053</t>
        </is>
      </c>
      <c r="E79" s="27" t="n"/>
      <c r="F79" s="29" t="n">
        <v>0</v>
      </c>
      <c r="G79" s="29" t="n">
        <v>180</v>
      </c>
      <c r="H79" s="27" t="inlineStr">
        <is>
          <t>Inclusive</t>
        </is>
      </c>
      <c r="I79" s="29" t="n">
        <v>90</v>
      </c>
      <c r="J79" s="27" t="inlineStr">
        <is>
          <t>Inclusive</t>
        </is>
      </c>
      <c r="K79" s="29" t="n">
        <v>200</v>
      </c>
      <c r="L79" s="29" t="n">
        <v>0</v>
      </c>
      <c r="M79" s="33" t="n">
        <v>1</v>
      </c>
      <c r="N79" s="27" t="inlineStr">
        <is>
          <t>Yes</t>
        </is>
      </c>
      <c r="O79" s="29" t="n">
        <v>0</v>
      </c>
      <c r="P79" s="30" t="n">
        <v>450</v>
      </c>
      <c r="Q79" s="31" t="inlineStr">
        <is>
          <t>In Stock</t>
        </is>
      </c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12.5" customHeight="1" s="85">
      <c r="A80" s="27" t="inlineStr">
        <is>
          <t>BIBLE GILT EDITION</t>
        </is>
      </c>
      <c r="B80" s="27" t="n"/>
      <c r="C80" s="27" t="inlineStr">
        <is>
          <t>Books &amp; Bibles</t>
        </is>
      </c>
      <c r="D80" s="32" t="inlineStr">
        <is>
          <t>100033</t>
        </is>
      </c>
      <c r="E80" s="27" t="n"/>
      <c r="F80" s="29" t="n">
        <v>0</v>
      </c>
      <c r="G80" s="29" t="n">
        <v>600</v>
      </c>
      <c r="H80" s="27" t="inlineStr">
        <is>
          <t>Exclusive</t>
        </is>
      </c>
      <c r="I80" s="29" t="n">
        <v>370</v>
      </c>
      <c r="J80" s="27" t="inlineStr">
        <is>
          <t>Exclusive</t>
        </is>
      </c>
      <c r="K80" s="29" t="n">
        <v>750</v>
      </c>
      <c r="L80" s="29" t="n">
        <v>1</v>
      </c>
      <c r="M80" s="33" t="n">
        <v>1</v>
      </c>
      <c r="N80" s="27" t="inlineStr">
        <is>
          <t>Yes</t>
        </is>
      </c>
      <c r="O80" s="29" t="n">
        <v>0</v>
      </c>
      <c r="P80" s="30" t="n">
        <v>450</v>
      </c>
      <c r="Q80" s="31" t="inlineStr">
        <is>
          <t>In Stock</t>
        </is>
      </c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12.5" customHeight="1" s="85">
      <c r="A81" s="27" t="inlineStr">
        <is>
          <t>BIBLE GREY EDGE</t>
        </is>
      </c>
      <c r="B81" s="27" t="n"/>
      <c r="C81" s="27" t="inlineStr">
        <is>
          <t>Books &amp; Bibles</t>
        </is>
      </c>
      <c r="D81" s="32" t="inlineStr">
        <is>
          <t>100034</t>
        </is>
      </c>
      <c r="E81" s="27" t="n"/>
      <c r="F81" s="29" t="n">
        <v>0</v>
      </c>
      <c r="G81" s="29" t="n">
        <v>300</v>
      </c>
      <c r="H81" s="27" t="inlineStr">
        <is>
          <t>Exclusive</t>
        </is>
      </c>
      <c r="I81" s="29" t="n">
        <v>170</v>
      </c>
      <c r="J81" s="27" t="inlineStr">
        <is>
          <t>Exclusive</t>
        </is>
      </c>
      <c r="K81" s="29" t="n">
        <v>300</v>
      </c>
      <c r="L81" s="29" t="n">
        <v>55</v>
      </c>
      <c r="M81" s="33" t="n">
        <v>1</v>
      </c>
      <c r="N81" s="27" t="inlineStr">
        <is>
          <t>Yes</t>
        </is>
      </c>
      <c r="O81" s="29" t="n">
        <v>0</v>
      </c>
      <c r="P81" s="30" t="n">
        <v>450</v>
      </c>
      <c r="Q81" s="31" t="inlineStr">
        <is>
          <t>In Stock</t>
        </is>
      </c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12.5" customHeight="1" s="85">
      <c r="A82" s="27" t="inlineStr">
        <is>
          <t>BIBLE KIDS VERSION ENGLISH</t>
        </is>
      </c>
      <c r="B82" s="27" t="n"/>
      <c r="C82" s="27" t="inlineStr">
        <is>
          <t>Books &amp; Bibles</t>
        </is>
      </c>
      <c r="D82" s="32" t="inlineStr">
        <is>
          <t>100035</t>
        </is>
      </c>
      <c r="E82" s="27" t="n"/>
      <c r="F82" s="29" t="n">
        <v>0</v>
      </c>
      <c r="G82" s="29" t="n">
        <v>300</v>
      </c>
      <c r="H82" s="27" t="inlineStr">
        <is>
          <t>Inclusive</t>
        </is>
      </c>
      <c r="I82" s="29" t="n">
        <v>200</v>
      </c>
      <c r="J82" s="27" t="inlineStr">
        <is>
          <t>Inclusive</t>
        </is>
      </c>
      <c r="K82" s="29" t="n">
        <v>250</v>
      </c>
      <c r="L82" s="29" t="n">
        <v>0</v>
      </c>
      <c r="M82" s="33" t="n">
        <v>1</v>
      </c>
      <c r="N82" s="27" t="inlineStr">
        <is>
          <t>Yes</t>
        </is>
      </c>
      <c r="O82" s="29" t="n">
        <v>0</v>
      </c>
      <c r="P82" s="30" t="n">
        <v>450</v>
      </c>
      <c r="Q82" s="31" t="inlineStr">
        <is>
          <t>In Stock</t>
        </is>
      </c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12.5" customHeight="1" s="85">
      <c r="A83" s="27" t="inlineStr">
        <is>
          <t>BIBLE KI KAHANIYAN HINDI</t>
        </is>
      </c>
      <c r="B83" s="27" t="n"/>
      <c r="C83" s="27" t="inlineStr">
        <is>
          <t>Books &amp; Bibles</t>
        </is>
      </c>
      <c r="D83" s="32" t="inlineStr">
        <is>
          <t>100036</t>
        </is>
      </c>
      <c r="E83" s="27" t="n"/>
      <c r="F83" s="29" t="n">
        <v>0</v>
      </c>
      <c r="G83" s="29" t="n">
        <v>295</v>
      </c>
      <c r="H83" s="27" t="inlineStr">
        <is>
          <t>Inclusive</t>
        </is>
      </c>
      <c r="I83" s="29" t="n">
        <v>225</v>
      </c>
      <c r="J83" s="27" t="inlineStr">
        <is>
          <t>Inclusive</t>
        </is>
      </c>
      <c r="K83" s="29" t="n">
        <v>300</v>
      </c>
      <c r="L83" s="29" t="n">
        <v>0</v>
      </c>
      <c r="M83" s="33" t="n">
        <v>1</v>
      </c>
      <c r="N83" s="27" t="inlineStr">
        <is>
          <t>Yes</t>
        </is>
      </c>
      <c r="O83" s="29" t="n">
        <v>0</v>
      </c>
      <c r="P83" s="30" t="n">
        <v>450</v>
      </c>
      <c r="Q83" s="31" t="inlineStr">
        <is>
          <t>In Stock</t>
        </is>
      </c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12.5" customHeight="1" s="85">
      <c r="A84" s="27" t="inlineStr">
        <is>
          <t>BIBLE KING JAMES VERSION ENGLISH</t>
        </is>
      </c>
      <c r="B84" s="27" t="n"/>
      <c r="C84" s="27" t="inlineStr">
        <is>
          <t>Books &amp; Bibles</t>
        </is>
      </c>
      <c r="D84" s="34" t="inlineStr">
        <is>
          <t>kjv</t>
        </is>
      </c>
      <c r="E84" s="27" t="n"/>
      <c r="F84" s="29" t="n">
        <v>0</v>
      </c>
      <c r="G84" s="29" t="n">
        <v>300</v>
      </c>
      <c r="H84" s="27" t="inlineStr">
        <is>
          <t>Inclusive</t>
        </is>
      </c>
      <c r="I84" s="29" t="n">
        <v>280</v>
      </c>
      <c r="J84" s="27" t="inlineStr">
        <is>
          <t>Inclusive</t>
        </is>
      </c>
      <c r="K84" s="29" t="n">
        <v>400</v>
      </c>
      <c r="L84" s="29" t="n">
        <v>2</v>
      </c>
      <c r="M84" s="33" t="n">
        <v>1</v>
      </c>
      <c r="N84" s="27" t="inlineStr">
        <is>
          <t>Yes</t>
        </is>
      </c>
      <c r="O84" s="29" t="n">
        <v>0</v>
      </c>
      <c r="P84" s="30" t="n">
        <v>450</v>
      </c>
      <c r="Q84" s="31" t="inlineStr">
        <is>
          <t>In Stock</t>
        </is>
      </c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12.5" customHeight="1" s="85">
      <c r="A85" s="27" t="inlineStr">
        <is>
          <t>BIBLE PAVITR OV</t>
        </is>
      </c>
      <c r="B85" s="27" t="n"/>
      <c r="C85" s="27" t="inlineStr">
        <is>
          <t>Books &amp; Bibles</t>
        </is>
      </c>
      <c r="D85" s="28" t="inlineStr">
        <is>
          <t>300249770399</t>
        </is>
      </c>
      <c r="E85" s="27" t="n"/>
      <c r="F85" s="29" t="n">
        <v>0</v>
      </c>
      <c r="G85" s="29" t="n">
        <v>300</v>
      </c>
      <c r="H85" s="27" t="inlineStr">
        <is>
          <t>Inclusive</t>
        </is>
      </c>
      <c r="I85" s="29" t="n">
        <v>155</v>
      </c>
      <c r="J85" s="27" t="inlineStr">
        <is>
          <t>Inclusive</t>
        </is>
      </c>
      <c r="K85" s="29" t="n">
        <v>320</v>
      </c>
      <c r="L85" s="29" t="n">
        <v>0</v>
      </c>
      <c r="M85" s="33" t="n">
        <v>1</v>
      </c>
      <c r="N85" s="27" t="inlineStr">
        <is>
          <t>Yes</t>
        </is>
      </c>
      <c r="O85" s="29" t="n">
        <v>0</v>
      </c>
      <c r="P85" s="30" t="n">
        <v>450</v>
      </c>
      <c r="Q85" s="31" t="inlineStr">
        <is>
          <t>In Stock</t>
        </is>
      </c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12.5" customHeight="1" s="85">
      <c r="A86" s="27" t="inlineStr">
        <is>
          <t>BIBLE SAMPOORNA ADYAYAN</t>
        </is>
      </c>
      <c r="B86" s="27" t="n"/>
      <c r="C86" s="27" t="inlineStr">
        <is>
          <t>Books &amp; Bibles</t>
        </is>
      </c>
      <c r="D86" s="32" t="inlineStr">
        <is>
          <t>100037</t>
        </is>
      </c>
      <c r="E86" s="27" t="n"/>
      <c r="F86" s="29" t="n">
        <v>0</v>
      </c>
      <c r="G86" s="29" t="n">
        <v>1200</v>
      </c>
      <c r="H86" s="27" t="inlineStr">
        <is>
          <t>Inclusive</t>
        </is>
      </c>
      <c r="I86" s="29" t="n">
        <v>720</v>
      </c>
      <c r="J86" s="27" t="inlineStr">
        <is>
          <t>Inclusive</t>
        </is>
      </c>
      <c r="K86" s="29" t="n">
        <v>1650</v>
      </c>
      <c r="L86" s="29" t="n">
        <v>0</v>
      </c>
      <c r="M86" s="33" t="n">
        <v>1</v>
      </c>
      <c r="N86" s="27" t="inlineStr">
        <is>
          <t>Yes</t>
        </is>
      </c>
      <c r="O86" s="29" t="n">
        <v>0</v>
      </c>
      <c r="P86" s="30" t="n">
        <v>450</v>
      </c>
      <c r="Q86" s="31" t="inlineStr">
        <is>
          <t>In Stock</t>
        </is>
      </c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12.5" customHeight="1" s="85">
      <c r="A87" s="27" t="inlineStr">
        <is>
          <t>BIBLE SMALL</t>
        </is>
      </c>
      <c r="B87" s="27" t="n"/>
      <c r="C87" s="27" t="inlineStr">
        <is>
          <t>Books &amp; Bibles</t>
        </is>
      </c>
      <c r="D87" s="34" t="inlineStr">
        <is>
          <t>BS</t>
        </is>
      </c>
      <c r="E87" s="27" t="n"/>
      <c r="F87" s="29" t="n">
        <v>0</v>
      </c>
      <c r="G87" s="29" t="n">
        <v>200</v>
      </c>
      <c r="H87" s="27" t="inlineStr">
        <is>
          <t>Inclusive</t>
        </is>
      </c>
      <c r="I87" s="29" t="n">
        <v>140</v>
      </c>
      <c r="J87" s="27" t="inlineStr">
        <is>
          <t>Inclusive</t>
        </is>
      </c>
      <c r="K87" s="29" t="n">
        <v>0</v>
      </c>
      <c r="L87" s="29" t="n">
        <v>0</v>
      </c>
      <c r="M87" s="33" t="n">
        <v>1</v>
      </c>
      <c r="N87" s="27" t="inlineStr">
        <is>
          <t>Yes</t>
        </is>
      </c>
      <c r="O87" s="29" t="n">
        <v>0</v>
      </c>
      <c r="P87" s="30" t="n">
        <v>450</v>
      </c>
      <c r="Q87" s="31" t="inlineStr">
        <is>
          <t>In Stock</t>
        </is>
      </c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12.5" customHeight="1" s="85">
      <c r="A88" s="27" t="inlineStr">
        <is>
          <t>BIBLE STORY BOOK</t>
        </is>
      </c>
      <c r="B88" s="27" t="n"/>
      <c r="C88" s="27" t="inlineStr">
        <is>
          <t>Books &amp; Bibles</t>
        </is>
      </c>
      <c r="D88" s="32" t="inlineStr">
        <is>
          <t>100038</t>
        </is>
      </c>
      <c r="E88" s="27" t="n"/>
      <c r="F88" s="29" t="n">
        <v>0</v>
      </c>
      <c r="G88" s="29" t="n">
        <v>225</v>
      </c>
      <c r="H88" s="27" t="inlineStr">
        <is>
          <t>Exclusive</t>
        </is>
      </c>
      <c r="I88" s="29" t="n">
        <v>200</v>
      </c>
      <c r="J88" s="27" t="inlineStr">
        <is>
          <t>Exclusive</t>
        </is>
      </c>
      <c r="K88" s="29" t="n">
        <v>225</v>
      </c>
      <c r="L88" s="29" t="n">
        <v>0</v>
      </c>
      <c r="M88" s="33" t="n">
        <v>1</v>
      </c>
      <c r="N88" s="27" t="inlineStr">
        <is>
          <t>Yes</t>
        </is>
      </c>
      <c r="O88" s="29" t="n">
        <v>0</v>
      </c>
      <c r="P88" s="30" t="n">
        <v>450</v>
      </c>
      <c r="Q88" s="31" t="inlineStr">
        <is>
          <t>In Stock</t>
        </is>
      </c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12.5" customHeight="1" s="85">
      <c r="A89" s="27" t="inlineStr">
        <is>
          <t>BIBLE THUMP GOLDEN WITH COVER</t>
        </is>
      </c>
      <c r="B89" s="27" t="n"/>
      <c r="C89" s="27" t="inlineStr">
        <is>
          <t>Books &amp; Bibles</t>
        </is>
      </c>
      <c r="D89" s="34" t="inlineStr">
        <is>
          <t>btc</t>
        </is>
      </c>
      <c r="E89" s="27" t="n"/>
      <c r="F89" s="29" t="n">
        <v>0</v>
      </c>
      <c r="G89" s="29" t="n">
        <v>850</v>
      </c>
      <c r="H89" s="27" t="inlineStr">
        <is>
          <t>Inclusive</t>
        </is>
      </c>
      <c r="I89" s="29" t="n">
        <v>580</v>
      </c>
      <c r="J89" s="27" t="inlineStr">
        <is>
          <t>Inclusive</t>
        </is>
      </c>
      <c r="K89" s="29" t="n">
        <v>1100</v>
      </c>
      <c r="L89" s="29" t="n">
        <v>0</v>
      </c>
      <c r="M89" s="33" t="n">
        <v>1</v>
      </c>
      <c r="N89" s="27" t="inlineStr">
        <is>
          <t>Yes</t>
        </is>
      </c>
      <c r="O89" s="29" t="n">
        <v>0</v>
      </c>
      <c r="P89" s="30" t="n">
        <v>450</v>
      </c>
      <c r="Q89" s="31" t="inlineStr">
        <is>
          <t>In Stock</t>
        </is>
      </c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12.5" customHeight="1" s="85">
      <c r="A90" s="27" t="inlineStr">
        <is>
          <t>BIBLE WITHOUT INDEX</t>
        </is>
      </c>
      <c r="B90" s="27" t="n"/>
      <c r="C90" s="27" t="inlineStr">
        <is>
          <t>Books &amp; Bibles</t>
        </is>
      </c>
      <c r="D90" s="28" t="inlineStr">
        <is>
          <t>313573166296</t>
        </is>
      </c>
      <c r="E90" s="27" t="n"/>
      <c r="F90" s="29" t="n">
        <v>0</v>
      </c>
      <c r="G90" s="29" t="n">
        <v>600</v>
      </c>
      <c r="H90" s="27" t="inlineStr">
        <is>
          <t>Exclusive</t>
        </is>
      </c>
      <c r="I90" s="29" t="n">
        <v>400</v>
      </c>
      <c r="J90" s="27" t="inlineStr">
        <is>
          <t>Exclusive</t>
        </is>
      </c>
      <c r="K90" s="29" t="n">
        <v>700</v>
      </c>
      <c r="L90" s="29" t="n">
        <v>11</v>
      </c>
      <c r="M90" s="33" t="n">
        <v>1</v>
      </c>
      <c r="N90" s="27" t="inlineStr">
        <is>
          <t>Yes</t>
        </is>
      </c>
      <c r="O90" s="29" t="n">
        <v>0</v>
      </c>
      <c r="P90" s="30" t="n">
        <v>450</v>
      </c>
      <c r="Q90" s="31" t="inlineStr">
        <is>
          <t>In Stock</t>
        </is>
      </c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12.5" customHeight="1" s="85">
      <c r="A91" s="27" t="inlineStr">
        <is>
          <t>BIGGEST 3D WALL FRAME</t>
        </is>
      </c>
      <c r="B91" s="27" t="n"/>
      <c r="C91" s="27" t="inlineStr">
        <is>
          <t>Church Articles</t>
        </is>
      </c>
      <c r="D91" s="28" t="inlineStr">
        <is>
          <t>911616436182</t>
        </is>
      </c>
      <c r="E91" s="27" t="n"/>
      <c r="F91" s="29" t="n">
        <v>0</v>
      </c>
      <c r="G91" s="29" t="n">
        <v>900</v>
      </c>
      <c r="H91" s="27" t="inlineStr">
        <is>
          <t>Exclusive</t>
        </is>
      </c>
      <c r="I91" s="29" t="n">
        <v>750</v>
      </c>
      <c r="J91" s="27" t="inlineStr">
        <is>
          <t>Exclusive</t>
        </is>
      </c>
      <c r="K91" s="29" t="n">
        <v>1100</v>
      </c>
      <c r="L91" s="29" t="n">
        <v>0</v>
      </c>
      <c r="M91" s="27" t="n"/>
      <c r="N91" s="27" t="inlineStr">
        <is>
          <t>Yes</t>
        </is>
      </c>
      <c r="O91" s="29" t="n">
        <v>0</v>
      </c>
      <c r="P91" s="30" t="n">
        <v>450</v>
      </c>
      <c r="Q91" s="31" t="inlineStr">
        <is>
          <t>In Stock</t>
        </is>
      </c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12.5" customHeight="1" s="85">
      <c r="A92" s="27" t="inlineStr">
        <is>
          <t>BIG INDEX STUDY BIBLE WITH COVER</t>
        </is>
      </c>
      <c r="B92" s="27" t="n"/>
      <c r="C92" s="27" t="inlineStr">
        <is>
          <t>Books &amp; Bibles</t>
        </is>
      </c>
      <c r="D92" s="32" t="inlineStr">
        <is>
          <t>100039</t>
        </is>
      </c>
      <c r="E92" s="27" t="n"/>
      <c r="F92" s="29" t="n">
        <v>0</v>
      </c>
      <c r="G92" s="29" t="n">
        <v>1500</v>
      </c>
      <c r="H92" s="27" t="inlineStr">
        <is>
          <t>Exclusive</t>
        </is>
      </c>
      <c r="I92" s="29" t="n">
        <v>1000</v>
      </c>
      <c r="J92" s="27" t="inlineStr">
        <is>
          <t>Exclusive</t>
        </is>
      </c>
      <c r="K92" s="29" t="n">
        <v>1800</v>
      </c>
      <c r="L92" s="29" t="n">
        <v>0</v>
      </c>
      <c r="M92" s="33" t="n">
        <v>1</v>
      </c>
      <c r="N92" s="27" t="inlineStr">
        <is>
          <t>Yes</t>
        </is>
      </c>
      <c r="O92" s="29" t="n">
        <v>0</v>
      </c>
      <c r="P92" s="30" t="n">
        <v>450</v>
      </c>
      <c r="Q92" s="31" t="inlineStr">
        <is>
          <t>In Stock</t>
        </is>
      </c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12.5" customHeight="1" s="85">
      <c r="A93" s="27" t="inlineStr">
        <is>
          <t>BIRIYANI BASMATI RICE SPECIAL 1KG</t>
        </is>
      </c>
      <c r="B93" s="27" t="n"/>
      <c r="C93" s="27" t="inlineStr">
        <is>
          <t>Rice Items</t>
        </is>
      </c>
      <c r="D93" s="28" t="inlineStr">
        <is>
          <t>165672970442</t>
        </is>
      </c>
      <c r="E93" s="27" t="n"/>
      <c r="F93" s="29" t="n">
        <v>0</v>
      </c>
      <c r="G93" s="29" t="n">
        <v>122</v>
      </c>
      <c r="H93" s="27" t="inlineStr">
        <is>
          <t>Exclusive</t>
        </is>
      </c>
      <c r="I93" s="29" t="n">
        <v>62</v>
      </c>
      <c r="J93" s="27" t="inlineStr">
        <is>
          <t>Exclusive</t>
        </is>
      </c>
      <c r="K93" s="29" t="n">
        <v>129</v>
      </c>
      <c r="L93" s="29" t="n">
        <v>100</v>
      </c>
      <c r="M93" s="33" t="n">
        <v>1</v>
      </c>
      <c r="N93" s="27" t="inlineStr">
        <is>
          <t>Yes</t>
        </is>
      </c>
      <c r="O93" s="29" t="n">
        <v>0</v>
      </c>
      <c r="P93" s="30" t="n">
        <v>450</v>
      </c>
      <c r="Q93" s="31" t="inlineStr">
        <is>
          <t>In Stock</t>
        </is>
      </c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12.5" customHeight="1" s="85">
      <c r="A94" s="27" t="inlineStr">
        <is>
          <t>BIRYANI ESSENCE</t>
        </is>
      </c>
      <c r="B94" s="27" t="n"/>
      <c r="C94" s="27" t="inlineStr">
        <is>
          <t>Ready to Eat &amp; Mixes</t>
        </is>
      </c>
      <c r="D94" s="28" t="inlineStr">
        <is>
          <t>8907885001721</t>
        </is>
      </c>
      <c r="E94" s="27" t="n"/>
      <c r="F94" s="29" t="n">
        <v>0</v>
      </c>
      <c r="G94" s="29" t="n">
        <v>109</v>
      </c>
      <c r="H94" s="27" t="inlineStr">
        <is>
          <t>Exclusive</t>
        </is>
      </c>
      <c r="I94" s="29" t="n">
        <v>74</v>
      </c>
      <c r="J94" s="27" t="inlineStr">
        <is>
          <t>Exclusive</t>
        </is>
      </c>
      <c r="K94" s="29" t="n">
        <v>109</v>
      </c>
      <c r="L94" s="29" t="n">
        <v>0</v>
      </c>
      <c r="M94" s="33" t="n">
        <v>1</v>
      </c>
      <c r="N94" s="27" t="inlineStr">
        <is>
          <t>Yes</t>
        </is>
      </c>
      <c r="O94" s="29" t="n">
        <v>0</v>
      </c>
      <c r="P94" s="30" t="n">
        <v>450</v>
      </c>
      <c r="Q94" s="31" t="inlineStr">
        <is>
          <t>In Stock</t>
        </is>
      </c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12.5" customHeight="1" s="85">
      <c r="A95" s="27" t="inlineStr">
        <is>
          <t>BITS DRINK 320ML - DIFFERENT FLAVOURS</t>
        </is>
      </c>
      <c r="B95" s="27" t="n"/>
      <c r="C95" s="27" t="inlineStr">
        <is>
          <t>Beverages</t>
        </is>
      </c>
      <c r="D95" s="28" t="inlineStr">
        <is>
          <t>8908013674268</t>
        </is>
      </c>
      <c r="E95" s="27" t="n"/>
      <c r="F95" s="29" t="n">
        <v>0</v>
      </c>
      <c r="G95" s="29" t="n">
        <v>70</v>
      </c>
      <c r="H95" s="27" t="inlineStr">
        <is>
          <t>Exclusive</t>
        </is>
      </c>
      <c r="I95" s="29" t="n">
        <v>50</v>
      </c>
      <c r="J95" s="27" t="inlineStr">
        <is>
          <t>Exclusive</t>
        </is>
      </c>
      <c r="K95" s="29" t="n">
        <v>70</v>
      </c>
      <c r="L95" s="29" t="n">
        <v>0</v>
      </c>
      <c r="M95" s="33" t="n">
        <v>1</v>
      </c>
      <c r="N95" s="27" t="inlineStr">
        <is>
          <t>Yes</t>
        </is>
      </c>
      <c r="O95" s="29" t="n">
        <v>0</v>
      </c>
      <c r="P95" s="30" t="n">
        <v>450</v>
      </c>
      <c r="Q95" s="31" t="inlineStr">
        <is>
          <t>In Stock</t>
        </is>
      </c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12.5" customHeight="1" s="85">
      <c r="A96" s="27" t="inlineStr">
        <is>
          <t>BLACK PEPPER 500GM</t>
        </is>
      </c>
      <c r="B96" s="27" t="n"/>
      <c r="C96" s="27" t="inlineStr">
        <is>
          <t>Masalas &amp; Spices</t>
        </is>
      </c>
      <c r="D96" s="28" t="inlineStr">
        <is>
          <t>458335769097</t>
        </is>
      </c>
      <c r="E96" s="27" t="n"/>
      <c r="F96" s="29" t="n">
        <v>0</v>
      </c>
      <c r="G96" s="29" t="n">
        <v>410</v>
      </c>
      <c r="H96" s="27" t="inlineStr">
        <is>
          <t>Exclusive</t>
        </is>
      </c>
      <c r="I96" s="29" t="n">
        <v>375</v>
      </c>
      <c r="J96" s="27" t="inlineStr">
        <is>
          <t>Exclusive</t>
        </is>
      </c>
      <c r="K96" s="29" t="n">
        <v>425</v>
      </c>
      <c r="L96" s="29" t="n">
        <v>0</v>
      </c>
      <c r="M96" s="33" t="n">
        <v>1</v>
      </c>
      <c r="N96" s="27" t="inlineStr">
        <is>
          <t>Yes</t>
        </is>
      </c>
      <c r="O96" s="29" t="n">
        <v>0</v>
      </c>
      <c r="P96" s="30" t="n">
        <v>450</v>
      </c>
      <c r="Q96" s="31" t="inlineStr">
        <is>
          <t>In Stock</t>
        </is>
      </c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12.5" customHeight="1" s="85">
      <c r="A97" s="27" t="inlineStr">
        <is>
          <t>BLACK PEPPER (KURUMULAK)100GM</t>
        </is>
      </c>
      <c r="B97" s="27" t="n"/>
      <c r="C97" s="27" t="inlineStr">
        <is>
          <t>Masalas &amp; Spices</t>
        </is>
      </c>
      <c r="D97" s="28" t="inlineStr">
        <is>
          <t>375640493824</t>
        </is>
      </c>
      <c r="E97" s="27" t="n"/>
      <c r="F97" s="29" t="n">
        <v>0</v>
      </c>
      <c r="G97" s="29" t="n">
        <v>160</v>
      </c>
      <c r="H97" s="27" t="inlineStr">
        <is>
          <t>Exclusive</t>
        </is>
      </c>
      <c r="I97" s="29" t="n">
        <v>92</v>
      </c>
      <c r="J97" s="27" t="inlineStr">
        <is>
          <t>Exclusive</t>
        </is>
      </c>
      <c r="K97" s="29" t="n">
        <v>120</v>
      </c>
      <c r="L97" s="29" t="n">
        <v>1</v>
      </c>
      <c r="M97" s="33" t="n">
        <v>1</v>
      </c>
      <c r="N97" s="27" t="inlineStr">
        <is>
          <t>Yes</t>
        </is>
      </c>
      <c r="O97" s="29" t="n">
        <v>0</v>
      </c>
      <c r="P97" s="30" t="n">
        <v>450</v>
      </c>
      <c r="Q97" s="31" t="inlineStr">
        <is>
          <t>In Stock</t>
        </is>
      </c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12.5" customHeight="1" s="85">
      <c r="A98" s="27" t="inlineStr">
        <is>
          <t>BLACK PRINTING/COPYING</t>
        </is>
      </c>
      <c r="B98" s="27" t="n"/>
      <c r="C98" s="27" t="inlineStr">
        <is>
          <t>Stationery</t>
        </is>
      </c>
      <c r="D98" s="32" t="inlineStr">
        <is>
          <t>100040</t>
        </is>
      </c>
      <c r="E98" s="27" t="n"/>
      <c r="F98" s="29" t="n">
        <v>0</v>
      </c>
      <c r="G98" s="29" t="n">
        <v>5</v>
      </c>
      <c r="H98" s="27" t="inlineStr">
        <is>
          <t>Inclusive</t>
        </is>
      </c>
      <c r="I98" s="29" t="n">
        <v>1</v>
      </c>
      <c r="J98" s="27" t="inlineStr">
        <is>
          <t>Inclusive</t>
        </is>
      </c>
      <c r="K98" s="29" t="n">
        <v>5</v>
      </c>
      <c r="L98" s="29" t="n">
        <v>0</v>
      </c>
      <c r="M98" s="33" t="n">
        <v>1</v>
      </c>
      <c r="N98" s="27" t="inlineStr">
        <is>
          <t>No</t>
        </is>
      </c>
      <c r="O98" s="29" t="n">
        <v>0</v>
      </c>
      <c r="P98" s="30" t="n">
        <v>450</v>
      </c>
      <c r="Q98" s="31" t="inlineStr">
        <is>
          <t>In Stock</t>
        </is>
      </c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12.5" customHeight="1" s="85">
      <c r="A99" s="27" t="inlineStr">
        <is>
          <t>BLOOM CUTICURA TALC POWDER 100GM</t>
        </is>
      </c>
      <c r="B99" s="27" t="n"/>
      <c r="C99" s="27" t="inlineStr">
        <is>
          <t>Healthcare Items</t>
        </is>
      </c>
      <c r="D99" s="28" t="inlineStr">
        <is>
          <t>8904018300348</t>
        </is>
      </c>
      <c r="E99" s="27" t="n"/>
      <c r="F99" s="29" t="n">
        <v>0</v>
      </c>
      <c r="G99" s="29" t="n">
        <v>105</v>
      </c>
      <c r="H99" s="27" t="inlineStr">
        <is>
          <t>Exclusive</t>
        </is>
      </c>
      <c r="I99" s="29" t="n">
        <v>102</v>
      </c>
      <c r="J99" s="27" t="inlineStr">
        <is>
          <t>Exclusive</t>
        </is>
      </c>
      <c r="K99" s="29" t="n">
        <v>105</v>
      </c>
      <c r="L99" s="29" t="n">
        <v>0</v>
      </c>
      <c r="M99" s="33" t="n">
        <v>1</v>
      </c>
      <c r="N99" s="27" t="inlineStr">
        <is>
          <t>Yes</t>
        </is>
      </c>
      <c r="O99" s="29" t="n">
        <v>0</v>
      </c>
      <c r="P99" s="30" t="n">
        <v>450</v>
      </c>
      <c r="Q99" s="31" t="inlineStr">
        <is>
          <t>In Stock</t>
        </is>
      </c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12.5" customHeight="1" s="85">
      <c r="A100" s="27" t="inlineStr">
        <is>
          <t>BOOK BENNY HYNN</t>
        </is>
      </c>
      <c r="B100" s="27" t="n"/>
      <c r="C100" s="27" t="inlineStr">
        <is>
          <t>Books &amp; Bibles</t>
        </is>
      </c>
      <c r="D100" s="32" t="inlineStr">
        <is>
          <t>100041</t>
        </is>
      </c>
      <c r="E100" s="27" t="n"/>
      <c r="F100" s="29" t="n">
        <v>0</v>
      </c>
      <c r="G100" s="29" t="n">
        <v>150</v>
      </c>
      <c r="H100" s="27" t="inlineStr">
        <is>
          <t>Inclusive</t>
        </is>
      </c>
      <c r="I100" s="29" t="n">
        <v>140</v>
      </c>
      <c r="J100" s="27" t="inlineStr">
        <is>
          <t>Inclusive</t>
        </is>
      </c>
      <c r="K100" s="29" t="n">
        <v>200</v>
      </c>
      <c r="L100" s="29" t="n">
        <v>0</v>
      </c>
      <c r="M100" s="33" t="n">
        <v>1</v>
      </c>
      <c r="N100" s="27" t="inlineStr">
        <is>
          <t>Yes</t>
        </is>
      </c>
      <c r="O100" s="29" t="n">
        <v>0</v>
      </c>
      <c r="P100" s="30" t="n">
        <v>450</v>
      </c>
      <c r="Q100" s="31" t="inlineStr">
        <is>
          <t>In Stock</t>
        </is>
      </c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12.5" customHeight="1" s="85">
      <c r="A101" s="27" t="inlineStr">
        <is>
          <t>BOOK BETTER EVERY DAY MALAYALAM</t>
        </is>
      </c>
      <c r="B101" s="27" t="n"/>
      <c r="C101" s="27" t="inlineStr">
        <is>
          <t>Books &amp; Bibles</t>
        </is>
      </c>
      <c r="D101" s="28" t="inlineStr">
        <is>
          <t>485750742271</t>
        </is>
      </c>
      <c r="E101" s="27" t="n"/>
      <c r="F101" s="29" t="n">
        <v>0</v>
      </c>
      <c r="G101" s="29" t="n">
        <v>200</v>
      </c>
      <c r="H101" s="27" t="inlineStr">
        <is>
          <t>Inclusive</t>
        </is>
      </c>
      <c r="I101" s="29" t="n">
        <v>180</v>
      </c>
      <c r="J101" s="27" t="inlineStr">
        <is>
          <t>Inclusive</t>
        </is>
      </c>
      <c r="K101" s="29" t="n">
        <v>250</v>
      </c>
      <c r="L101" s="29" t="n">
        <v>0</v>
      </c>
      <c r="M101" s="33" t="n">
        <v>1</v>
      </c>
      <c r="N101" s="27" t="inlineStr">
        <is>
          <t>Yes</t>
        </is>
      </c>
      <c r="O101" s="29" t="n">
        <v>0</v>
      </c>
      <c r="P101" s="30" t="n">
        <v>450</v>
      </c>
      <c r="Q101" s="31" t="inlineStr">
        <is>
          <t>In Stock</t>
        </is>
      </c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12.5" customHeight="1" s="85">
      <c r="A102" s="27" t="inlineStr">
        <is>
          <t>BOOK - DESPITE TO HOPE</t>
        </is>
      </c>
      <c r="B102" s="27" t="n"/>
      <c r="C102" s="27" t="inlineStr">
        <is>
          <t>Books &amp; Bibles</t>
        </is>
      </c>
      <c r="D102" s="32" t="inlineStr">
        <is>
          <t>100042</t>
        </is>
      </c>
      <c r="E102" s="27" t="n"/>
      <c r="F102" s="29" t="n">
        <v>0</v>
      </c>
      <c r="G102" s="29" t="n">
        <v>50</v>
      </c>
      <c r="H102" s="27" t="inlineStr">
        <is>
          <t>Inclusive</t>
        </is>
      </c>
      <c r="I102" s="29" t="n">
        <v>31.5</v>
      </c>
      <c r="J102" s="27" t="inlineStr">
        <is>
          <t>Inclusive</t>
        </is>
      </c>
      <c r="K102" s="29" t="n">
        <v>60</v>
      </c>
      <c r="L102" s="29" t="n">
        <v>1</v>
      </c>
      <c r="M102" s="33" t="n">
        <v>1</v>
      </c>
      <c r="N102" s="27" t="inlineStr">
        <is>
          <t>Yes</t>
        </is>
      </c>
      <c r="O102" s="29" t="n">
        <v>0</v>
      </c>
      <c r="P102" s="30" t="n">
        <v>450</v>
      </c>
      <c r="Q102" s="31" t="inlineStr">
        <is>
          <t>In Stock</t>
        </is>
      </c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12.5" customHeight="1" s="85">
      <c r="A103" s="27" t="inlineStr">
        <is>
          <t>BOOK GAVAHON KA BAADAL 1</t>
        </is>
      </c>
      <c r="B103" s="27" t="n"/>
      <c r="C103" s="27" t="inlineStr">
        <is>
          <t>Books &amp; Bibles</t>
        </is>
      </c>
      <c r="D103" s="32" t="inlineStr">
        <is>
          <t>100043</t>
        </is>
      </c>
      <c r="E103" s="27" t="n"/>
      <c r="F103" s="29" t="n">
        <v>0</v>
      </c>
      <c r="G103" s="29" t="n">
        <v>150</v>
      </c>
      <c r="H103" s="27" t="inlineStr">
        <is>
          <t>Inclusive</t>
        </is>
      </c>
      <c r="I103" s="29" t="n">
        <v>140</v>
      </c>
      <c r="J103" s="27" t="inlineStr">
        <is>
          <t>Inclusive</t>
        </is>
      </c>
      <c r="K103" s="29" t="n">
        <v>200</v>
      </c>
      <c r="L103" s="29" t="n">
        <v>0</v>
      </c>
      <c r="M103" s="33" t="n">
        <v>1</v>
      </c>
      <c r="N103" s="27" t="inlineStr">
        <is>
          <t>Yes</t>
        </is>
      </c>
      <c r="O103" s="29" t="n">
        <v>0</v>
      </c>
      <c r="P103" s="30" t="n">
        <v>450</v>
      </c>
      <c r="Q103" s="31" t="inlineStr">
        <is>
          <t>In Stock</t>
        </is>
      </c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12.5" customHeight="1" s="85">
      <c r="A104" s="27" t="inlineStr">
        <is>
          <t>BOOK GAVAHON KA BAADAL 2</t>
        </is>
      </c>
      <c r="B104" s="27" t="n"/>
      <c r="C104" s="27" t="inlineStr">
        <is>
          <t>Books &amp; Bibles</t>
        </is>
      </c>
      <c r="D104" s="32" t="inlineStr">
        <is>
          <t>100044</t>
        </is>
      </c>
      <c r="E104" s="27" t="n"/>
      <c r="F104" s="29" t="n">
        <v>0</v>
      </c>
      <c r="G104" s="29" t="n">
        <v>150</v>
      </c>
      <c r="H104" s="27" t="inlineStr">
        <is>
          <t>Inclusive</t>
        </is>
      </c>
      <c r="I104" s="29" t="n">
        <v>140</v>
      </c>
      <c r="J104" s="27" t="inlineStr">
        <is>
          <t>Inclusive</t>
        </is>
      </c>
      <c r="K104" s="29" t="n">
        <v>200</v>
      </c>
      <c r="L104" s="29" t="n">
        <v>0</v>
      </c>
      <c r="M104" s="33" t="n">
        <v>1</v>
      </c>
      <c r="N104" s="27" t="inlineStr">
        <is>
          <t>Yes</t>
        </is>
      </c>
      <c r="O104" s="29" t="n">
        <v>0</v>
      </c>
      <c r="P104" s="30" t="n">
        <v>450</v>
      </c>
      <c r="Q104" s="31" t="inlineStr">
        <is>
          <t>In Stock</t>
        </is>
      </c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12.5" customHeight="1" s="85">
      <c r="A105" s="27" t="inlineStr">
        <is>
          <t>BOOK GOD'S THIEF</t>
        </is>
      </c>
      <c r="B105" s="27" t="n"/>
      <c r="C105" s="27" t="inlineStr">
        <is>
          <t>Books &amp; Bibles</t>
        </is>
      </c>
      <c r="D105" s="32" t="inlineStr">
        <is>
          <t>100045</t>
        </is>
      </c>
      <c r="E105" s="27" t="n"/>
      <c r="F105" s="29" t="n">
        <v>0</v>
      </c>
      <c r="G105" s="29" t="n">
        <v>100</v>
      </c>
      <c r="H105" s="27" t="inlineStr">
        <is>
          <t>Inclusive</t>
        </is>
      </c>
      <c r="I105" s="29" t="n">
        <v>80</v>
      </c>
      <c r="J105" s="27" t="inlineStr">
        <is>
          <t>Inclusive</t>
        </is>
      </c>
      <c r="K105" s="29" t="n">
        <v>150</v>
      </c>
      <c r="L105" s="29" t="n">
        <v>1</v>
      </c>
      <c r="M105" s="33" t="n">
        <v>1</v>
      </c>
      <c r="N105" s="27" t="inlineStr">
        <is>
          <t>Yes</t>
        </is>
      </c>
      <c r="O105" s="29" t="n">
        <v>0</v>
      </c>
      <c r="P105" s="30" t="n">
        <v>450</v>
      </c>
      <c r="Q105" s="31" t="inlineStr">
        <is>
          <t>In Stock</t>
        </is>
      </c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12.5" customHeight="1" s="85">
      <c r="A106" s="27" t="inlineStr">
        <is>
          <t>BOOK ISRAELINTE DAIVAM</t>
        </is>
      </c>
      <c r="B106" s="27" t="n"/>
      <c r="C106" s="27" t="inlineStr">
        <is>
          <t>Books &amp; Bibles</t>
        </is>
      </c>
      <c r="D106" s="32" t="inlineStr">
        <is>
          <t>100046</t>
        </is>
      </c>
      <c r="E106" s="27" t="n"/>
      <c r="F106" s="29" t="n">
        <v>0</v>
      </c>
      <c r="G106" s="29" t="n">
        <v>150</v>
      </c>
      <c r="H106" s="27" t="inlineStr">
        <is>
          <t>Inclusive</t>
        </is>
      </c>
      <c r="I106" s="29" t="n">
        <v>130</v>
      </c>
      <c r="J106" s="27" t="inlineStr">
        <is>
          <t>Inclusive</t>
        </is>
      </c>
      <c r="K106" s="29" t="n">
        <v>200</v>
      </c>
      <c r="L106" s="29" t="n">
        <v>1</v>
      </c>
      <c r="M106" s="33" t="n">
        <v>1</v>
      </c>
      <c r="N106" s="27" t="inlineStr">
        <is>
          <t>Yes</t>
        </is>
      </c>
      <c r="O106" s="29" t="n">
        <v>0</v>
      </c>
      <c r="P106" s="30" t="n">
        <v>450</v>
      </c>
      <c r="Q106" s="31" t="inlineStr">
        <is>
          <t>In Stock</t>
        </is>
      </c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12.5" customHeight="1" s="85">
      <c r="A107" s="27" t="inlineStr">
        <is>
          <t>BOOK JESUS STORY BOOK</t>
        </is>
      </c>
      <c r="B107" s="27" t="n"/>
      <c r="C107" s="27" t="inlineStr">
        <is>
          <t>Books &amp; Bibles</t>
        </is>
      </c>
      <c r="D107" s="32" t="inlineStr">
        <is>
          <t>100047</t>
        </is>
      </c>
      <c r="E107" s="27" t="n"/>
      <c r="F107" s="29" t="n">
        <v>0</v>
      </c>
      <c r="G107" s="29" t="n">
        <v>50</v>
      </c>
      <c r="H107" s="27" t="inlineStr">
        <is>
          <t>Inclusive</t>
        </is>
      </c>
      <c r="I107" s="29" t="n">
        <v>30</v>
      </c>
      <c r="J107" s="27" t="inlineStr">
        <is>
          <t>Inclusive</t>
        </is>
      </c>
      <c r="K107" s="29" t="n">
        <v>100</v>
      </c>
      <c r="L107" s="29" t="n">
        <v>0</v>
      </c>
      <c r="M107" s="33" t="n">
        <v>1</v>
      </c>
      <c r="N107" s="27" t="inlineStr">
        <is>
          <t>Yes</t>
        </is>
      </c>
      <c r="O107" s="29" t="n">
        <v>0</v>
      </c>
      <c r="P107" s="30" t="n">
        <v>450</v>
      </c>
      <c r="Q107" s="31" t="inlineStr">
        <is>
          <t>In Stock</t>
        </is>
      </c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12.5" customHeight="1" s="85">
      <c r="A108" s="27" t="inlineStr">
        <is>
          <t>BOOK -JONATHAN GOFORTH SPIRITUAL GROWTH</t>
        </is>
      </c>
      <c r="B108" s="27" t="n"/>
      <c r="C108" s="27" t="inlineStr">
        <is>
          <t>Books &amp; Bibles</t>
        </is>
      </c>
      <c r="D108" s="32" t="inlineStr">
        <is>
          <t>100048</t>
        </is>
      </c>
      <c r="E108" s="27" t="n"/>
      <c r="F108" s="29" t="n">
        <v>0</v>
      </c>
      <c r="G108" s="29" t="n">
        <v>35</v>
      </c>
      <c r="H108" s="27" t="inlineStr">
        <is>
          <t>Inclusive</t>
        </is>
      </c>
      <c r="I108" s="29" t="n">
        <v>22.5</v>
      </c>
      <c r="J108" s="27" t="inlineStr">
        <is>
          <t>Inclusive</t>
        </is>
      </c>
      <c r="K108" s="29" t="n">
        <v>50</v>
      </c>
      <c r="L108" s="29" t="n">
        <v>1</v>
      </c>
      <c r="M108" s="33" t="n">
        <v>1</v>
      </c>
      <c r="N108" s="27" t="inlineStr">
        <is>
          <t>Yes</t>
        </is>
      </c>
      <c r="O108" s="29" t="n">
        <v>0</v>
      </c>
      <c r="P108" s="30" t="n">
        <v>450</v>
      </c>
      <c r="Q108" s="31" t="inlineStr">
        <is>
          <t>In Stock</t>
        </is>
      </c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12.5" customHeight="1" s="85">
      <c r="A109" s="27" t="inlineStr">
        <is>
          <t>BOOK JOSHUA DANIEL</t>
        </is>
      </c>
      <c r="B109" s="27" t="n"/>
      <c r="C109" s="27" t="inlineStr">
        <is>
          <t>Books &amp; Bibles</t>
        </is>
      </c>
      <c r="D109" s="32" t="inlineStr">
        <is>
          <t>100049</t>
        </is>
      </c>
      <c r="E109" s="27" t="n"/>
      <c r="F109" s="29" t="n">
        <v>0</v>
      </c>
      <c r="G109" s="29" t="n">
        <v>135</v>
      </c>
      <c r="H109" s="27" t="inlineStr">
        <is>
          <t>Inclusive</t>
        </is>
      </c>
      <c r="I109" s="29" t="n">
        <v>120</v>
      </c>
      <c r="J109" s="27" t="inlineStr">
        <is>
          <t>Inclusive</t>
        </is>
      </c>
      <c r="K109" s="29" t="n">
        <v>150</v>
      </c>
      <c r="L109" s="29" t="n">
        <v>0</v>
      </c>
      <c r="M109" s="33" t="n">
        <v>1</v>
      </c>
      <c r="N109" s="27" t="inlineStr">
        <is>
          <t>Yes</t>
        </is>
      </c>
      <c r="O109" s="29" t="n">
        <v>0</v>
      </c>
      <c r="P109" s="30" t="n">
        <v>450</v>
      </c>
      <c r="Q109" s="31" t="inlineStr">
        <is>
          <t>In Stock</t>
        </is>
      </c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12.5" customHeight="1" s="85">
      <c r="A110" s="27" t="inlineStr">
        <is>
          <t>BOOK LIFE CHANGING POWER</t>
        </is>
      </c>
      <c r="B110" s="27" t="n"/>
      <c r="C110" s="27" t="inlineStr">
        <is>
          <t>Books &amp; Bibles</t>
        </is>
      </c>
      <c r="D110" s="32" t="inlineStr">
        <is>
          <t>100050</t>
        </is>
      </c>
      <c r="E110" s="27" t="n"/>
      <c r="F110" s="29" t="n">
        <v>0</v>
      </c>
      <c r="G110" s="29" t="n">
        <v>200</v>
      </c>
      <c r="H110" s="27" t="inlineStr">
        <is>
          <t>Inclusive</t>
        </is>
      </c>
      <c r="I110" s="29" t="n">
        <v>180</v>
      </c>
      <c r="J110" s="27" t="inlineStr">
        <is>
          <t>Inclusive</t>
        </is>
      </c>
      <c r="K110" s="29" t="n">
        <v>250</v>
      </c>
      <c r="L110" s="29" t="n">
        <v>1</v>
      </c>
      <c r="M110" s="33" t="n">
        <v>1</v>
      </c>
      <c r="N110" s="27" t="inlineStr">
        <is>
          <t>Yes</t>
        </is>
      </c>
      <c r="O110" s="29" t="n">
        <v>0</v>
      </c>
      <c r="P110" s="30" t="n">
        <v>450</v>
      </c>
      <c r="Q110" s="31" t="inlineStr">
        <is>
          <t>In Stock</t>
        </is>
      </c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12.5" customHeight="1" s="85">
      <c r="A111" s="27" t="inlineStr">
        <is>
          <t>BOOK MARK</t>
        </is>
      </c>
      <c r="B111" s="27" t="n"/>
      <c r="C111" s="27" t="inlineStr">
        <is>
          <t>Stationery</t>
        </is>
      </c>
      <c r="D111" s="32" t="inlineStr">
        <is>
          <t>100051</t>
        </is>
      </c>
      <c r="E111" s="27" t="n"/>
      <c r="F111" s="29" t="n">
        <v>0</v>
      </c>
      <c r="G111" s="29" t="n">
        <v>3</v>
      </c>
      <c r="H111" s="27" t="inlineStr">
        <is>
          <t>Inclusive</t>
        </is>
      </c>
      <c r="I111" s="29" t="n">
        <v>2.5</v>
      </c>
      <c r="J111" s="27" t="inlineStr">
        <is>
          <t>Inclusive</t>
        </is>
      </c>
      <c r="K111" s="29" t="n">
        <v>5</v>
      </c>
      <c r="L111" s="29" t="n">
        <v>315</v>
      </c>
      <c r="M111" s="33" t="n">
        <v>1</v>
      </c>
      <c r="N111" s="27" t="inlineStr">
        <is>
          <t>Yes</t>
        </is>
      </c>
      <c r="O111" s="29" t="n">
        <v>0</v>
      </c>
      <c r="P111" s="30" t="n">
        <v>450</v>
      </c>
      <c r="Q111" s="31" t="inlineStr">
        <is>
          <t>In Stock</t>
        </is>
      </c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12.5" customHeight="1" s="85">
      <c r="A112" s="27" t="inlineStr">
        <is>
          <t>BOOK MASIH</t>
        </is>
      </c>
      <c r="B112" s="27" t="n"/>
      <c r="C112" s="27" t="inlineStr">
        <is>
          <t>Books &amp; Bibles</t>
        </is>
      </c>
      <c r="D112" s="32" t="inlineStr">
        <is>
          <t>100052</t>
        </is>
      </c>
      <c r="E112" s="27" t="n"/>
      <c r="F112" s="29" t="n">
        <v>0</v>
      </c>
      <c r="G112" s="29" t="n">
        <v>50</v>
      </c>
      <c r="H112" s="27" t="inlineStr">
        <is>
          <t>Inclusive</t>
        </is>
      </c>
      <c r="I112" s="29" t="n">
        <v>40</v>
      </c>
      <c r="J112" s="27" t="inlineStr">
        <is>
          <t>Inclusive</t>
        </is>
      </c>
      <c r="K112" s="29" t="n">
        <v>100</v>
      </c>
      <c r="L112" s="29" t="n">
        <v>1</v>
      </c>
      <c r="M112" s="33" t="n">
        <v>1</v>
      </c>
      <c r="N112" s="27" t="inlineStr">
        <is>
          <t>Yes</t>
        </is>
      </c>
      <c r="O112" s="29" t="n">
        <v>0</v>
      </c>
      <c r="P112" s="30" t="n">
        <v>450</v>
      </c>
      <c r="Q112" s="31" t="inlineStr">
        <is>
          <t>In Stock</t>
        </is>
      </c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12.5" customHeight="1" s="85">
      <c r="A113" s="27" t="inlineStr">
        <is>
          <t>BOOK MASIHI JEEVAN</t>
        </is>
      </c>
      <c r="B113" s="27" t="n"/>
      <c r="C113" s="27" t="inlineStr">
        <is>
          <t>Books &amp; Bibles</t>
        </is>
      </c>
      <c r="D113" s="32" t="inlineStr">
        <is>
          <t>100053</t>
        </is>
      </c>
      <c r="E113" s="27" t="n"/>
      <c r="F113" s="29" t="n">
        <v>0</v>
      </c>
      <c r="G113" s="29" t="n">
        <v>30</v>
      </c>
      <c r="H113" s="27" t="inlineStr">
        <is>
          <t>Inclusive</t>
        </is>
      </c>
      <c r="I113" s="29" t="n">
        <v>20</v>
      </c>
      <c r="J113" s="27" t="inlineStr">
        <is>
          <t>Inclusive</t>
        </is>
      </c>
      <c r="K113" s="29" t="n">
        <v>50</v>
      </c>
      <c r="L113" s="29" t="n">
        <v>1</v>
      </c>
      <c r="M113" s="33" t="n">
        <v>1</v>
      </c>
      <c r="N113" s="27" t="inlineStr">
        <is>
          <t>Yes</t>
        </is>
      </c>
      <c r="O113" s="29" t="n">
        <v>0</v>
      </c>
      <c r="P113" s="30" t="n">
        <v>450</v>
      </c>
      <c r="Q113" s="31" t="inlineStr">
        <is>
          <t>In Stock</t>
        </is>
      </c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12.5" customHeight="1" s="85">
      <c r="A114" s="27" t="inlineStr">
        <is>
          <t>BOOK MENTOR</t>
        </is>
      </c>
      <c r="B114" s="27" t="n"/>
      <c r="C114" s="27" t="inlineStr">
        <is>
          <t>Books &amp; Bibles</t>
        </is>
      </c>
      <c r="D114" s="32" t="inlineStr">
        <is>
          <t>100054</t>
        </is>
      </c>
      <c r="E114" s="27" t="n"/>
      <c r="F114" s="29" t="n">
        <v>0</v>
      </c>
      <c r="G114" s="29" t="n">
        <v>30</v>
      </c>
      <c r="H114" s="27" t="inlineStr">
        <is>
          <t>Inclusive</t>
        </is>
      </c>
      <c r="I114" s="29" t="n">
        <v>10</v>
      </c>
      <c r="J114" s="27" t="inlineStr">
        <is>
          <t>Inclusive</t>
        </is>
      </c>
      <c r="K114" s="29" t="n">
        <v>50</v>
      </c>
      <c r="L114" s="29" t="n">
        <v>1</v>
      </c>
      <c r="M114" s="33" t="n">
        <v>1</v>
      </c>
      <c r="N114" s="27" t="inlineStr">
        <is>
          <t>Yes</t>
        </is>
      </c>
      <c r="O114" s="29" t="n">
        <v>0</v>
      </c>
      <c r="P114" s="30" t="n">
        <v>450</v>
      </c>
      <c r="Q114" s="31" t="inlineStr">
        <is>
          <t>In Stock</t>
        </is>
      </c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12.5" customHeight="1" s="85">
      <c r="A115" s="27" t="inlineStr">
        <is>
          <t>BOOK NINGALKKUM PARANNUYARAM</t>
        </is>
      </c>
      <c r="B115" s="27" t="n"/>
      <c r="C115" s="27" t="inlineStr">
        <is>
          <t>Books &amp; Bibles</t>
        </is>
      </c>
      <c r="D115" s="32" t="inlineStr">
        <is>
          <t>100055</t>
        </is>
      </c>
      <c r="E115" s="27" t="n"/>
      <c r="F115" s="29" t="n">
        <v>0</v>
      </c>
      <c r="G115" s="29" t="n">
        <v>30</v>
      </c>
      <c r="H115" s="27" t="inlineStr">
        <is>
          <t>Inclusive</t>
        </is>
      </c>
      <c r="I115" s="29" t="n">
        <v>20</v>
      </c>
      <c r="J115" s="27" t="inlineStr">
        <is>
          <t>Inclusive</t>
        </is>
      </c>
      <c r="K115" s="29" t="n">
        <v>50</v>
      </c>
      <c r="L115" s="29" t="n">
        <v>1</v>
      </c>
      <c r="M115" s="33" t="n">
        <v>1</v>
      </c>
      <c r="N115" s="27" t="inlineStr">
        <is>
          <t>Yes</t>
        </is>
      </c>
      <c r="O115" s="29" t="n">
        <v>0</v>
      </c>
      <c r="P115" s="30" t="n">
        <v>450</v>
      </c>
      <c r="Q115" s="31" t="inlineStr">
        <is>
          <t>In Stock</t>
        </is>
      </c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12.5" customHeight="1" s="85">
      <c r="A116" s="27" t="inlineStr">
        <is>
          <t>BOOK NIRGAMAN</t>
        </is>
      </c>
      <c r="B116" s="27" t="n"/>
      <c r="C116" s="27" t="inlineStr">
        <is>
          <t>Books &amp; Bibles</t>
        </is>
      </c>
      <c r="D116" s="32" t="inlineStr">
        <is>
          <t>100056</t>
        </is>
      </c>
      <c r="E116" s="27" t="n"/>
      <c r="F116" s="29" t="n">
        <v>0</v>
      </c>
      <c r="G116" s="29" t="n">
        <v>80</v>
      </c>
      <c r="H116" s="27" t="inlineStr">
        <is>
          <t>Inclusive</t>
        </is>
      </c>
      <c r="I116" s="29" t="n">
        <v>50</v>
      </c>
      <c r="J116" s="27" t="inlineStr">
        <is>
          <t>Inclusive</t>
        </is>
      </c>
      <c r="K116" s="29" t="n">
        <v>100</v>
      </c>
      <c r="L116" s="29" t="n">
        <v>0</v>
      </c>
      <c r="M116" s="33" t="n">
        <v>1</v>
      </c>
      <c r="N116" s="27" t="inlineStr">
        <is>
          <t>Yes</t>
        </is>
      </c>
      <c r="O116" s="29" t="n">
        <v>0</v>
      </c>
      <c r="P116" s="30" t="n">
        <v>450</v>
      </c>
      <c r="Q116" s="31" t="inlineStr">
        <is>
          <t>In Stock</t>
        </is>
      </c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12.5" customHeight="1" s="85">
      <c r="A117" s="27" t="inlineStr">
        <is>
          <t>BOOK PASWANON KELIYE</t>
        </is>
      </c>
      <c r="B117" s="27" t="n"/>
      <c r="C117" s="27" t="inlineStr">
        <is>
          <t>Books &amp; Bibles</t>
        </is>
      </c>
      <c r="D117" s="32" t="inlineStr">
        <is>
          <t>100057</t>
        </is>
      </c>
      <c r="E117" s="27" t="n"/>
      <c r="F117" s="29" t="n">
        <v>0</v>
      </c>
      <c r="G117" s="29" t="n">
        <v>80</v>
      </c>
      <c r="H117" s="27" t="inlineStr">
        <is>
          <t>Inclusive</t>
        </is>
      </c>
      <c r="I117" s="29" t="n">
        <v>70</v>
      </c>
      <c r="J117" s="27" t="inlineStr">
        <is>
          <t>Inclusive</t>
        </is>
      </c>
      <c r="K117" s="29" t="n">
        <v>100</v>
      </c>
      <c r="L117" s="29" t="n">
        <v>1</v>
      </c>
      <c r="M117" s="33" t="n">
        <v>1</v>
      </c>
      <c r="N117" s="27" t="inlineStr">
        <is>
          <t>Yes</t>
        </is>
      </c>
      <c r="O117" s="29" t="n">
        <v>0</v>
      </c>
      <c r="P117" s="30" t="n">
        <v>450</v>
      </c>
      <c r="Q117" s="31" t="inlineStr">
        <is>
          <t>In Stock</t>
        </is>
      </c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12.5" customHeight="1" s="85">
      <c r="A118" s="27" t="inlineStr">
        <is>
          <t>BOOK PILGRIMS PROGRESS</t>
        </is>
      </c>
      <c r="B118" s="27" t="n"/>
      <c r="C118" s="27" t="inlineStr">
        <is>
          <t>Books &amp; Bibles</t>
        </is>
      </c>
      <c r="D118" s="32" t="inlineStr">
        <is>
          <t>100058</t>
        </is>
      </c>
      <c r="E118" s="27" t="n"/>
      <c r="F118" s="29" t="n">
        <v>0</v>
      </c>
      <c r="G118" s="29" t="n">
        <v>100</v>
      </c>
      <c r="H118" s="27" t="inlineStr">
        <is>
          <t>Inclusive</t>
        </is>
      </c>
      <c r="I118" s="29" t="n">
        <v>90</v>
      </c>
      <c r="J118" s="27" t="inlineStr">
        <is>
          <t>Inclusive</t>
        </is>
      </c>
      <c r="K118" s="29" t="n">
        <v>150</v>
      </c>
      <c r="L118" s="29" t="n">
        <v>0</v>
      </c>
      <c r="M118" s="33" t="n">
        <v>1</v>
      </c>
      <c r="N118" s="27" t="inlineStr">
        <is>
          <t>Yes</t>
        </is>
      </c>
      <c r="O118" s="29" t="n">
        <v>0</v>
      </c>
      <c r="P118" s="30" t="n">
        <v>450</v>
      </c>
      <c r="Q118" s="31" t="inlineStr">
        <is>
          <t>In Stock</t>
        </is>
      </c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12.5" customHeight="1" s="85">
      <c r="A119" s="27" t="inlineStr">
        <is>
          <t>BOOK -PRAY ACCORDING TO THE WORD</t>
        </is>
      </c>
      <c r="B119" s="27" t="n"/>
      <c r="C119" s="27" t="inlineStr">
        <is>
          <t>Books &amp; Bibles</t>
        </is>
      </c>
      <c r="D119" s="32" t="inlineStr">
        <is>
          <t>100059</t>
        </is>
      </c>
      <c r="E119" s="27" t="n"/>
      <c r="F119" s="29" t="n">
        <v>0</v>
      </c>
      <c r="G119" s="29" t="n">
        <v>100</v>
      </c>
      <c r="H119" s="27" t="inlineStr">
        <is>
          <t>Inclusive</t>
        </is>
      </c>
      <c r="I119" s="29" t="n">
        <v>100</v>
      </c>
      <c r="J119" s="27" t="inlineStr">
        <is>
          <t>Inclusive</t>
        </is>
      </c>
      <c r="K119" s="29" t="n">
        <v>100</v>
      </c>
      <c r="L119" s="29" t="n">
        <v>0</v>
      </c>
      <c r="M119" s="33" t="n">
        <v>1</v>
      </c>
      <c r="N119" s="27" t="inlineStr">
        <is>
          <t>Yes</t>
        </is>
      </c>
      <c r="O119" s="29" t="n">
        <v>0</v>
      </c>
      <c r="P119" s="30" t="n">
        <v>450</v>
      </c>
      <c r="Q119" s="31" t="inlineStr">
        <is>
          <t>In Stock</t>
        </is>
      </c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12.5" customHeight="1" s="85">
      <c r="A120" s="27" t="inlineStr">
        <is>
          <t>BOOK - PRAY WITH PURPOSE</t>
        </is>
      </c>
      <c r="B120" s="27" t="n"/>
      <c r="C120" s="27" t="inlineStr">
        <is>
          <t>Books &amp; Bibles</t>
        </is>
      </c>
      <c r="D120" s="32" t="inlineStr">
        <is>
          <t>100060</t>
        </is>
      </c>
      <c r="E120" s="27" t="n"/>
      <c r="F120" s="29" t="n">
        <v>0</v>
      </c>
      <c r="G120" s="29" t="n">
        <v>30</v>
      </c>
      <c r="H120" s="27" t="inlineStr">
        <is>
          <t>Inclusive</t>
        </is>
      </c>
      <c r="I120" s="29" t="n">
        <v>18</v>
      </c>
      <c r="J120" s="27" t="inlineStr">
        <is>
          <t>Inclusive</t>
        </is>
      </c>
      <c r="K120" s="29" t="n">
        <v>25</v>
      </c>
      <c r="L120" s="29" t="n">
        <v>0</v>
      </c>
      <c r="M120" s="33" t="n">
        <v>1</v>
      </c>
      <c r="N120" s="27" t="inlineStr">
        <is>
          <t>Yes</t>
        </is>
      </c>
      <c r="O120" s="29" t="n">
        <v>0</v>
      </c>
      <c r="P120" s="30" t="n">
        <v>450</v>
      </c>
      <c r="Q120" s="31" t="inlineStr">
        <is>
          <t>In Stock</t>
        </is>
      </c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12.5" customHeight="1" s="85">
      <c r="A121" s="27" t="inlineStr">
        <is>
          <t>BOOK PRERITON KE KAAM</t>
        </is>
      </c>
      <c r="B121" s="27" t="n"/>
      <c r="C121" s="27" t="inlineStr">
        <is>
          <t>Books &amp; Bibles</t>
        </is>
      </c>
      <c r="D121" s="32" t="inlineStr">
        <is>
          <t>100061</t>
        </is>
      </c>
      <c r="E121" s="27" t="n"/>
      <c r="F121" s="29" t="n">
        <v>0</v>
      </c>
      <c r="G121" s="29" t="n">
        <v>30</v>
      </c>
      <c r="H121" s="27" t="inlineStr">
        <is>
          <t>Inclusive</t>
        </is>
      </c>
      <c r="I121" s="29" t="n">
        <v>20</v>
      </c>
      <c r="J121" s="27" t="inlineStr">
        <is>
          <t>Inclusive</t>
        </is>
      </c>
      <c r="K121" s="29" t="n">
        <v>50</v>
      </c>
      <c r="L121" s="29" t="n">
        <v>1</v>
      </c>
      <c r="M121" s="33" t="n">
        <v>1</v>
      </c>
      <c r="N121" s="27" t="inlineStr">
        <is>
          <t>Yes</t>
        </is>
      </c>
      <c r="O121" s="29" t="n">
        <v>0</v>
      </c>
      <c r="P121" s="30" t="n">
        <v>450</v>
      </c>
      <c r="Q121" s="31" t="inlineStr">
        <is>
          <t>In Stock</t>
        </is>
      </c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12.5" customHeight="1" s="85">
      <c r="A122" s="27" t="inlineStr">
        <is>
          <t>BOOK- RAINHARD BONKE</t>
        </is>
      </c>
      <c r="B122" s="27" t="n"/>
      <c r="C122" s="27" t="inlineStr">
        <is>
          <t>Books &amp; Bibles</t>
        </is>
      </c>
      <c r="D122" s="32" t="inlineStr">
        <is>
          <t>100062</t>
        </is>
      </c>
      <c r="E122" s="27" t="n"/>
      <c r="F122" s="29" t="n">
        <v>0</v>
      </c>
      <c r="G122" s="29" t="n">
        <v>100</v>
      </c>
      <c r="H122" s="27" t="inlineStr">
        <is>
          <t>Inclusive</t>
        </is>
      </c>
      <c r="I122" s="29" t="n">
        <v>81</v>
      </c>
      <c r="J122" s="27" t="inlineStr">
        <is>
          <t>Inclusive</t>
        </is>
      </c>
      <c r="K122" s="29" t="n">
        <v>120</v>
      </c>
      <c r="L122" s="29" t="n">
        <v>0</v>
      </c>
      <c r="M122" s="33" t="n">
        <v>1</v>
      </c>
      <c r="N122" s="27" t="inlineStr">
        <is>
          <t>Yes</t>
        </is>
      </c>
      <c r="O122" s="29" t="n">
        <v>0</v>
      </c>
      <c r="P122" s="30" t="n">
        <v>450</v>
      </c>
      <c r="Q122" s="31" t="inlineStr">
        <is>
          <t>In Stock</t>
        </is>
      </c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12.5" customHeight="1" s="85">
      <c r="A123" s="27" t="inlineStr">
        <is>
          <t>BOOK -SADHU SUNDER SINGH</t>
        </is>
      </c>
      <c r="B123" s="27" t="n"/>
      <c r="C123" s="27" t="inlineStr">
        <is>
          <t>Books &amp; Bibles</t>
        </is>
      </c>
      <c r="D123" s="32" t="inlineStr">
        <is>
          <t>100063</t>
        </is>
      </c>
      <c r="E123" s="27" t="n"/>
      <c r="F123" s="29" t="n">
        <v>0</v>
      </c>
      <c r="G123" s="29" t="n">
        <v>250</v>
      </c>
      <c r="H123" s="27" t="inlineStr">
        <is>
          <t>Inclusive</t>
        </is>
      </c>
      <c r="I123" s="29" t="n">
        <v>200</v>
      </c>
      <c r="J123" s="27" t="inlineStr">
        <is>
          <t>Inclusive</t>
        </is>
      </c>
      <c r="K123" s="29" t="n">
        <v>280</v>
      </c>
      <c r="L123" s="29" t="n">
        <v>0</v>
      </c>
      <c r="M123" s="33" t="n">
        <v>1</v>
      </c>
      <c r="N123" s="27" t="inlineStr">
        <is>
          <t>Yes</t>
        </is>
      </c>
      <c r="O123" s="29" t="n">
        <v>0</v>
      </c>
      <c r="P123" s="30" t="n">
        <v>450</v>
      </c>
      <c r="Q123" s="31" t="inlineStr">
        <is>
          <t>In Stock</t>
        </is>
      </c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12.5" customHeight="1" s="85">
      <c r="A124" s="27" t="inlineStr">
        <is>
          <t>BOOK -SAMUEL MORRIS</t>
        </is>
      </c>
      <c r="B124" s="27" t="n"/>
      <c r="C124" s="27" t="inlineStr">
        <is>
          <t>Books &amp; Bibles</t>
        </is>
      </c>
      <c r="D124" s="32" t="inlineStr">
        <is>
          <t>100064</t>
        </is>
      </c>
      <c r="E124" s="27" t="n"/>
      <c r="F124" s="29" t="n">
        <v>0</v>
      </c>
      <c r="G124" s="29" t="n">
        <v>50</v>
      </c>
      <c r="H124" s="27" t="inlineStr">
        <is>
          <t>Inclusive</t>
        </is>
      </c>
      <c r="I124" s="29" t="n">
        <v>31.5</v>
      </c>
      <c r="J124" s="27" t="inlineStr">
        <is>
          <t>Inclusive</t>
        </is>
      </c>
      <c r="K124" s="29" t="n">
        <v>70</v>
      </c>
      <c r="L124" s="29" t="n">
        <v>0</v>
      </c>
      <c r="M124" s="33" t="n">
        <v>1</v>
      </c>
      <c r="N124" s="27" t="inlineStr">
        <is>
          <t>Yes</t>
        </is>
      </c>
      <c r="O124" s="29" t="n">
        <v>0</v>
      </c>
      <c r="P124" s="30" t="n">
        <v>450</v>
      </c>
      <c r="Q124" s="31" t="inlineStr">
        <is>
          <t>In Stock</t>
        </is>
      </c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12.5" customHeight="1" s="85">
      <c r="A125" s="27" t="inlineStr">
        <is>
          <t>BOOK SANDESH</t>
        </is>
      </c>
      <c r="B125" s="27" t="n"/>
      <c r="C125" s="27" t="inlineStr">
        <is>
          <t>Books &amp; Bibles</t>
        </is>
      </c>
      <c r="D125" s="32" t="inlineStr">
        <is>
          <t>100065</t>
        </is>
      </c>
      <c r="E125" s="27" t="n"/>
      <c r="F125" s="29" t="n">
        <v>0</v>
      </c>
      <c r="G125" s="29" t="n">
        <v>30</v>
      </c>
      <c r="H125" s="27" t="inlineStr">
        <is>
          <t>Inclusive</t>
        </is>
      </c>
      <c r="I125" s="29" t="n">
        <v>20</v>
      </c>
      <c r="J125" s="27" t="inlineStr">
        <is>
          <t>Inclusive</t>
        </is>
      </c>
      <c r="K125" s="29" t="n">
        <v>50</v>
      </c>
      <c r="L125" s="29" t="n">
        <v>1</v>
      </c>
      <c r="M125" s="33" t="n">
        <v>1</v>
      </c>
      <c r="N125" s="27" t="inlineStr">
        <is>
          <t>Yes</t>
        </is>
      </c>
      <c r="O125" s="29" t="n">
        <v>0</v>
      </c>
      <c r="P125" s="30" t="n">
        <v>450</v>
      </c>
      <c r="Q125" s="31" t="inlineStr">
        <is>
          <t>In Stock</t>
        </is>
      </c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12.5" customHeight="1" s="85">
      <c r="A126" s="27" t="inlineStr">
        <is>
          <t>BOOK - SCHOOL OF GOD'S CHILDREN</t>
        </is>
      </c>
      <c r="B126" s="27" t="n"/>
      <c r="C126" s="27" t="inlineStr">
        <is>
          <t>Books &amp; Bibles</t>
        </is>
      </c>
      <c r="D126" s="32" t="inlineStr">
        <is>
          <t>100066</t>
        </is>
      </c>
      <c r="E126" s="27" t="n"/>
      <c r="F126" s="29" t="n">
        <v>0</v>
      </c>
      <c r="G126" s="29" t="n">
        <v>25</v>
      </c>
      <c r="H126" s="27" t="inlineStr">
        <is>
          <t>Inclusive</t>
        </is>
      </c>
      <c r="I126" s="29" t="n">
        <v>18</v>
      </c>
      <c r="J126" s="27" t="inlineStr">
        <is>
          <t>Inclusive</t>
        </is>
      </c>
      <c r="K126" s="29" t="n">
        <v>25</v>
      </c>
      <c r="L126" s="29" t="n">
        <v>1</v>
      </c>
      <c r="M126" s="33" t="n">
        <v>1</v>
      </c>
      <c r="N126" s="27" t="inlineStr">
        <is>
          <t>Yes</t>
        </is>
      </c>
      <c r="O126" s="29" t="n">
        <v>0</v>
      </c>
      <c r="P126" s="30" t="n">
        <v>450</v>
      </c>
      <c r="Q126" s="31" t="inlineStr">
        <is>
          <t>In Stock</t>
        </is>
      </c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12.5" customHeight="1" s="85">
      <c r="A127" s="27" t="inlineStr">
        <is>
          <t>BOOK SNEHAPURVAM SAHODARIMARODU</t>
        </is>
      </c>
      <c r="B127" s="27" t="n"/>
      <c r="C127" s="27" t="inlineStr">
        <is>
          <t>Books &amp; Bibles</t>
        </is>
      </c>
      <c r="D127" s="32" t="inlineStr">
        <is>
          <t>100067</t>
        </is>
      </c>
      <c r="E127" s="27" t="n"/>
      <c r="F127" s="29" t="n">
        <v>0</v>
      </c>
      <c r="G127" s="29" t="n">
        <v>30</v>
      </c>
      <c r="H127" s="27" t="inlineStr">
        <is>
          <t>Inclusive</t>
        </is>
      </c>
      <c r="I127" s="29" t="n">
        <v>20</v>
      </c>
      <c r="J127" s="27" t="inlineStr">
        <is>
          <t>Inclusive</t>
        </is>
      </c>
      <c r="K127" s="29" t="n">
        <v>50</v>
      </c>
      <c r="L127" s="29" t="n">
        <v>1</v>
      </c>
      <c r="M127" s="33" t="n">
        <v>1</v>
      </c>
      <c r="N127" s="27" t="inlineStr">
        <is>
          <t>Yes</t>
        </is>
      </c>
      <c r="O127" s="29" t="n">
        <v>0</v>
      </c>
      <c r="P127" s="30" t="n">
        <v>450</v>
      </c>
      <c r="Q127" s="31" t="inlineStr">
        <is>
          <t>In Stock</t>
        </is>
      </c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12.5" customHeight="1" s="85">
      <c r="A128" s="27" t="inlineStr">
        <is>
          <t>BOOK STAND FIRM IN WIND MALAYALAM</t>
        </is>
      </c>
      <c r="B128" s="27" t="n"/>
      <c r="C128" s="27" t="inlineStr">
        <is>
          <t>Books &amp; Bibles</t>
        </is>
      </c>
      <c r="D128" s="32" t="inlineStr">
        <is>
          <t>100068</t>
        </is>
      </c>
      <c r="E128" s="27" t="n"/>
      <c r="F128" s="29" t="n">
        <v>0</v>
      </c>
      <c r="G128" s="29" t="n">
        <v>100</v>
      </c>
      <c r="H128" s="27" t="inlineStr">
        <is>
          <t>Inclusive</t>
        </is>
      </c>
      <c r="I128" s="29" t="n">
        <v>80</v>
      </c>
      <c r="J128" s="27" t="inlineStr">
        <is>
          <t>Inclusive</t>
        </is>
      </c>
      <c r="K128" s="29" t="n">
        <v>150</v>
      </c>
      <c r="L128" s="29" t="n">
        <v>1</v>
      </c>
      <c r="M128" s="33" t="n">
        <v>1</v>
      </c>
      <c r="N128" s="27" t="inlineStr">
        <is>
          <t>Yes</t>
        </is>
      </c>
      <c r="O128" s="29" t="n">
        <v>0</v>
      </c>
      <c r="P128" s="30" t="n">
        <v>450</v>
      </c>
      <c r="Q128" s="31" t="inlineStr">
        <is>
          <t>In Stock</t>
        </is>
      </c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12.5" customHeight="1" s="85">
      <c r="A129" s="27" t="inlineStr">
        <is>
          <t>BOOK- THE CALVARY ROAD</t>
        </is>
      </c>
      <c r="B129" s="27" t="n"/>
      <c r="C129" s="27" t="inlineStr">
        <is>
          <t>Books &amp; Bibles</t>
        </is>
      </c>
      <c r="D129" s="32" t="inlineStr">
        <is>
          <t>100069</t>
        </is>
      </c>
      <c r="E129" s="27" t="n"/>
      <c r="F129" s="29" t="n">
        <v>0</v>
      </c>
      <c r="G129" s="29" t="n">
        <v>50</v>
      </c>
      <c r="H129" s="27" t="inlineStr">
        <is>
          <t>Inclusive</t>
        </is>
      </c>
      <c r="I129" s="29" t="n">
        <v>31.5</v>
      </c>
      <c r="J129" s="27" t="inlineStr">
        <is>
          <t>Inclusive</t>
        </is>
      </c>
      <c r="K129" s="29" t="n">
        <v>80</v>
      </c>
      <c r="L129" s="29" t="n">
        <v>0</v>
      </c>
      <c r="M129" s="33" t="n">
        <v>1</v>
      </c>
      <c r="N129" s="27" t="inlineStr">
        <is>
          <t>Yes</t>
        </is>
      </c>
      <c r="O129" s="29" t="n">
        <v>0</v>
      </c>
      <c r="P129" s="30" t="n">
        <v>450</v>
      </c>
      <c r="Q129" s="31" t="inlineStr">
        <is>
          <t>In Stock</t>
        </is>
      </c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12.5" customHeight="1" s="85">
      <c r="A130" s="27" t="inlineStr">
        <is>
          <t>BOOK - THE TORN VEIL</t>
        </is>
      </c>
      <c r="B130" s="27" t="n"/>
      <c r="C130" s="27" t="inlineStr">
        <is>
          <t>Books &amp; Bibles</t>
        </is>
      </c>
      <c r="D130" s="32" t="inlineStr">
        <is>
          <t>100070</t>
        </is>
      </c>
      <c r="E130" s="27" t="n"/>
      <c r="F130" s="29" t="n">
        <v>0</v>
      </c>
      <c r="G130" s="29" t="n">
        <v>50</v>
      </c>
      <c r="H130" s="27" t="inlineStr">
        <is>
          <t>Inclusive</t>
        </is>
      </c>
      <c r="I130" s="29" t="n">
        <v>36</v>
      </c>
      <c r="J130" s="27" t="inlineStr">
        <is>
          <t>Inclusive</t>
        </is>
      </c>
      <c r="K130" s="29" t="n">
        <v>50</v>
      </c>
      <c r="L130" s="29" t="n">
        <v>1</v>
      </c>
      <c r="M130" s="33" t="n">
        <v>1</v>
      </c>
      <c r="N130" s="27" t="inlineStr">
        <is>
          <t>Yes</t>
        </is>
      </c>
      <c r="O130" s="29" t="n">
        <v>0</v>
      </c>
      <c r="P130" s="30" t="n">
        <v>450</v>
      </c>
      <c r="Q130" s="31" t="inlineStr">
        <is>
          <t>In Stock</t>
        </is>
      </c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12.5" customHeight="1" s="85">
      <c r="A131" s="27" t="inlineStr">
        <is>
          <t>BOOK VISHWAS</t>
        </is>
      </c>
      <c r="B131" s="27" t="n"/>
      <c r="C131" s="27" t="inlineStr">
        <is>
          <t>Books &amp; Bibles</t>
        </is>
      </c>
      <c r="D131" s="32" t="inlineStr">
        <is>
          <t>100071</t>
        </is>
      </c>
      <c r="E131" s="27" t="n"/>
      <c r="F131" s="29" t="n">
        <v>0</v>
      </c>
      <c r="G131" s="29" t="n">
        <v>150</v>
      </c>
      <c r="H131" s="27" t="inlineStr">
        <is>
          <t>Inclusive</t>
        </is>
      </c>
      <c r="I131" s="29" t="n">
        <v>130</v>
      </c>
      <c r="J131" s="27" t="inlineStr">
        <is>
          <t>Inclusive</t>
        </is>
      </c>
      <c r="K131" s="29" t="n">
        <v>200</v>
      </c>
      <c r="L131" s="29" t="n">
        <v>1</v>
      </c>
      <c r="M131" s="33" t="n">
        <v>1</v>
      </c>
      <c r="N131" s="27" t="inlineStr">
        <is>
          <t>Yes</t>
        </is>
      </c>
      <c r="O131" s="29" t="n">
        <v>0</v>
      </c>
      <c r="P131" s="30" t="n">
        <v>450</v>
      </c>
      <c r="Q131" s="31" t="inlineStr">
        <is>
          <t>In Stock</t>
        </is>
      </c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12.5" customHeight="1" s="85">
      <c r="A132" s="27" t="inlineStr">
        <is>
          <t>BOOK - WILD FLOWERS</t>
        </is>
      </c>
      <c r="B132" s="27" t="n"/>
      <c r="C132" s="27" t="inlineStr">
        <is>
          <t>Books &amp; Bibles</t>
        </is>
      </c>
      <c r="D132" s="32" t="inlineStr">
        <is>
          <t>100072</t>
        </is>
      </c>
      <c r="E132" s="27" t="n"/>
      <c r="F132" s="29" t="n">
        <v>0</v>
      </c>
      <c r="G132" s="29" t="n">
        <v>40</v>
      </c>
      <c r="H132" s="27" t="inlineStr">
        <is>
          <t>Inclusive</t>
        </is>
      </c>
      <c r="I132" s="29" t="n">
        <v>27</v>
      </c>
      <c r="J132" s="27" t="inlineStr">
        <is>
          <t>Inclusive</t>
        </is>
      </c>
      <c r="K132" s="29" t="n">
        <v>40</v>
      </c>
      <c r="L132" s="29" t="n">
        <v>1</v>
      </c>
      <c r="M132" s="33" t="n">
        <v>1</v>
      </c>
      <c r="N132" s="27" t="inlineStr">
        <is>
          <t>Yes</t>
        </is>
      </c>
      <c r="O132" s="29" t="n">
        <v>0</v>
      </c>
      <c r="P132" s="30" t="n">
        <v>450</v>
      </c>
      <c r="Q132" s="31" t="inlineStr">
        <is>
          <t>In Stock</t>
        </is>
      </c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12.5" customHeight="1" s="85">
      <c r="A133" s="27" t="inlineStr">
        <is>
          <t>BRAHMIN SAMBAR POWDER 100GM</t>
        </is>
      </c>
      <c r="B133" s="27" t="n"/>
      <c r="C133" s="27" t="inlineStr">
        <is>
          <t>Masalas &amp; Spices</t>
        </is>
      </c>
      <c r="D133" s="28" t="inlineStr">
        <is>
          <t>8906014080101</t>
        </is>
      </c>
      <c r="E133" s="27" t="n"/>
      <c r="F133" s="29" t="n">
        <v>0</v>
      </c>
      <c r="G133" s="29" t="n">
        <v>80</v>
      </c>
      <c r="H133" s="27" t="inlineStr">
        <is>
          <t>Exclusive</t>
        </is>
      </c>
      <c r="I133" s="29" t="n">
        <v>60</v>
      </c>
      <c r="J133" s="27" t="inlineStr">
        <is>
          <t>Exclusive</t>
        </is>
      </c>
      <c r="K133" s="29" t="n">
        <v>80</v>
      </c>
      <c r="L133" s="29" t="n">
        <v>0</v>
      </c>
      <c r="M133" s="33" t="n">
        <v>1</v>
      </c>
      <c r="N133" s="27" t="inlineStr">
        <is>
          <t>Yes</t>
        </is>
      </c>
      <c r="O133" s="29" t="n">
        <v>0</v>
      </c>
      <c r="P133" s="30" t="n">
        <v>450</v>
      </c>
      <c r="Q133" s="31" t="inlineStr">
        <is>
          <t>In Stock</t>
        </is>
      </c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12.5" customHeight="1" s="85">
      <c r="A134" s="27" t="inlineStr">
        <is>
          <t>BREAD LOOSE</t>
        </is>
      </c>
      <c r="B134" s="27" t="n"/>
      <c r="C134" s="27" t="inlineStr">
        <is>
          <t>Snacks</t>
        </is>
      </c>
      <c r="D134" s="28" t="inlineStr">
        <is>
          <t>337558187018</t>
        </is>
      </c>
      <c r="E134" s="27" t="n"/>
      <c r="F134" s="29" t="n">
        <v>0</v>
      </c>
      <c r="G134" s="29" t="n">
        <v>150</v>
      </c>
      <c r="H134" s="27" t="inlineStr">
        <is>
          <t>Exclusive</t>
        </is>
      </c>
      <c r="I134" s="29" t="n">
        <v>100</v>
      </c>
      <c r="J134" s="27" t="inlineStr">
        <is>
          <t>Exclusive</t>
        </is>
      </c>
      <c r="K134" s="29" t="n">
        <v>200</v>
      </c>
      <c r="L134" s="29" t="n">
        <v>0</v>
      </c>
      <c r="M134" s="33" t="n">
        <v>1</v>
      </c>
      <c r="N134" s="27" t="inlineStr">
        <is>
          <t>Yes</t>
        </is>
      </c>
      <c r="O134" s="29" t="n">
        <v>0</v>
      </c>
      <c r="P134" s="30" t="n">
        <v>450</v>
      </c>
      <c r="Q134" s="31" t="inlineStr">
        <is>
          <t>In Stock</t>
        </is>
      </c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12.5" customHeight="1" s="85">
      <c r="A135" s="27" t="inlineStr">
        <is>
          <t>BRU GREEN LABEL COFFEE 200 GM</t>
        </is>
      </c>
      <c r="B135" s="27" t="n"/>
      <c r="C135" s="27" t="inlineStr">
        <is>
          <t>Beverages</t>
        </is>
      </c>
      <c r="D135" s="28" t="inlineStr">
        <is>
          <t>8901030815812</t>
        </is>
      </c>
      <c r="E135" s="27" t="n"/>
      <c r="F135" s="29" t="n">
        <v>0</v>
      </c>
      <c r="G135" s="29" t="n">
        <v>200</v>
      </c>
      <c r="H135" s="27" t="inlineStr">
        <is>
          <t>Exclusive</t>
        </is>
      </c>
      <c r="I135" s="29" t="n">
        <v>202</v>
      </c>
      <c r="J135" s="27" t="inlineStr">
        <is>
          <t>Exclusive</t>
        </is>
      </c>
      <c r="K135" s="29" t="n">
        <v>200</v>
      </c>
      <c r="L135" s="29" t="n">
        <v>0</v>
      </c>
      <c r="M135" s="33" t="n">
        <v>1</v>
      </c>
      <c r="N135" s="27" t="inlineStr">
        <is>
          <t>Yes</t>
        </is>
      </c>
      <c r="O135" s="29" t="n">
        <v>0</v>
      </c>
      <c r="P135" s="30" t="n">
        <v>450</v>
      </c>
      <c r="Q135" s="31" t="inlineStr">
        <is>
          <t>In Stock</t>
        </is>
      </c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12.5" customHeight="1" s="85">
      <c r="A136" s="27" t="inlineStr">
        <is>
          <t>BV BANANA POWDER 300GM</t>
        </is>
      </c>
      <c r="B136" s="27" t="n"/>
      <c r="C136" s="27" t="inlineStr">
        <is>
          <t>Grains &amp; Flours</t>
        </is>
      </c>
      <c r="D136" s="28" t="inlineStr">
        <is>
          <t>8906009162447</t>
        </is>
      </c>
      <c r="E136" s="27" t="n"/>
      <c r="F136" s="29" t="n">
        <v>0</v>
      </c>
      <c r="G136" s="29" t="n">
        <v>295</v>
      </c>
      <c r="H136" s="27" t="inlineStr">
        <is>
          <t>Exclusive</t>
        </is>
      </c>
      <c r="I136" s="29" t="n">
        <v>258</v>
      </c>
      <c r="J136" s="27" t="inlineStr">
        <is>
          <t>Exclusive</t>
        </is>
      </c>
      <c r="K136" s="29" t="n">
        <v>295</v>
      </c>
      <c r="L136" s="29" t="n">
        <v>2</v>
      </c>
      <c r="M136" s="33" t="n">
        <v>1</v>
      </c>
      <c r="N136" s="27" t="inlineStr">
        <is>
          <t>Yes</t>
        </is>
      </c>
      <c r="O136" s="29" t="n">
        <v>0</v>
      </c>
      <c r="P136" s="30" t="n">
        <v>450</v>
      </c>
      <c r="Q136" s="31" t="inlineStr">
        <is>
          <t>In Stock</t>
        </is>
      </c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12.5" customHeight="1" s="85">
      <c r="A137" s="27" t="inlineStr">
        <is>
          <t>CABBAGE THORAN</t>
        </is>
      </c>
      <c r="B137" s="27" t="n"/>
      <c r="C137" s="27" t="inlineStr">
        <is>
          <t>Ready to Eat &amp; Mixes</t>
        </is>
      </c>
      <c r="D137" s="28" t="inlineStr">
        <is>
          <t>8907093007690</t>
        </is>
      </c>
      <c r="E137" s="27" t="n"/>
      <c r="F137" s="29" t="n">
        <v>0</v>
      </c>
      <c r="G137" s="29" t="n">
        <v>150</v>
      </c>
      <c r="H137" s="27" t="inlineStr">
        <is>
          <t>Exclusive</t>
        </is>
      </c>
      <c r="I137" s="29" t="n">
        <v>120</v>
      </c>
      <c r="J137" s="27" t="inlineStr">
        <is>
          <t>Exclusive</t>
        </is>
      </c>
      <c r="K137" s="29" t="n">
        <v>150</v>
      </c>
      <c r="L137" s="29" t="n">
        <v>0</v>
      </c>
      <c r="M137" s="27" t="n"/>
      <c r="N137" s="27" t="inlineStr">
        <is>
          <t>Yes</t>
        </is>
      </c>
      <c r="O137" s="29" t="n">
        <v>0</v>
      </c>
      <c r="P137" s="30" t="n">
        <v>450</v>
      </c>
      <c r="Q137" s="31" t="inlineStr">
        <is>
          <t>In Stock</t>
        </is>
      </c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12.5" customHeight="1" s="85">
      <c r="A138" s="27" t="inlineStr">
        <is>
          <t>CALENDAR 2026</t>
        </is>
      </c>
      <c r="B138" s="27" t="n"/>
      <c r="C138" s="27" t="inlineStr">
        <is>
          <t>Stationery</t>
        </is>
      </c>
      <c r="D138" s="32" t="inlineStr">
        <is>
          <t>100073</t>
        </is>
      </c>
      <c r="E138" s="27" t="n"/>
      <c r="F138" s="29" t="n">
        <v>0</v>
      </c>
      <c r="G138" s="29" t="n">
        <v>50</v>
      </c>
      <c r="H138" s="27" t="inlineStr">
        <is>
          <t>Exclusive</t>
        </is>
      </c>
      <c r="I138" s="29" t="n">
        <v>27</v>
      </c>
      <c r="J138" s="27" t="inlineStr">
        <is>
          <t>Exclusive</t>
        </is>
      </c>
      <c r="K138" s="29" t="n">
        <v>50</v>
      </c>
      <c r="L138" s="29" t="n">
        <v>313</v>
      </c>
      <c r="M138" s="33" t="n">
        <v>1</v>
      </c>
      <c r="N138" s="27" t="inlineStr">
        <is>
          <t>Yes</t>
        </is>
      </c>
      <c r="O138" s="29" t="n">
        <v>0</v>
      </c>
      <c r="P138" s="30" t="n">
        <v>450</v>
      </c>
      <c r="Q138" s="31" t="inlineStr">
        <is>
          <t>In Stock</t>
        </is>
      </c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12.5" customHeight="1" s="85">
      <c r="A139" s="27" t="inlineStr">
        <is>
          <t>CARDAMOM POWDER 50GM</t>
        </is>
      </c>
      <c r="B139" s="27" t="n"/>
      <c r="C139" s="27" t="inlineStr">
        <is>
          <t>Masalas &amp; Spices</t>
        </is>
      </c>
      <c r="D139" s="28" t="inlineStr">
        <is>
          <t>707455637792</t>
        </is>
      </c>
      <c r="E139" s="27" t="n"/>
      <c r="F139" s="29" t="n">
        <v>0</v>
      </c>
      <c r="G139" s="29" t="n">
        <v>199</v>
      </c>
      <c r="H139" s="27" t="inlineStr">
        <is>
          <t>Inclusive</t>
        </is>
      </c>
      <c r="I139" s="29" t="n">
        <v>150</v>
      </c>
      <c r="J139" s="27" t="inlineStr">
        <is>
          <t>Inclusive</t>
        </is>
      </c>
      <c r="K139" s="29" t="n">
        <v>249</v>
      </c>
      <c r="L139" s="29" t="n">
        <v>2</v>
      </c>
      <c r="M139" s="33" t="n">
        <v>1</v>
      </c>
      <c r="N139" s="27" t="inlineStr">
        <is>
          <t>Yes</t>
        </is>
      </c>
      <c r="O139" s="29" t="n">
        <v>0</v>
      </c>
      <c r="P139" s="30" t="n">
        <v>450</v>
      </c>
      <c r="Q139" s="31" t="inlineStr">
        <is>
          <t>In Stock</t>
        </is>
      </c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12.5" customHeight="1" s="85">
      <c r="A140" s="27" t="inlineStr">
        <is>
          <t>CARDBOARD</t>
        </is>
      </c>
      <c r="B140" s="27" t="n"/>
      <c r="C140" s="27" t="inlineStr">
        <is>
          <t>Stationery</t>
        </is>
      </c>
      <c r="D140" s="32" t="inlineStr">
        <is>
          <t>100074</t>
        </is>
      </c>
      <c r="E140" s="27" t="n"/>
      <c r="F140" s="29" t="n">
        <v>0</v>
      </c>
      <c r="G140" s="29" t="n">
        <v>80</v>
      </c>
      <c r="H140" s="27" t="inlineStr">
        <is>
          <t>Exclusive</t>
        </is>
      </c>
      <c r="I140" s="29" t="n">
        <v>40</v>
      </c>
      <c r="J140" s="27" t="inlineStr">
        <is>
          <t>Exclusive</t>
        </is>
      </c>
      <c r="K140" s="29" t="n">
        <v>80</v>
      </c>
      <c r="L140" s="29" t="n">
        <v>0</v>
      </c>
      <c r="M140" s="33" t="n">
        <v>1</v>
      </c>
      <c r="N140" s="27" t="inlineStr">
        <is>
          <t>No</t>
        </is>
      </c>
      <c r="O140" s="29" t="n">
        <v>0</v>
      </c>
      <c r="P140" s="30" t="n">
        <v>450</v>
      </c>
      <c r="Q140" s="31" t="inlineStr">
        <is>
          <t>In Stock</t>
        </is>
      </c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12.5" customHeight="1" s="85">
      <c r="A141" s="27" t="inlineStr">
        <is>
          <t>CATCH CORIANDER 1KG</t>
        </is>
      </c>
      <c r="B141" s="27" t="n"/>
      <c r="C141" s="27" t="inlineStr">
        <is>
          <t>Masalas &amp; Spices</t>
        </is>
      </c>
      <c r="D141" s="28" t="inlineStr">
        <is>
          <t>8901192104724</t>
        </is>
      </c>
      <c r="E141" s="27" t="n"/>
      <c r="F141" s="29" t="n">
        <v>0</v>
      </c>
      <c r="G141" s="29" t="n">
        <v>360</v>
      </c>
      <c r="H141" s="27" t="inlineStr">
        <is>
          <t>Exclusive</t>
        </is>
      </c>
      <c r="I141" s="29" t="n">
        <v>304</v>
      </c>
      <c r="J141" s="27" t="inlineStr">
        <is>
          <t>Exclusive</t>
        </is>
      </c>
      <c r="K141" s="29" t="n">
        <v>390</v>
      </c>
      <c r="L141" s="29" t="n">
        <v>1</v>
      </c>
      <c r="M141" s="33" t="n">
        <v>1</v>
      </c>
      <c r="N141" s="27" t="inlineStr">
        <is>
          <t>Yes</t>
        </is>
      </c>
      <c r="O141" s="29" t="n">
        <v>0</v>
      </c>
      <c r="P141" s="30" t="n">
        <v>450</v>
      </c>
      <c r="Q141" s="31" t="inlineStr">
        <is>
          <t>In Stock</t>
        </is>
      </c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12.5" customHeight="1" s="85">
      <c r="A142" s="27" t="inlineStr">
        <is>
          <t>CATCH CORIANDER 250GM</t>
        </is>
      </c>
      <c r="B142" s="27" t="n"/>
      <c r="C142" s="27" t="inlineStr">
        <is>
          <t>Masalas &amp; Spices</t>
        </is>
      </c>
      <c r="D142" s="28" t="inlineStr">
        <is>
          <t>8901192104229</t>
        </is>
      </c>
      <c r="E142" s="27" t="n"/>
      <c r="F142" s="29" t="n">
        <v>0</v>
      </c>
      <c r="G142" s="29" t="n">
        <v>79</v>
      </c>
      <c r="H142" s="27" t="inlineStr">
        <is>
          <t>Exclusive</t>
        </is>
      </c>
      <c r="I142" s="29" t="n">
        <v>66</v>
      </c>
      <c r="J142" s="27" t="inlineStr">
        <is>
          <t>Exclusive</t>
        </is>
      </c>
      <c r="K142" s="29" t="n">
        <v>82</v>
      </c>
      <c r="L142" s="29" t="n">
        <v>0</v>
      </c>
      <c r="M142" s="33" t="n">
        <v>1</v>
      </c>
      <c r="N142" s="27" t="inlineStr">
        <is>
          <t>Yes</t>
        </is>
      </c>
      <c r="O142" s="29" t="n">
        <v>0</v>
      </c>
      <c r="P142" s="30" t="n">
        <v>450</v>
      </c>
      <c r="Q142" s="31" t="inlineStr">
        <is>
          <t>In Stock</t>
        </is>
      </c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12.5" customHeight="1" s="85">
      <c r="A143" s="27" t="inlineStr">
        <is>
          <t>CELO TAPE</t>
        </is>
      </c>
      <c r="B143" s="27" t="n"/>
      <c r="C143" s="27" t="inlineStr">
        <is>
          <t>Stationery</t>
        </is>
      </c>
      <c r="D143" s="32" t="inlineStr">
        <is>
          <t>100075</t>
        </is>
      </c>
      <c r="E143" s="27" t="n"/>
      <c r="F143" s="29" t="n">
        <v>0</v>
      </c>
      <c r="G143" s="29" t="n">
        <v>12</v>
      </c>
      <c r="H143" s="27" t="inlineStr">
        <is>
          <t>Exclusive</t>
        </is>
      </c>
      <c r="I143" s="29" t="n">
        <v>10</v>
      </c>
      <c r="J143" s="27" t="inlineStr">
        <is>
          <t>Exclusive</t>
        </is>
      </c>
      <c r="K143" s="29" t="n">
        <v>12</v>
      </c>
      <c r="L143" s="29" t="n">
        <v>15</v>
      </c>
      <c r="M143" s="33" t="n">
        <v>1</v>
      </c>
      <c r="N143" s="27" t="inlineStr">
        <is>
          <t>No</t>
        </is>
      </c>
      <c r="O143" s="29" t="n">
        <v>0</v>
      </c>
      <c r="P143" s="30" t="n">
        <v>450</v>
      </c>
      <c r="Q143" s="31" t="inlineStr">
        <is>
          <t>In Stock</t>
        </is>
      </c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12.5" customHeight="1" s="85">
      <c r="A144" s="27" t="inlineStr">
        <is>
          <t>CHANDRIKA AYURVEDIC SOAP 75GM</t>
        </is>
      </c>
      <c r="B144" s="27" t="n"/>
      <c r="C144" s="27" t="inlineStr">
        <is>
          <t>Healthcare Items</t>
        </is>
      </c>
      <c r="D144" s="28" t="inlineStr">
        <is>
          <t>8901399009020</t>
        </is>
      </c>
      <c r="E144" s="27" t="n"/>
      <c r="F144" s="29" t="n">
        <v>0</v>
      </c>
      <c r="G144" s="29" t="n">
        <v>32</v>
      </c>
      <c r="H144" s="27" t="inlineStr">
        <is>
          <t>Exclusive</t>
        </is>
      </c>
      <c r="I144" s="29" t="n">
        <v>33</v>
      </c>
      <c r="J144" s="27" t="inlineStr">
        <is>
          <t>Exclusive</t>
        </is>
      </c>
      <c r="K144" s="29" t="n">
        <v>33</v>
      </c>
      <c r="L144" s="29" t="n">
        <v>0</v>
      </c>
      <c r="M144" s="33" t="n">
        <v>1</v>
      </c>
      <c r="N144" s="27" t="inlineStr">
        <is>
          <t>Yes</t>
        </is>
      </c>
      <c r="O144" s="29" t="n">
        <v>0</v>
      </c>
      <c r="P144" s="30" t="n">
        <v>450</v>
      </c>
      <c r="Q144" s="31" t="inlineStr">
        <is>
          <t>In Stock</t>
        </is>
      </c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12.5" customHeight="1" s="85">
      <c r="A145" s="27" t="inlineStr">
        <is>
          <t>CHANDRIKA SOAP3+1</t>
        </is>
      </c>
      <c r="B145" s="27" t="n"/>
      <c r="C145" s="27" t="inlineStr">
        <is>
          <t>Healthcare Items</t>
        </is>
      </c>
      <c r="D145" s="28" t="inlineStr">
        <is>
          <t>8901399006920</t>
        </is>
      </c>
      <c r="E145" s="27" t="n"/>
      <c r="F145" s="29" t="n">
        <v>0</v>
      </c>
      <c r="G145" s="29" t="n">
        <v>165</v>
      </c>
      <c r="H145" s="27" t="inlineStr">
        <is>
          <t>Exclusive</t>
        </is>
      </c>
      <c r="I145" s="29" t="n">
        <v>160</v>
      </c>
      <c r="J145" s="27" t="inlineStr">
        <is>
          <t>Exclusive</t>
        </is>
      </c>
      <c r="K145" s="29" t="n">
        <v>165</v>
      </c>
      <c r="L145" s="29" t="n">
        <v>0</v>
      </c>
      <c r="M145" s="33" t="n">
        <v>1</v>
      </c>
      <c r="N145" s="27" t="inlineStr">
        <is>
          <t>Yes</t>
        </is>
      </c>
      <c r="O145" s="29" t="n">
        <v>0</v>
      </c>
      <c r="P145" s="30" t="n">
        <v>450</v>
      </c>
      <c r="Q145" s="31" t="inlineStr">
        <is>
          <t>In Stock</t>
        </is>
      </c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12.5" customHeight="1" s="85">
      <c r="A146" s="27" t="inlineStr">
        <is>
          <t>CHART PAPER 10</t>
        </is>
      </c>
      <c r="B146" s="27" t="n"/>
      <c r="C146" s="27" t="inlineStr">
        <is>
          <t>Stationery</t>
        </is>
      </c>
      <c r="D146" s="32" t="inlineStr">
        <is>
          <t>100076</t>
        </is>
      </c>
      <c r="E146" s="27" t="n"/>
      <c r="F146" s="29" t="n">
        <v>0</v>
      </c>
      <c r="G146" s="29" t="n">
        <v>10</v>
      </c>
      <c r="H146" s="27" t="inlineStr">
        <is>
          <t>Exclusive</t>
        </is>
      </c>
      <c r="I146" s="29" t="n">
        <v>3</v>
      </c>
      <c r="J146" s="27" t="inlineStr">
        <is>
          <t>Exclusive</t>
        </is>
      </c>
      <c r="K146" s="29" t="n">
        <v>10</v>
      </c>
      <c r="L146" s="29" t="n">
        <v>48</v>
      </c>
      <c r="M146" s="33" t="n">
        <v>1</v>
      </c>
      <c r="N146" s="27" t="inlineStr">
        <is>
          <t>No</t>
        </is>
      </c>
      <c r="O146" s="29" t="n">
        <v>0</v>
      </c>
      <c r="P146" s="30" t="n">
        <v>450</v>
      </c>
      <c r="Q146" s="31" t="inlineStr">
        <is>
          <t>In Stock</t>
        </is>
      </c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12.5" customHeight="1" s="85">
      <c r="A147" s="27" t="inlineStr">
        <is>
          <t>CHENNAI STAR BLACK VELLAM KARUPPETTI 500GM</t>
        </is>
      </c>
      <c r="B147" s="27" t="n"/>
      <c r="C147" s="27" t="inlineStr">
        <is>
          <t>Ready to Eat &amp; Mixes</t>
        </is>
      </c>
      <c r="D147" s="28" t="inlineStr">
        <is>
          <t>316859855751</t>
        </is>
      </c>
      <c r="E147" s="27" t="n"/>
      <c r="F147" s="29" t="n">
        <v>0</v>
      </c>
      <c r="G147" s="29" t="n">
        <v>250</v>
      </c>
      <c r="H147" s="27" t="inlineStr">
        <is>
          <t>Exclusive</t>
        </is>
      </c>
      <c r="I147" s="29" t="n">
        <v>210</v>
      </c>
      <c r="J147" s="27" t="inlineStr">
        <is>
          <t>Exclusive</t>
        </is>
      </c>
      <c r="K147" s="29" t="n">
        <v>250</v>
      </c>
      <c r="L147" s="29" t="n">
        <v>0</v>
      </c>
      <c r="M147" s="33" t="n">
        <v>1</v>
      </c>
      <c r="N147" s="27" t="inlineStr">
        <is>
          <t>Yes</t>
        </is>
      </c>
      <c r="O147" s="29" t="n">
        <v>0</v>
      </c>
      <c r="P147" s="30" t="n">
        <v>450</v>
      </c>
      <c r="Q147" s="31" t="inlineStr">
        <is>
          <t>In Stock</t>
        </is>
      </c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12.5" customHeight="1" s="85">
      <c r="A148" s="27" t="inlineStr">
        <is>
          <t>CHERU PAZHAM NJALI (SMALL BANANA)</t>
        </is>
      </c>
      <c r="B148" s="27" t="n"/>
      <c r="C148" s="27" t="inlineStr">
        <is>
          <t>Raw Items &amp; Produce</t>
        </is>
      </c>
      <c r="D148" s="28" t="inlineStr">
        <is>
          <t>923495130917</t>
        </is>
      </c>
      <c r="E148" s="27" t="n"/>
      <c r="F148" s="29" t="n">
        <v>0</v>
      </c>
      <c r="G148" s="29" t="n">
        <v>150</v>
      </c>
      <c r="H148" s="27" t="inlineStr">
        <is>
          <t>Exclusive</t>
        </is>
      </c>
      <c r="I148" s="29" t="n">
        <v>80</v>
      </c>
      <c r="J148" s="27" t="inlineStr">
        <is>
          <t>Exclusive</t>
        </is>
      </c>
      <c r="K148" s="29" t="n">
        <v>140</v>
      </c>
      <c r="L148" s="29" t="n">
        <v>0</v>
      </c>
      <c r="M148" s="33" t="n">
        <v>1</v>
      </c>
      <c r="N148" s="27" t="inlineStr">
        <is>
          <t>Yes</t>
        </is>
      </c>
      <c r="O148" s="29" t="n">
        <v>0</v>
      </c>
      <c r="P148" s="30" t="n">
        <v>450</v>
      </c>
      <c r="Q148" s="31" t="inlineStr">
        <is>
          <t>In Stock</t>
        </is>
      </c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12.5" customHeight="1" s="85">
      <c r="A149" s="27" t="inlineStr">
        <is>
          <t>CHIA SEEDS 250GM</t>
        </is>
      </c>
      <c r="B149" s="27" t="n"/>
      <c r="C149" s="27" t="inlineStr">
        <is>
          <t>Snacks</t>
        </is>
      </c>
      <c r="D149" s="32" t="inlineStr">
        <is>
          <t>100077</t>
        </is>
      </c>
      <c r="E149" s="27" t="n"/>
      <c r="F149" s="29" t="n">
        <v>0</v>
      </c>
      <c r="G149" s="29" t="n">
        <v>190</v>
      </c>
      <c r="H149" s="27" t="inlineStr">
        <is>
          <t>Inclusive</t>
        </is>
      </c>
      <c r="I149" s="29" t="n">
        <v>153</v>
      </c>
      <c r="J149" s="27" t="inlineStr">
        <is>
          <t>Inclusive</t>
        </is>
      </c>
      <c r="K149" s="29" t="n">
        <v>190</v>
      </c>
      <c r="L149" s="29" t="n">
        <v>0</v>
      </c>
      <c r="M149" s="33" t="n">
        <v>1</v>
      </c>
      <c r="N149" s="27" t="inlineStr">
        <is>
          <t>Yes</t>
        </is>
      </c>
      <c r="O149" s="29" t="n">
        <v>0</v>
      </c>
      <c r="P149" s="30" t="n">
        <v>450</v>
      </c>
      <c r="Q149" s="31" t="inlineStr">
        <is>
          <t>In Stock</t>
        </is>
      </c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12.5" customHeight="1" s="85">
      <c r="A150" s="27" t="inlineStr">
        <is>
          <t>CHICKEN BIRYANI KERALA STYLE (FULL)</t>
        </is>
      </c>
      <c r="B150" s="27" t="n"/>
      <c r="C150" s="27" t="inlineStr">
        <is>
          <t>Ready to Eat &amp; Mixes</t>
        </is>
      </c>
      <c r="D150" s="32" t="inlineStr">
        <is>
          <t>100078</t>
        </is>
      </c>
      <c r="E150" s="27" t="n"/>
      <c r="F150" s="29" t="n">
        <v>0</v>
      </c>
      <c r="G150" s="29" t="n">
        <v>200</v>
      </c>
      <c r="H150" s="27" t="inlineStr">
        <is>
          <t>Exclusive</t>
        </is>
      </c>
      <c r="I150" s="29" t="n">
        <v>150</v>
      </c>
      <c r="J150" s="27" t="inlineStr">
        <is>
          <t>Exclusive</t>
        </is>
      </c>
      <c r="K150" s="29" t="n">
        <v>220</v>
      </c>
      <c r="L150" s="29" t="n">
        <v>0</v>
      </c>
      <c r="M150" s="33" t="n">
        <v>1</v>
      </c>
      <c r="N150" s="27" t="inlineStr">
        <is>
          <t>Yes</t>
        </is>
      </c>
      <c r="O150" s="29" t="n">
        <v>0</v>
      </c>
      <c r="P150" s="30" t="n">
        <v>450</v>
      </c>
      <c r="Q150" s="31" t="inlineStr">
        <is>
          <t>In Stock</t>
        </is>
      </c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12.5" customHeight="1" s="85">
      <c r="A151" s="27" t="inlineStr">
        <is>
          <t>CHICKEN CURRY KERALA STYLE</t>
        </is>
      </c>
      <c r="B151" s="27" t="n"/>
      <c r="C151" s="27" t="inlineStr">
        <is>
          <t>Ready to Eat &amp; Mixes</t>
        </is>
      </c>
      <c r="D151" s="32" t="inlineStr">
        <is>
          <t>100079</t>
        </is>
      </c>
      <c r="E151" s="27" t="n"/>
      <c r="F151" s="29" t="n">
        <v>0</v>
      </c>
      <c r="G151" s="29" t="n">
        <v>120</v>
      </c>
      <c r="H151" s="27" t="inlineStr">
        <is>
          <t>Exclusive</t>
        </is>
      </c>
      <c r="I151" s="29" t="n">
        <v>80</v>
      </c>
      <c r="J151" s="27" t="inlineStr">
        <is>
          <t>Exclusive</t>
        </is>
      </c>
      <c r="K151" s="29" t="n">
        <v>150</v>
      </c>
      <c r="L151" s="29" t="n">
        <v>0</v>
      </c>
      <c r="M151" s="33" t="n">
        <v>1</v>
      </c>
      <c r="N151" s="27" t="inlineStr">
        <is>
          <t>Yes</t>
        </is>
      </c>
      <c r="O151" s="29" t="n">
        <v>0</v>
      </c>
      <c r="P151" s="30" t="n">
        <v>450</v>
      </c>
      <c r="Q151" s="31" t="inlineStr">
        <is>
          <t>In Stock</t>
        </is>
      </c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12.5" customHeight="1" s="85">
      <c r="A152" s="27" t="inlineStr">
        <is>
          <t>CHICKEN CURRY (RTE FULL)</t>
        </is>
      </c>
      <c r="B152" s="27" t="n"/>
      <c r="C152" s="27" t="inlineStr">
        <is>
          <t>Ready to Eat &amp; Mixes</t>
        </is>
      </c>
      <c r="D152" s="28" t="inlineStr">
        <is>
          <t>365915909850</t>
        </is>
      </c>
      <c r="E152" s="27" t="n"/>
      <c r="F152" s="29" t="n">
        <v>0</v>
      </c>
      <c r="G152" s="29" t="n">
        <v>120</v>
      </c>
      <c r="H152" s="27" t="inlineStr">
        <is>
          <t>Exclusive</t>
        </is>
      </c>
      <c r="I152" s="29" t="n">
        <v>110</v>
      </c>
      <c r="J152" s="27" t="inlineStr">
        <is>
          <t>Exclusive</t>
        </is>
      </c>
      <c r="K152" s="29" t="n">
        <v>130</v>
      </c>
      <c r="L152" s="29" t="n">
        <v>0</v>
      </c>
      <c r="M152" s="33" t="n">
        <v>1</v>
      </c>
      <c r="N152" s="27" t="inlineStr">
        <is>
          <t>Yes</t>
        </is>
      </c>
      <c r="O152" s="29" t="n">
        <v>0</v>
      </c>
      <c r="P152" s="30" t="n">
        <v>450</v>
      </c>
      <c r="Q152" s="31" t="inlineStr">
        <is>
          <t>In Stock</t>
        </is>
      </c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12.5" customHeight="1" s="85">
      <c r="A153" s="27" t="inlineStr">
        <is>
          <t>CHICKEN FRIED RICE</t>
        </is>
      </c>
      <c r="B153" s="27" t="n"/>
      <c r="C153" s="27" t="inlineStr">
        <is>
          <t>Ready to Eat &amp; Mixes</t>
        </is>
      </c>
      <c r="D153" s="32" t="inlineStr">
        <is>
          <t>100080</t>
        </is>
      </c>
      <c r="E153" s="27" t="n"/>
      <c r="F153" s="29" t="n">
        <v>0</v>
      </c>
      <c r="G153" s="29" t="n">
        <v>230</v>
      </c>
      <c r="H153" s="27" t="inlineStr">
        <is>
          <t>Exclusive</t>
        </is>
      </c>
      <c r="I153" s="29" t="n">
        <v>190</v>
      </c>
      <c r="J153" s="27" t="inlineStr">
        <is>
          <t>Exclusive</t>
        </is>
      </c>
      <c r="K153" s="29" t="n">
        <v>250</v>
      </c>
      <c r="L153" s="29" t="n">
        <v>0</v>
      </c>
      <c r="M153" s="33" t="n">
        <v>1</v>
      </c>
      <c r="N153" s="27" t="inlineStr">
        <is>
          <t>Yes</t>
        </is>
      </c>
      <c r="O153" s="29" t="n">
        <v>0</v>
      </c>
      <c r="P153" s="30" t="n">
        <v>450</v>
      </c>
      <c r="Q153" s="31" t="inlineStr">
        <is>
          <t>In Stock</t>
        </is>
      </c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12.5" customHeight="1" s="85">
      <c r="A154" s="27" t="inlineStr">
        <is>
          <t>CHILDREN LITERECY BOOKS (CBC)</t>
        </is>
      </c>
      <c r="B154" s="27" t="n"/>
      <c r="C154" s="27" t="inlineStr">
        <is>
          <t>Books &amp; Bibles</t>
        </is>
      </c>
      <c r="D154" s="32" t="inlineStr">
        <is>
          <t>100081</t>
        </is>
      </c>
      <c r="E154" s="27" t="n"/>
      <c r="F154" s="29" t="n">
        <v>0</v>
      </c>
      <c r="G154" s="29" t="n">
        <v>10</v>
      </c>
      <c r="H154" s="27" t="inlineStr">
        <is>
          <t>Exclusive</t>
        </is>
      </c>
      <c r="I154" s="29" t="n">
        <v>10</v>
      </c>
      <c r="J154" s="27" t="inlineStr">
        <is>
          <t>Exclusive</t>
        </is>
      </c>
      <c r="K154" s="29" t="n">
        <v>10</v>
      </c>
      <c r="L154" s="29" t="n">
        <v>0</v>
      </c>
      <c r="M154" s="33" t="n">
        <v>1</v>
      </c>
      <c r="N154" s="27" t="inlineStr">
        <is>
          <t>Yes</t>
        </is>
      </c>
      <c r="O154" s="29" t="n">
        <v>0</v>
      </c>
      <c r="P154" s="30" t="n">
        <v>450</v>
      </c>
      <c r="Q154" s="31" t="inlineStr">
        <is>
          <t>In Stock</t>
        </is>
      </c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12.5" customHeight="1" s="85">
      <c r="A155" s="27" t="inlineStr">
        <is>
          <t>CHOICE 4 CUT BANANA CHIPS</t>
        </is>
      </c>
      <c r="B155" s="27" t="n"/>
      <c r="C155" s="27" t="inlineStr">
        <is>
          <t>Snacks</t>
        </is>
      </c>
      <c r="D155" s="32" t="inlineStr">
        <is>
          <t>100082</t>
        </is>
      </c>
      <c r="E155" s="27" t="n"/>
      <c r="F155" s="29" t="n">
        <v>0</v>
      </c>
      <c r="G155" s="29" t="n">
        <v>175</v>
      </c>
      <c r="H155" s="27" t="inlineStr">
        <is>
          <t>Inclusive</t>
        </is>
      </c>
      <c r="I155" s="29" t="n">
        <v>90</v>
      </c>
      <c r="J155" s="27" t="inlineStr">
        <is>
          <t>Inclusive</t>
        </is>
      </c>
      <c r="K155" s="29" t="n">
        <v>135</v>
      </c>
      <c r="L155" s="29" t="n">
        <v>0</v>
      </c>
      <c r="M155" s="33" t="n">
        <v>1</v>
      </c>
      <c r="N155" s="27" t="inlineStr">
        <is>
          <t>Yes</t>
        </is>
      </c>
      <c r="O155" s="29" t="n">
        <v>0</v>
      </c>
      <c r="P155" s="30" t="n">
        <v>450</v>
      </c>
      <c r="Q155" s="31" t="inlineStr">
        <is>
          <t>In Stock</t>
        </is>
      </c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12.5" customHeight="1" s="85">
      <c r="A156" s="27" t="inlineStr">
        <is>
          <t>CHOICE BANANA 500GM</t>
        </is>
      </c>
      <c r="B156" s="27" t="n"/>
      <c r="C156" s="27" t="inlineStr">
        <is>
          <t>Raw Items &amp; Produce</t>
        </is>
      </c>
      <c r="D156" s="28" t="inlineStr">
        <is>
          <t>953334717115</t>
        </is>
      </c>
      <c r="E156" s="27" t="n"/>
      <c r="F156" s="29" t="n">
        <v>0</v>
      </c>
      <c r="G156" s="29" t="n">
        <v>375</v>
      </c>
      <c r="H156" s="27" t="inlineStr">
        <is>
          <t>Exclusive</t>
        </is>
      </c>
      <c r="I156" s="29" t="n">
        <v>230</v>
      </c>
      <c r="J156" s="27" t="inlineStr">
        <is>
          <t>Exclusive</t>
        </is>
      </c>
      <c r="K156" s="29" t="n">
        <v>325</v>
      </c>
      <c r="L156" s="29" t="n">
        <v>0</v>
      </c>
      <c r="M156" s="33" t="n">
        <v>1</v>
      </c>
      <c r="N156" s="27" t="inlineStr">
        <is>
          <t>Yes</t>
        </is>
      </c>
      <c r="O156" s="29" t="n">
        <v>0</v>
      </c>
      <c r="P156" s="30" t="n">
        <v>450</v>
      </c>
      <c r="Q156" s="31" t="inlineStr">
        <is>
          <t>In Stock</t>
        </is>
      </c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12.5" customHeight="1" s="85">
      <c r="A157" s="27" t="inlineStr">
        <is>
          <t>CHOICE BANANA CHIPS 1KG</t>
        </is>
      </c>
      <c r="B157" s="27" t="n"/>
      <c r="C157" s="27" t="inlineStr">
        <is>
          <t>Snacks</t>
        </is>
      </c>
      <c r="D157" s="28" t="inlineStr">
        <is>
          <t>190036369719</t>
        </is>
      </c>
      <c r="E157" s="27" t="n"/>
      <c r="F157" s="29" t="n">
        <v>0</v>
      </c>
      <c r="G157" s="29" t="n">
        <v>520</v>
      </c>
      <c r="H157" s="27" t="inlineStr">
        <is>
          <t>Exclusive</t>
        </is>
      </c>
      <c r="I157" s="29" t="n">
        <v>245</v>
      </c>
      <c r="J157" s="27" t="inlineStr">
        <is>
          <t>Exclusive</t>
        </is>
      </c>
      <c r="K157" s="29" t="n">
        <v>500</v>
      </c>
      <c r="L157" s="29" t="n">
        <v>0</v>
      </c>
      <c r="M157" s="33" t="n">
        <v>1</v>
      </c>
      <c r="N157" s="27" t="inlineStr">
        <is>
          <t>Yes</t>
        </is>
      </c>
      <c r="O157" s="29" t="n">
        <v>0</v>
      </c>
      <c r="P157" s="30" t="n">
        <v>450</v>
      </c>
      <c r="Q157" s="31" t="inlineStr">
        <is>
          <t>In Stock</t>
        </is>
      </c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12.5" customHeight="1" s="85">
      <c r="A158" s="27" t="inlineStr">
        <is>
          <t>CHOICE BANANA CHIPS 200GM PALM OIL</t>
        </is>
      </c>
      <c r="B158" s="27" t="n"/>
      <c r="C158" s="27" t="inlineStr">
        <is>
          <t>Snacks</t>
        </is>
      </c>
      <c r="D158" s="32" t="inlineStr">
        <is>
          <t>100083</t>
        </is>
      </c>
      <c r="E158" s="27" t="n"/>
      <c r="F158" s="29" t="n">
        <v>0</v>
      </c>
      <c r="G158" s="29" t="n">
        <v>80</v>
      </c>
      <c r="H158" s="27" t="inlineStr">
        <is>
          <t>Exclusive</t>
        </is>
      </c>
      <c r="I158" s="29" t="n">
        <v>68</v>
      </c>
      <c r="J158" s="27" t="inlineStr">
        <is>
          <t>Exclusive</t>
        </is>
      </c>
      <c r="K158" s="29" t="n">
        <v>80</v>
      </c>
      <c r="L158" s="29" t="n">
        <v>25</v>
      </c>
      <c r="M158" s="27" t="n"/>
      <c r="N158" s="27" t="inlineStr">
        <is>
          <t>Yes</t>
        </is>
      </c>
      <c r="O158" s="29" t="n">
        <v>0</v>
      </c>
      <c r="P158" s="30" t="n">
        <v>450</v>
      </c>
      <c r="Q158" s="31" t="inlineStr">
        <is>
          <t>In Stock</t>
        </is>
      </c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12.5" customHeight="1" s="85">
      <c r="A159" s="27" t="inlineStr">
        <is>
          <t>CHOICE BANANA CHIPS 500GM</t>
        </is>
      </c>
      <c r="B159" s="27" t="n"/>
      <c r="C159" s="27" t="inlineStr">
        <is>
          <t>Snacks</t>
        </is>
      </c>
      <c r="D159" s="28" t="inlineStr">
        <is>
          <t>648750284351</t>
        </is>
      </c>
      <c r="E159" s="27" t="n"/>
      <c r="F159" s="29" t="n">
        <v>0</v>
      </c>
      <c r="G159" s="29" t="n">
        <v>375</v>
      </c>
      <c r="H159" s="27" t="inlineStr">
        <is>
          <t>Exclusive</t>
        </is>
      </c>
      <c r="I159" s="29" t="n">
        <v>170</v>
      </c>
      <c r="J159" s="27" t="inlineStr">
        <is>
          <t>Exclusive</t>
        </is>
      </c>
      <c r="K159" s="29" t="n">
        <v>350</v>
      </c>
      <c r="L159" s="29" t="n">
        <v>30</v>
      </c>
      <c r="M159" s="33" t="n">
        <v>1</v>
      </c>
      <c r="N159" s="27" t="inlineStr">
        <is>
          <t>Yes</t>
        </is>
      </c>
      <c r="O159" s="29" t="n">
        <v>0</v>
      </c>
      <c r="P159" s="30" t="n">
        <v>450</v>
      </c>
      <c r="Q159" s="31" t="inlineStr">
        <is>
          <t>In Stock</t>
        </is>
      </c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12.5" customHeight="1" s="85">
      <c r="A160" s="27" t="inlineStr">
        <is>
          <t>CHOICE BANANA CHIPS COCONUT OIL 200GM</t>
        </is>
      </c>
      <c r="B160" s="27" t="n"/>
      <c r="C160" s="27" t="inlineStr">
        <is>
          <t>Snacks</t>
        </is>
      </c>
      <c r="D160" s="32" t="inlineStr">
        <is>
          <t>100084</t>
        </is>
      </c>
      <c r="E160" s="27" t="n"/>
      <c r="F160" s="29" t="n">
        <v>0</v>
      </c>
      <c r="G160" s="29" t="n">
        <v>120</v>
      </c>
      <c r="H160" s="27" t="inlineStr">
        <is>
          <t>Inclusive</t>
        </is>
      </c>
      <c r="I160" s="29" t="n">
        <v>90</v>
      </c>
      <c r="J160" s="27" t="inlineStr">
        <is>
          <t>Inclusive</t>
        </is>
      </c>
      <c r="K160" s="29" t="n">
        <v>120</v>
      </c>
      <c r="L160" s="29" t="n">
        <v>60</v>
      </c>
      <c r="M160" s="27" t="n"/>
      <c r="N160" s="27" t="inlineStr">
        <is>
          <t>No</t>
        </is>
      </c>
      <c r="O160" s="29" t="n">
        <v>0</v>
      </c>
      <c r="P160" s="30" t="n">
        <v>450</v>
      </c>
      <c r="Q160" s="31" t="inlineStr">
        <is>
          <t>In Stock</t>
        </is>
      </c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12.5" customHeight="1" s="85">
      <c r="A161" s="27" t="inlineStr">
        <is>
          <t>CHOICE BANANA CHIPS PALMOIL 200GM</t>
        </is>
      </c>
      <c r="B161" s="27" t="n"/>
      <c r="C161" s="27" t="inlineStr">
        <is>
          <t>Snacks</t>
        </is>
      </c>
      <c r="D161" s="28" t="inlineStr">
        <is>
          <t>8939116617876</t>
        </is>
      </c>
      <c r="E161" s="27" t="n"/>
      <c r="F161" s="29" t="n">
        <v>0</v>
      </c>
      <c r="G161" s="29" t="n">
        <v>100</v>
      </c>
      <c r="H161" s="27" t="inlineStr">
        <is>
          <t>Exclusive</t>
        </is>
      </c>
      <c r="I161" s="29" t="n">
        <v>110</v>
      </c>
      <c r="J161" s="27" t="inlineStr">
        <is>
          <t>Exclusive</t>
        </is>
      </c>
      <c r="K161" s="29" t="n">
        <v>150</v>
      </c>
      <c r="L161" s="29" t="n">
        <v>0</v>
      </c>
      <c r="M161" s="33" t="n">
        <v>1</v>
      </c>
      <c r="N161" s="27" t="inlineStr">
        <is>
          <t>Yes</t>
        </is>
      </c>
      <c r="O161" s="29" t="n">
        <v>0</v>
      </c>
      <c r="P161" s="30" t="n">
        <v>450</v>
      </c>
      <c r="Q161" s="31" t="inlineStr">
        <is>
          <t>In Stock</t>
        </is>
      </c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12.5" customHeight="1" s="85">
      <c r="A162" s="27" t="inlineStr">
        <is>
          <t>CHOICE JACKFRUIT CHIPS 200GM</t>
        </is>
      </c>
      <c r="B162" s="27" t="n"/>
      <c r="C162" s="27" t="inlineStr">
        <is>
          <t>Snacks</t>
        </is>
      </c>
      <c r="D162" s="32" t="inlineStr">
        <is>
          <t>100085</t>
        </is>
      </c>
      <c r="E162" s="27" t="n"/>
      <c r="F162" s="29" t="n">
        <v>0</v>
      </c>
      <c r="G162" s="29" t="n">
        <v>124</v>
      </c>
      <c r="H162" s="27" t="inlineStr">
        <is>
          <t>Exclusive</t>
        </is>
      </c>
      <c r="I162" s="29" t="n">
        <v>100</v>
      </c>
      <c r="J162" s="27" t="inlineStr">
        <is>
          <t>Exclusive</t>
        </is>
      </c>
      <c r="K162" s="29" t="n">
        <v>140</v>
      </c>
      <c r="L162" s="29" t="n">
        <v>13</v>
      </c>
      <c r="M162" s="33" t="n">
        <v>1</v>
      </c>
      <c r="N162" s="27" t="inlineStr">
        <is>
          <t>Yes</t>
        </is>
      </c>
      <c r="O162" s="29" t="n">
        <v>0</v>
      </c>
      <c r="P162" s="30" t="n">
        <v>450</v>
      </c>
      <c r="Q162" s="31" t="inlineStr">
        <is>
          <t>In Stock</t>
        </is>
      </c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12.5" customHeight="1" s="85">
      <c r="A163" s="27" t="inlineStr">
        <is>
          <t>CHOICE KERALA MIXTURE 250GM</t>
        </is>
      </c>
      <c r="B163" s="27" t="n"/>
      <c r="C163" s="27" t="inlineStr">
        <is>
          <t>Snacks</t>
        </is>
      </c>
      <c r="D163" s="28" t="inlineStr">
        <is>
          <t>8902345823004</t>
        </is>
      </c>
      <c r="E163" s="27" t="n"/>
      <c r="F163" s="29" t="n">
        <v>0</v>
      </c>
      <c r="G163" s="29" t="n">
        <v>100</v>
      </c>
      <c r="H163" s="27" t="inlineStr">
        <is>
          <t>Exclusive</t>
        </is>
      </c>
      <c r="I163" s="29" t="n">
        <v>75</v>
      </c>
      <c r="J163" s="27" t="inlineStr">
        <is>
          <t>Exclusive</t>
        </is>
      </c>
      <c r="K163" s="29" t="n">
        <v>100</v>
      </c>
      <c r="L163" s="29" t="n">
        <v>0</v>
      </c>
      <c r="M163" s="33" t="n">
        <v>1</v>
      </c>
      <c r="N163" s="27" t="inlineStr">
        <is>
          <t>Yes</t>
        </is>
      </c>
      <c r="O163" s="29" t="n">
        <v>0</v>
      </c>
      <c r="P163" s="30" t="n">
        <v>450</v>
      </c>
      <c r="Q163" s="31" t="inlineStr">
        <is>
          <t>In Stock</t>
        </is>
      </c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12.5" customHeight="1" s="85">
      <c r="A164" s="27" t="inlineStr">
        <is>
          <t>CHOICE SARKKARA UPPERI 250GM</t>
        </is>
      </c>
      <c r="B164" s="27" t="n"/>
      <c r="C164" s="27" t="inlineStr">
        <is>
          <t>Snacks</t>
        </is>
      </c>
      <c r="D164" s="32" t="inlineStr">
        <is>
          <t>100086</t>
        </is>
      </c>
      <c r="E164" s="27" t="n"/>
      <c r="F164" s="29" t="n">
        <v>0</v>
      </c>
      <c r="G164" s="29" t="n">
        <v>100</v>
      </c>
      <c r="H164" s="27" t="inlineStr">
        <is>
          <t>Exclusive</t>
        </is>
      </c>
      <c r="I164" s="29" t="n">
        <v>60.95</v>
      </c>
      <c r="J164" s="27" t="inlineStr">
        <is>
          <t>Exclusive</t>
        </is>
      </c>
      <c r="K164" s="29" t="n">
        <v>0</v>
      </c>
      <c r="L164" s="29" t="n">
        <v>0</v>
      </c>
      <c r="M164" s="27" t="n"/>
      <c r="N164" s="27" t="inlineStr">
        <is>
          <t>Yes</t>
        </is>
      </c>
      <c r="O164" s="29" t="n">
        <v>0</v>
      </c>
      <c r="P164" s="30" t="n">
        <v>450</v>
      </c>
      <c r="Q164" s="31" t="inlineStr">
        <is>
          <t>In Stock</t>
        </is>
      </c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12.5" customHeight="1" s="85">
      <c r="A165" s="27" t="inlineStr">
        <is>
          <t>CHOICE SHARKARA VARATTI UPPERI</t>
        </is>
      </c>
      <c r="B165" s="27" t="n"/>
      <c r="C165" s="27" t="inlineStr">
        <is>
          <t>Snacks</t>
        </is>
      </c>
      <c r="D165" s="28" t="inlineStr">
        <is>
          <t>915104510674</t>
        </is>
      </c>
      <c r="E165" s="27" t="n"/>
      <c r="F165" s="29" t="n">
        <v>0</v>
      </c>
      <c r="G165" s="29" t="n">
        <v>100</v>
      </c>
      <c r="H165" s="27" t="inlineStr">
        <is>
          <t>Exclusive</t>
        </is>
      </c>
      <c r="I165" s="29" t="n">
        <v>80</v>
      </c>
      <c r="J165" s="27" t="inlineStr">
        <is>
          <t>Exclusive</t>
        </is>
      </c>
      <c r="K165" s="29" t="n">
        <v>125</v>
      </c>
      <c r="L165" s="29" t="n">
        <v>0</v>
      </c>
      <c r="M165" s="33" t="n">
        <v>1</v>
      </c>
      <c r="N165" s="27" t="inlineStr">
        <is>
          <t>Yes</t>
        </is>
      </c>
      <c r="O165" s="29" t="n">
        <v>0</v>
      </c>
      <c r="P165" s="30" t="n">
        <v>450</v>
      </c>
      <c r="Q165" s="31" t="inlineStr">
        <is>
          <t>In Stock</t>
        </is>
      </c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12.5" customHeight="1" s="85">
      <c r="A166" s="27" t="inlineStr">
        <is>
          <t>CHOICE SHARKARA VARATTI UPPERI 500GM</t>
        </is>
      </c>
      <c r="B166" s="27" t="n"/>
      <c r="C166" s="27" t="inlineStr">
        <is>
          <t>Snacks</t>
        </is>
      </c>
      <c r="D166" s="28" t="inlineStr">
        <is>
          <t>648844689464</t>
        </is>
      </c>
      <c r="E166" s="27" t="n"/>
      <c r="F166" s="29" t="n">
        <v>0</v>
      </c>
      <c r="G166" s="29" t="n">
        <v>250</v>
      </c>
      <c r="H166" s="27" t="inlineStr">
        <is>
          <t>Exclusive</t>
        </is>
      </c>
      <c r="I166" s="29" t="n">
        <v>154</v>
      </c>
      <c r="J166" s="27" t="inlineStr">
        <is>
          <t>Exclusive</t>
        </is>
      </c>
      <c r="K166" s="29" t="n">
        <v>250</v>
      </c>
      <c r="L166" s="29" t="n">
        <v>0</v>
      </c>
      <c r="M166" s="33" t="n">
        <v>1</v>
      </c>
      <c r="N166" s="27" t="inlineStr">
        <is>
          <t>Yes</t>
        </is>
      </c>
      <c r="O166" s="29" t="n">
        <v>0</v>
      </c>
      <c r="P166" s="30" t="n">
        <v>450</v>
      </c>
      <c r="Q166" s="31" t="inlineStr">
        <is>
          <t>In Stock</t>
        </is>
      </c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12.5" customHeight="1" s="85">
      <c r="A167" s="27" t="inlineStr">
        <is>
          <t>CHOORAL STICKS (BETH)</t>
        </is>
      </c>
      <c r="B167" s="27" t="n"/>
      <c r="C167" s="27" t="inlineStr">
        <is>
          <t>Household &amp; Cleaning</t>
        </is>
      </c>
      <c r="D167" s="32" t="inlineStr">
        <is>
          <t>100088</t>
        </is>
      </c>
      <c r="E167" s="27" t="n"/>
      <c r="F167" s="29" t="n">
        <v>0</v>
      </c>
      <c r="G167" s="29" t="n">
        <v>30</v>
      </c>
      <c r="H167" s="27" t="inlineStr">
        <is>
          <t>Exclusive</t>
        </is>
      </c>
      <c r="I167" s="29" t="n">
        <v>10</v>
      </c>
      <c r="J167" s="27" t="inlineStr">
        <is>
          <t>Exclusive</t>
        </is>
      </c>
      <c r="K167" s="29" t="n">
        <v>35</v>
      </c>
      <c r="L167" s="29" t="n">
        <v>7</v>
      </c>
      <c r="M167" s="33" t="n">
        <v>1</v>
      </c>
      <c r="N167" s="27" t="inlineStr">
        <is>
          <t>Yes</t>
        </is>
      </c>
      <c r="O167" s="29" t="n">
        <v>0</v>
      </c>
      <c r="P167" s="30" t="n">
        <v>450</v>
      </c>
      <c r="Q167" s="31" t="inlineStr">
        <is>
          <t>In Stock</t>
        </is>
      </c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12.5" customHeight="1" s="85">
      <c r="A168" s="27" t="inlineStr">
        <is>
          <t>CHRISTIAN TIE</t>
        </is>
      </c>
      <c r="B168" s="27" t="n"/>
      <c r="C168" s="27" t="inlineStr">
        <is>
          <t>Kerala Clothing</t>
        </is>
      </c>
      <c r="D168" s="32" t="inlineStr">
        <is>
          <t>100089</t>
        </is>
      </c>
      <c r="E168" s="27" t="n"/>
      <c r="F168" s="29" t="n">
        <v>0</v>
      </c>
      <c r="G168" s="29" t="n">
        <v>280</v>
      </c>
      <c r="H168" s="27" t="inlineStr">
        <is>
          <t>Inclusive</t>
        </is>
      </c>
      <c r="I168" s="29" t="n">
        <v>200</v>
      </c>
      <c r="J168" s="27" t="inlineStr">
        <is>
          <t>Inclusive</t>
        </is>
      </c>
      <c r="K168" s="29" t="n">
        <v>300</v>
      </c>
      <c r="L168" s="29" t="n">
        <v>0</v>
      </c>
      <c r="M168" s="33" t="n">
        <v>1</v>
      </c>
      <c r="N168" s="27" t="inlineStr">
        <is>
          <t>Yes</t>
        </is>
      </c>
      <c r="O168" s="29" t="n">
        <v>0</v>
      </c>
      <c r="P168" s="30" t="n">
        <v>450</v>
      </c>
      <c r="Q168" s="31" t="inlineStr">
        <is>
          <t>In Stock</t>
        </is>
      </c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12.5" customHeight="1" s="85">
      <c r="A169" s="27" t="inlineStr">
        <is>
          <t>CHRISTMAS CAKE 250GM</t>
        </is>
      </c>
      <c r="B169" s="27" t="n"/>
      <c r="C169" s="27" t="inlineStr">
        <is>
          <t>Snacks</t>
        </is>
      </c>
      <c r="D169" s="28" t="inlineStr">
        <is>
          <t>235014986981</t>
        </is>
      </c>
      <c r="E169" s="27" t="n"/>
      <c r="F169" s="29" t="n">
        <v>0</v>
      </c>
      <c r="G169" s="29" t="n">
        <v>245</v>
      </c>
      <c r="H169" s="27" t="inlineStr">
        <is>
          <t>Exclusive</t>
        </is>
      </c>
      <c r="I169" s="29" t="n">
        <v>220</v>
      </c>
      <c r="J169" s="27" t="inlineStr">
        <is>
          <t>Exclusive</t>
        </is>
      </c>
      <c r="K169" s="29" t="n">
        <v>250</v>
      </c>
      <c r="L169" s="29" t="n">
        <v>0</v>
      </c>
      <c r="M169" s="33" t="n">
        <v>1</v>
      </c>
      <c r="N169" s="27" t="inlineStr">
        <is>
          <t>Yes</t>
        </is>
      </c>
      <c r="O169" s="29" t="n">
        <v>0</v>
      </c>
      <c r="P169" s="30" t="n">
        <v>450</v>
      </c>
      <c r="Q169" s="31" t="inlineStr">
        <is>
          <t>In Stock</t>
        </is>
      </c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12.5" customHeight="1" s="85">
      <c r="A170" s="27" t="inlineStr">
        <is>
          <t>CHRISTMAS CAKE WITH RICH NUTS 100GM</t>
        </is>
      </c>
      <c r="B170" s="27" t="n"/>
      <c r="C170" s="27" t="inlineStr">
        <is>
          <t>Snacks</t>
        </is>
      </c>
      <c r="D170" s="28" t="inlineStr">
        <is>
          <t>338563689961</t>
        </is>
      </c>
      <c r="E170" s="27" t="n"/>
      <c r="F170" s="29" t="n">
        <v>0</v>
      </c>
      <c r="G170" s="29" t="n">
        <v>85</v>
      </c>
      <c r="H170" s="27" t="inlineStr">
        <is>
          <t>Exclusive</t>
        </is>
      </c>
      <c r="I170" s="29" t="n">
        <v>80</v>
      </c>
      <c r="J170" s="27" t="inlineStr">
        <is>
          <t>Exclusive</t>
        </is>
      </c>
      <c r="K170" s="29" t="n">
        <v>100</v>
      </c>
      <c r="L170" s="29" t="n">
        <v>0</v>
      </c>
      <c r="M170" s="33" t="n">
        <v>1</v>
      </c>
      <c r="N170" s="27" t="inlineStr">
        <is>
          <t>Yes</t>
        </is>
      </c>
      <c r="O170" s="29" t="n">
        <v>0</v>
      </c>
      <c r="P170" s="30" t="n">
        <v>450</v>
      </c>
      <c r="Q170" s="31" t="inlineStr">
        <is>
          <t>In Stock</t>
        </is>
      </c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12.5" customHeight="1" s="85">
      <c r="A171" s="27" t="inlineStr">
        <is>
          <t>CHRISTMAS TREE</t>
        </is>
      </c>
      <c r="B171" s="27" t="n"/>
      <c r="C171" s="27" t="inlineStr">
        <is>
          <t>Church Articles</t>
        </is>
      </c>
      <c r="D171" s="32" t="inlineStr">
        <is>
          <t>100090</t>
        </is>
      </c>
      <c r="E171" s="27" t="n"/>
      <c r="F171" s="29" t="n">
        <v>0</v>
      </c>
      <c r="G171" s="29" t="n">
        <v>180</v>
      </c>
      <c r="H171" s="27" t="inlineStr">
        <is>
          <t>Exclusive</t>
        </is>
      </c>
      <c r="I171" s="29" t="n">
        <v>150</v>
      </c>
      <c r="J171" s="27" t="inlineStr">
        <is>
          <t>Exclusive</t>
        </is>
      </c>
      <c r="K171" s="29" t="n">
        <v>180</v>
      </c>
      <c r="L171" s="29" t="n">
        <v>0</v>
      </c>
      <c r="M171" s="33" t="n">
        <v>1</v>
      </c>
      <c r="N171" s="27" t="inlineStr">
        <is>
          <t>Yes</t>
        </is>
      </c>
      <c r="O171" s="29" t="n">
        <v>0</v>
      </c>
      <c r="P171" s="30" t="n">
        <v>450</v>
      </c>
      <c r="Q171" s="31" t="inlineStr">
        <is>
          <t>In Stock</t>
        </is>
      </c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12.5" customHeight="1" s="85">
      <c r="A172" s="27" t="inlineStr">
        <is>
          <t>CHUKKU PODI (GINGER POWDER) 50GM</t>
        </is>
      </c>
      <c r="B172" s="27" t="n"/>
      <c r="C172" s="27" t="inlineStr">
        <is>
          <t>Masalas &amp; Spices</t>
        </is>
      </c>
      <c r="D172" s="28" t="inlineStr">
        <is>
          <t>983688925225</t>
        </is>
      </c>
      <c r="E172" s="27" t="n"/>
      <c r="F172" s="29" t="n">
        <v>0</v>
      </c>
      <c r="G172" s="29" t="n">
        <v>25</v>
      </c>
      <c r="H172" s="27" t="inlineStr">
        <is>
          <t>Inclusive</t>
        </is>
      </c>
      <c r="I172" s="29" t="n">
        <v>20</v>
      </c>
      <c r="J172" s="27" t="inlineStr">
        <is>
          <t>Inclusive</t>
        </is>
      </c>
      <c r="K172" s="29" t="n">
        <v>25</v>
      </c>
      <c r="L172" s="29" t="n">
        <v>0</v>
      </c>
      <c r="M172" s="33" t="n">
        <v>1</v>
      </c>
      <c r="N172" s="27" t="inlineStr">
        <is>
          <t>Yes</t>
        </is>
      </c>
      <c r="O172" s="29" t="n">
        <v>0</v>
      </c>
      <c r="P172" s="30" t="n">
        <v>450</v>
      </c>
      <c r="Q172" s="31" t="inlineStr">
        <is>
          <t>In Stock</t>
        </is>
      </c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12.5" customHeight="1" s="85">
      <c r="A173" s="27" t="inlineStr">
        <is>
          <t>CHURCH SPEAKER MIKE WITH KARAOKE MP3</t>
        </is>
      </c>
      <c r="B173" s="27" t="n"/>
      <c r="C173" s="27" t="inlineStr">
        <is>
          <t>Electronics</t>
        </is>
      </c>
      <c r="D173" s="32" t="inlineStr">
        <is>
          <t>100091</t>
        </is>
      </c>
      <c r="E173" s="27" t="n"/>
      <c r="F173" s="29" t="n">
        <v>0</v>
      </c>
      <c r="G173" s="29" t="n">
        <v>360</v>
      </c>
      <c r="H173" s="27" t="inlineStr">
        <is>
          <t>Inclusive</t>
        </is>
      </c>
      <c r="I173" s="29" t="n">
        <v>220</v>
      </c>
      <c r="J173" s="27" t="inlineStr">
        <is>
          <t>Inclusive</t>
        </is>
      </c>
      <c r="K173" s="29" t="n">
        <v>750</v>
      </c>
      <c r="L173" s="29" t="n">
        <v>0</v>
      </c>
      <c r="M173" s="33" t="n">
        <v>1</v>
      </c>
      <c r="N173" s="27" t="inlineStr">
        <is>
          <t>Yes</t>
        </is>
      </c>
      <c r="O173" s="29" t="n">
        <v>0</v>
      </c>
      <c r="P173" s="30" t="n">
        <v>450</v>
      </c>
      <c r="Q173" s="31" t="inlineStr">
        <is>
          <t>In Stock</t>
        </is>
      </c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12.5" customHeight="1" s="85">
      <c r="A174" s="27" t="inlineStr">
        <is>
          <t>CLEAR BAG FILE</t>
        </is>
      </c>
      <c r="B174" s="27" t="n"/>
      <c r="C174" s="27" t="inlineStr">
        <is>
          <t>Stationery</t>
        </is>
      </c>
      <c r="D174" s="32" t="inlineStr">
        <is>
          <t>100092</t>
        </is>
      </c>
      <c r="E174" s="27" t="n"/>
      <c r="F174" s="29" t="n">
        <v>0</v>
      </c>
      <c r="G174" s="29" t="n">
        <v>10</v>
      </c>
      <c r="H174" s="27" t="inlineStr">
        <is>
          <t>Exclusive</t>
        </is>
      </c>
      <c r="I174" s="29" t="n">
        <v>4</v>
      </c>
      <c r="J174" s="27" t="inlineStr">
        <is>
          <t>Exclusive</t>
        </is>
      </c>
      <c r="K174" s="29" t="n">
        <v>12</v>
      </c>
      <c r="L174" s="29" t="n">
        <v>2</v>
      </c>
      <c r="M174" s="33" t="n">
        <v>1</v>
      </c>
      <c r="N174" s="27" t="inlineStr">
        <is>
          <t>No</t>
        </is>
      </c>
      <c r="O174" s="29" t="n">
        <v>0</v>
      </c>
      <c r="P174" s="30" t="n">
        <v>450</v>
      </c>
      <c r="Q174" s="31" t="inlineStr">
        <is>
          <t>In Stock</t>
        </is>
      </c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12.5" customHeight="1" s="85">
      <c r="A175" s="27" t="inlineStr">
        <is>
          <t>COCONUT 50</t>
        </is>
      </c>
      <c r="B175" s="27" t="n"/>
      <c r="C175" s="27" t="inlineStr">
        <is>
          <t>Raw Items &amp; Produce</t>
        </is>
      </c>
      <c r="D175" s="28" t="inlineStr">
        <is>
          <t>129883575503</t>
        </is>
      </c>
      <c r="E175" s="27" t="n"/>
      <c r="F175" s="29" t="n">
        <v>0</v>
      </c>
      <c r="G175" s="29" t="n">
        <v>50</v>
      </c>
      <c r="H175" s="27" t="inlineStr">
        <is>
          <t>Exclusive</t>
        </is>
      </c>
      <c r="I175" s="29" t="n">
        <v>42</v>
      </c>
      <c r="J175" s="27" t="inlineStr">
        <is>
          <t>Exclusive</t>
        </is>
      </c>
      <c r="K175" s="29" t="n">
        <v>55</v>
      </c>
      <c r="L175" s="29" t="n">
        <v>0</v>
      </c>
      <c r="M175" s="33" t="n">
        <v>1</v>
      </c>
      <c r="N175" s="27" t="inlineStr">
        <is>
          <t>Yes</t>
        </is>
      </c>
      <c r="O175" s="29" t="n">
        <v>0</v>
      </c>
      <c r="P175" s="30" t="n">
        <v>450</v>
      </c>
      <c r="Q175" s="31" t="inlineStr">
        <is>
          <t>In Stock</t>
        </is>
      </c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12.5" customHeight="1" s="85">
      <c r="A176" s="27" t="inlineStr">
        <is>
          <t>COCONUT 60</t>
        </is>
      </c>
      <c r="B176" s="27" t="n"/>
      <c r="C176" s="27" t="inlineStr">
        <is>
          <t>Raw Items &amp; Produce</t>
        </is>
      </c>
      <c r="D176" s="28" t="inlineStr">
        <is>
          <t>571648298245</t>
        </is>
      </c>
      <c r="E176" s="27" t="n"/>
      <c r="F176" s="29" t="n">
        <v>0</v>
      </c>
      <c r="G176" s="29" t="n">
        <v>60</v>
      </c>
      <c r="H176" s="27" t="inlineStr">
        <is>
          <t>Exclusive</t>
        </is>
      </c>
      <c r="I176" s="29" t="n">
        <v>48</v>
      </c>
      <c r="J176" s="27" t="inlineStr">
        <is>
          <t>Exclusive</t>
        </is>
      </c>
      <c r="K176" s="29" t="n">
        <v>60</v>
      </c>
      <c r="L176" s="29" t="n">
        <v>49</v>
      </c>
      <c r="M176" s="33" t="n">
        <v>1</v>
      </c>
      <c r="N176" s="27" t="inlineStr">
        <is>
          <t>Yes</t>
        </is>
      </c>
      <c r="O176" s="29" t="n">
        <v>0</v>
      </c>
      <c r="P176" s="30" t="n">
        <v>450</v>
      </c>
      <c r="Q176" s="31" t="inlineStr">
        <is>
          <t>In Stock</t>
        </is>
      </c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12.5" customHeight="1" s="85">
      <c r="A177" s="27" t="inlineStr">
        <is>
          <t>COCONUT FRUIT</t>
        </is>
      </c>
      <c r="B177" s="27" t="n"/>
      <c r="C177" s="27" t="inlineStr">
        <is>
          <t>Raw Items &amp; Produce</t>
        </is>
      </c>
      <c r="D177" s="32" t="inlineStr">
        <is>
          <t>100093</t>
        </is>
      </c>
      <c r="E177" s="27" t="n"/>
      <c r="F177" s="29" t="n">
        <v>0</v>
      </c>
      <c r="G177" s="29" t="n">
        <v>50</v>
      </c>
      <c r="H177" s="27" t="inlineStr">
        <is>
          <t>Exclusive</t>
        </is>
      </c>
      <c r="I177" s="29" t="n">
        <v>42</v>
      </c>
      <c r="J177" s="27" t="inlineStr">
        <is>
          <t>Exclusive</t>
        </is>
      </c>
      <c r="K177" s="29" t="n">
        <v>50</v>
      </c>
      <c r="L177" s="29" t="n">
        <v>0</v>
      </c>
      <c r="M177" s="33" t="n">
        <v>1</v>
      </c>
      <c r="N177" s="27" t="inlineStr">
        <is>
          <t>Yes</t>
        </is>
      </c>
      <c r="O177" s="29" t="n">
        <v>0</v>
      </c>
      <c r="P177" s="30" t="n">
        <v>450</v>
      </c>
      <c r="Q177" s="31" t="inlineStr">
        <is>
          <t>In Stock</t>
        </is>
      </c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12.5" customHeight="1" s="85">
      <c r="A178" s="27" t="inlineStr">
        <is>
          <t>COCONUT KNIFE (HAND CHIRAVA)</t>
        </is>
      </c>
      <c r="B178" s="27" t="n"/>
      <c r="C178" s="27" t="inlineStr">
        <is>
          <t>Kitchen Utensils</t>
        </is>
      </c>
      <c r="D178" s="28" t="inlineStr">
        <is>
          <t>540861130209</t>
        </is>
      </c>
      <c r="E178" s="27" t="n"/>
      <c r="F178" s="29" t="n">
        <v>0</v>
      </c>
      <c r="G178" s="29" t="n">
        <v>120</v>
      </c>
      <c r="H178" s="27" t="inlineStr">
        <is>
          <t>Exclusive</t>
        </is>
      </c>
      <c r="I178" s="29" t="n">
        <v>90</v>
      </c>
      <c r="J178" s="27" t="inlineStr">
        <is>
          <t>Exclusive</t>
        </is>
      </c>
      <c r="K178" s="29" t="n">
        <v>120</v>
      </c>
      <c r="L178" s="29" t="n">
        <v>1</v>
      </c>
      <c r="M178" s="33" t="n">
        <v>1</v>
      </c>
      <c r="N178" s="27" t="inlineStr">
        <is>
          <t>Yes</t>
        </is>
      </c>
      <c r="O178" s="29" t="n">
        <v>0</v>
      </c>
      <c r="P178" s="30" t="n">
        <v>450</v>
      </c>
      <c r="Q178" s="31" t="inlineStr">
        <is>
          <t>In Stock</t>
        </is>
      </c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12.5" customHeight="1" s="85">
      <c r="A179" s="27" t="inlineStr">
        <is>
          <t>COCONUT NARIAL 45</t>
        </is>
      </c>
      <c r="B179" s="27" t="n"/>
      <c r="C179" s="27" t="inlineStr">
        <is>
          <t>Raw Items &amp; Produce</t>
        </is>
      </c>
      <c r="D179" s="32" t="inlineStr">
        <is>
          <t>100094</t>
        </is>
      </c>
      <c r="E179" s="27" t="n"/>
      <c r="F179" s="29" t="n">
        <v>0</v>
      </c>
      <c r="G179" s="29" t="n">
        <v>45</v>
      </c>
      <c r="H179" s="27" t="inlineStr">
        <is>
          <t>Exclusive</t>
        </is>
      </c>
      <c r="I179" s="29" t="n">
        <v>35</v>
      </c>
      <c r="J179" s="27" t="inlineStr">
        <is>
          <t>Exclusive</t>
        </is>
      </c>
      <c r="K179" s="29" t="n">
        <v>50</v>
      </c>
      <c r="L179" s="29" t="n">
        <v>57</v>
      </c>
      <c r="M179" s="33" t="n">
        <v>1</v>
      </c>
      <c r="N179" s="27" t="inlineStr">
        <is>
          <t>Yes</t>
        </is>
      </c>
      <c r="O179" s="29" t="n">
        <v>0</v>
      </c>
      <c r="P179" s="30" t="n">
        <v>450</v>
      </c>
      <c r="Q179" s="31" t="inlineStr">
        <is>
          <t>In Stock</t>
        </is>
      </c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12.5" customHeight="1" s="85">
      <c r="A180" s="27" t="inlineStr">
        <is>
          <t>COCONUT -RS30</t>
        </is>
      </c>
      <c r="B180" s="27" t="n"/>
      <c r="C180" s="27" t="inlineStr">
        <is>
          <t>Raw Items &amp; Produce</t>
        </is>
      </c>
      <c r="D180" s="28" t="inlineStr">
        <is>
          <t>395631868671</t>
        </is>
      </c>
      <c r="E180" s="27" t="n"/>
      <c r="F180" s="29" t="n">
        <v>0</v>
      </c>
      <c r="G180" s="29" t="n">
        <v>30</v>
      </c>
      <c r="H180" s="27" t="inlineStr">
        <is>
          <t>Exclusive</t>
        </is>
      </c>
      <c r="I180" s="29" t="n">
        <v>20</v>
      </c>
      <c r="J180" s="27" t="inlineStr">
        <is>
          <t>Exclusive</t>
        </is>
      </c>
      <c r="K180" s="29" t="n">
        <v>40</v>
      </c>
      <c r="L180" s="29" t="n">
        <v>88</v>
      </c>
      <c r="M180" s="33" t="n">
        <v>1</v>
      </c>
      <c r="N180" s="27" t="inlineStr">
        <is>
          <t>Yes</t>
        </is>
      </c>
      <c r="O180" s="29" t="n">
        <v>0</v>
      </c>
      <c r="P180" s="30" t="n">
        <v>450</v>
      </c>
      <c r="Q180" s="31" t="inlineStr">
        <is>
          <t>In Stock</t>
        </is>
      </c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12.5" customHeight="1" s="85">
      <c r="A181" s="27" t="inlineStr">
        <is>
          <t>COLOR PRINT BOND PAPER</t>
        </is>
      </c>
      <c r="B181" s="27" t="n"/>
      <c r="C181" s="27" t="inlineStr">
        <is>
          <t>Stationery</t>
        </is>
      </c>
      <c r="D181" s="32" t="inlineStr">
        <is>
          <t>100095</t>
        </is>
      </c>
      <c r="E181" s="27" t="n"/>
      <c r="F181" s="29" t="n">
        <v>0</v>
      </c>
      <c r="G181" s="29" t="n">
        <v>10</v>
      </c>
      <c r="H181" s="27" t="inlineStr">
        <is>
          <t>Exclusive</t>
        </is>
      </c>
      <c r="I181" s="29" t="n">
        <v>3</v>
      </c>
      <c r="J181" s="27" t="inlineStr">
        <is>
          <t>Exclusive</t>
        </is>
      </c>
      <c r="K181" s="29" t="n">
        <v>15</v>
      </c>
      <c r="L181" s="29" t="n">
        <v>0</v>
      </c>
      <c r="M181" s="33" t="n">
        <v>1</v>
      </c>
      <c r="N181" s="27" t="inlineStr">
        <is>
          <t>No</t>
        </is>
      </c>
      <c r="O181" s="29" t="n">
        <v>0</v>
      </c>
      <c r="P181" s="30" t="n">
        <v>450</v>
      </c>
      <c r="Q181" s="31" t="inlineStr">
        <is>
          <t>In Stock</t>
        </is>
      </c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12.5" customHeight="1" s="85">
      <c r="A182" s="27" t="inlineStr">
        <is>
          <t>COLOR PRINTING AND LAMINATING</t>
        </is>
      </c>
      <c r="B182" s="27" t="n"/>
      <c r="C182" s="27" t="inlineStr">
        <is>
          <t>Stationery</t>
        </is>
      </c>
      <c r="D182" s="32" t="inlineStr">
        <is>
          <t>100096</t>
        </is>
      </c>
      <c r="E182" s="27" t="n"/>
      <c r="F182" s="29" t="n">
        <v>0</v>
      </c>
      <c r="G182" s="29" t="n">
        <v>50</v>
      </c>
      <c r="H182" s="27" t="inlineStr">
        <is>
          <t>Inclusive</t>
        </is>
      </c>
      <c r="I182" s="29" t="n">
        <v>15</v>
      </c>
      <c r="J182" s="27" t="inlineStr">
        <is>
          <t>Inclusive</t>
        </is>
      </c>
      <c r="K182" s="29" t="n">
        <v>75</v>
      </c>
      <c r="L182" s="29" t="n">
        <v>0</v>
      </c>
      <c r="M182" s="33" t="n">
        <v>1</v>
      </c>
      <c r="N182" s="27" t="inlineStr">
        <is>
          <t>No</t>
        </is>
      </c>
      <c r="O182" s="29" t="n">
        <v>0</v>
      </c>
      <c r="P182" s="30" t="n">
        <v>450</v>
      </c>
      <c r="Q182" s="31" t="inlineStr">
        <is>
          <t>In Stock</t>
        </is>
      </c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12.5" customHeight="1" s="85">
      <c r="A183" s="27" t="inlineStr">
        <is>
          <t>COLOR PRINTING/COPYING</t>
        </is>
      </c>
      <c r="B183" s="27" t="n"/>
      <c r="C183" s="27" t="inlineStr">
        <is>
          <t>Stationery</t>
        </is>
      </c>
      <c r="D183" s="32" t="inlineStr">
        <is>
          <t>100097</t>
        </is>
      </c>
      <c r="E183" s="27" t="n"/>
      <c r="F183" s="29" t="n">
        <v>0</v>
      </c>
      <c r="G183" s="29" t="n">
        <v>5</v>
      </c>
      <c r="H183" s="27" t="inlineStr">
        <is>
          <t>Inclusive</t>
        </is>
      </c>
      <c r="I183" s="29" t="n">
        <v>2</v>
      </c>
      <c r="J183" s="27" t="inlineStr">
        <is>
          <t>Inclusive</t>
        </is>
      </c>
      <c r="K183" s="29" t="n">
        <v>10</v>
      </c>
      <c r="L183" s="29" t="n">
        <v>25</v>
      </c>
      <c r="M183" s="33" t="n">
        <v>1</v>
      </c>
      <c r="N183" s="27" t="inlineStr">
        <is>
          <t>No</t>
        </is>
      </c>
      <c r="O183" s="29" t="n">
        <v>0</v>
      </c>
      <c r="P183" s="30" t="n">
        <v>450</v>
      </c>
      <c r="Q183" s="31" t="inlineStr">
        <is>
          <t>In Stock</t>
        </is>
      </c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12.5" customHeight="1" s="85">
      <c r="A184" s="27" t="inlineStr">
        <is>
          <t>COLOR RIBBON 15</t>
        </is>
      </c>
      <c r="B184" s="27" t="n"/>
      <c r="C184" s="27" t="inlineStr">
        <is>
          <t>Stationery</t>
        </is>
      </c>
      <c r="D184" s="32" t="inlineStr">
        <is>
          <t>100098</t>
        </is>
      </c>
      <c r="E184" s="27" t="n"/>
      <c r="F184" s="29" t="n">
        <v>0</v>
      </c>
      <c r="G184" s="29" t="n">
        <v>15</v>
      </c>
      <c r="H184" s="27" t="inlineStr">
        <is>
          <t>Exclusive</t>
        </is>
      </c>
      <c r="I184" s="29" t="n">
        <v>8</v>
      </c>
      <c r="J184" s="27" t="inlineStr">
        <is>
          <t>Exclusive</t>
        </is>
      </c>
      <c r="K184" s="29" t="n">
        <v>25</v>
      </c>
      <c r="L184" s="29" t="n">
        <v>19</v>
      </c>
      <c r="M184" s="33" t="n">
        <v>1</v>
      </c>
      <c r="N184" s="27" t="inlineStr">
        <is>
          <t>No</t>
        </is>
      </c>
      <c r="O184" s="29" t="n">
        <v>0</v>
      </c>
      <c r="P184" s="30" t="n">
        <v>450</v>
      </c>
      <c r="Q184" s="31" t="inlineStr">
        <is>
          <t>In Stock</t>
        </is>
      </c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12.5" customHeight="1" s="85">
      <c r="A185" s="27" t="inlineStr">
        <is>
          <t>COLOUR GLOSSY PRINTING</t>
        </is>
      </c>
      <c r="B185" s="27" t="n"/>
      <c r="C185" s="27" t="inlineStr">
        <is>
          <t>Stationery</t>
        </is>
      </c>
      <c r="D185" s="32" t="inlineStr">
        <is>
          <t>100099</t>
        </is>
      </c>
      <c r="E185" s="27" t="n"/>
      <c r="F185" s="29" t="n">
        <v>0</v>
      </c>
      <c r="G185" s="29" t="n">
        <v>20</v>
      </c>
      <c r="H185" s="27" t="inlineStr">
        <is>
          <t>Inclusive</t>
        </is>
      </c>
      <c r="I185" s="29" t="n">
        <v>5</v>
      </c>
      <c r="J185" s="27" t="inlineStr">
        <is>
          <t>Inclusive</t>
        </is>
      </c>
      <c r="K185" s="29" t="n">
        <v>25</v>
      </c>
      <c r="L185" s="29" t="n">
        <v>0</v>
      </c>
      <c r="M185" s="33" t="n">
        <v>1</v>
      </c>
      <c r="N185" s="27" t="inlineStr">
        <is>
          <t>No</t>
        </is>
      </c>
      <c r="O185" s="29" t="n">
        <v>0</v>
      </c>
      <c r="P185" s="30" t="n">
        <v>450</v>
      </c>
      <c r="Q185" s="31" t="inlineStr">
        <is>
          <t>In Stock</t>
        </is>
      </c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12.5" customHeight="1" s="85">
      <c r="A186" s="27" t="inlineStr">
        <is>
          <t>COMB 10</t>
        </is>
      </c>
      <c r="B186" s="27" t="n"/>
      <c r="C186" s="27" t="inlineStr">
        <is>
          <t>Household &amp; Cleaning</t>
        </is>
      </c>
      <c r="D186" s="28" t="inlineStr">
        <is>
          <t>222220210448</t>
        </is>
      </c>
      <c r="E186" s="27" t="n"/>
      <c r="F186" s="29" t="n">
        <v>0</v>
      </c>
      <c r="G186" s="29" t="n">
        <v>12</v>
      </c>
      <c r="H186" s="27" t="inlineStr">
        <is>
          <t>Exclusive</t>
        </is>
      </c>
      <c r="I186" s="29" t="n">
        <v>10</v>
      </c>
      <c r="J186" s="27" t="inlineStr">
        <is>
          <t>Exclusive</t>
        </is>
      </c>
      <c r="K186" s="29" t="n">
        <v>12</v>
      </c>
      <c r="L186" s="29" t="n">
        <v>0</v>
      </c>
      <c r="M186" s="33" t="n">
        <v>1</v>
      </c>
      <c r="N186" s="27" t="inlineStr">
        <is>
          <t>Yes</t>
        </is>
      </c>
      <c r="O186" s="29" t="n">
        <v>0</v>
      </c>
      <c r="P186" s="30" t="n">
        <v>450</v>
      </c>
      <c r="Q186" s="31" t="inlineStr">
        <is>
          <t>In Stock</t>
        </is>
      </c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12.5" customHeight="1" s="85">
      <c r="A187" s="27" t="inlineStr">
        <is>
          <t>COMB 5</t>
        </is>
      </c>
      <c r="B187" s="27" t="n"/>
      <c r="C187" s="27" t="inlineStr">
        <is>
          <t>Household &amp; Cleaning</t>
        </is>
      </c>
      <c r="D187" s="28" t="inlineStr">
        <is>
          <t>564630694654</t>
        </is>
      </c>
      <c r="E187" s="27" t="n"/>
      <c r="F187" s="29" t="n">
        <v>0</v>
      </c>
      <c r="G187" s="29" t="n">
        <v>5</v>
      </c>
      <c r="H187" s="27" t="inlineStr">
        <is>
          <t>Exclusive</t>
        </is>
      </c>
      <c r="I187" s="29" t="n">
        <v>3.5</v>
      </c>
      <c r="J187" s="27" t="inlineStr">
        <is>
          <t>Exclusive</t>
        </is>
      </c>
      <c r="K187" s="29" t="n">
        <v>5</v>
      </c>
      <c r="L187" s="29" t="n">
        <v>0</v>
      </c>
      <c r="M187" s="33" t="n">
        <v>1</v>
      </c>
      <c r="N187" s="27" t="inlineStr">
        <is>
          <t>Yes</t>
        </is>
      </c>
      <c r="O187" s="29" t="n">
        <v>0</v>
      </c>
      <c r="P187" s="30" t="n">
        <v>450</v>
      </c>
      <c r="Q187" s="31" t="inlineStr">
        <is>
          <t>In Stock</t>
        </is>
      </c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12.5" customHeight="1" s="85">
      <c r="A188" s="27" t="inlineStr">
        <is>
          <t>COMMUNION BREAD</t>
        </is>
      </c>
      <c r="B188" s="27" t="n"/>
      <c r="C188" s="27" t="inlineStr">
        <is>
          <t>Church Articles</t>
        </is>
      </c>
      <c r="D188" s="32" t="inlineStr">
        <is>
          <t>100100</t>
        </is>
      </c>
      <c r="E188" s="27" t="n"/>
      <c r="F188" s="29" t="n">
        <v>0</v>
      </c>
      <c r="G188" s="29" t="n">
        <v>25</v>
      </c>
      <c r="H188" s="27" t="inlineStr">
        <is>
          <t>Inclusive</t>
        </is>
      </c>
      <c r="I188" s="29" t="n">
        <v>100</v>
      </c>
      <c r="J188" s="27" t="inlineStr">
        <is>
          <t>Inclusive</t>
        </is>
      </c>
      <c r="K188" s="29" t="n">
        <v>30</v>
      </c>
      <c r="L188" s="29" t="n">
        <v>40</v>
      </c>
      <c r="M188" s="33" t="n">
        <v>1</v>
      </c>
      <c r="N188" s="27" t="inlineStr">
        <is>
          <t>Yes</t>
        </is>
      </c>
      <c r="O188" s="29" t="n">
        <v>0</v>
      </c>
      <c r="P188" s="30" t="n">
        <v>450</v>
      </c>
      <c r="Q188" s="31" t="inlineStr">
        <is>
          <t>In Stock</t>
        </is>
      </c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12.5" customHeight="1" s="85">
      <c r="A189" s="27" t="inlineStr">
        <is>
          <t>COMMUNION BREAD 300</t>
        </is>
      </c>
      <c r="B189" s="27" t="n"/>
      <c r="C189" s="27" t="inlineStr">
        <is>
          <t>Church Articles</t>
        </is>
      </c>
      <c r="D189" s="28" t="inlineStr">
        <is>
          <t>158634492971</t>
        </is>
      </c>
      <c r="E189" s="27" t="n"/>
      <c r="F189" s="29" t="n">
        <v>0</v>
      </c>
      <c r="G189" s="29" t="n">
        <v>150</v>
      </c>
      <c r="H189" s="27" t="inlineStr">
        <is>
          <t>Exclusive</t>
        </is>
      </c>
      <c r="I189" s="29" t="n">
        <v>130</v>
      </c>
      <c r="J189" s="27" t="inlineStr">
        <is>
          <t>Exclusive</t>
        </is>
      </c>
      <c r="K189" s="29" t="n">
        <v>200</v>
      </c>
      <c r="L189" s="29" t="n">
        <v>1</v>
      </c>
      <c r="M189" s="33" t="n">
        <v>1</v>
      </c>
      <c r="N189" s="27" t="inlineStr">
        <is>
          <t>Yes</t>
        </is>
      </c>
      <c r="O189" s="29" t="n">
        <v>0</v>
      </c>
      <c r="P189" s="30" t="n">
        <v>450</v>
      </c>
      <c r="Q189" s="31" t="inlineStr">
        <is>
          <t>In Stock</t>
        </is>
      </c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12.5" customHeight="1" s="85">
      <c r="A190" s="27" t="inlineStr">
        <is>
          <t>COMMUNION CUPS 25 PC</t>
        </is>
      </c>
      <c r="B190" s="27" t="n"/>
      <c r="C190" s="27" t="inlineStr">
        <is>
          <t>Church Articles</t>
        </is>
      </c>
      <c r="D190" s="28" t="inlineStr">
        <is>
          <t>121680783662</t>
        </is>
      </c>
      <c r="E190" s="27" t="n"/>
      <c r="F190" s="29" t="n">
        <v>0</v>
      </c>
      <c r="G190" s="29" t="n">
        <v>200</v>
      </c>
      <c r="H190" s="27" t="inlineStr">
        <is>
          <t>Exclusive</t>
        </is>
      </c>
      <c r="I190" s="29" t="n">
        <v>100</v>
      </c>
      <c r="J190" s="27" t="inlineStr">
        <is>
          <t>Exclusive</t>
        </is>
      </c>
      <c r="K190" s="29" t="n">
        <v>250</v>
      </c>
      <c r="L190" s="29" t="n">
        <v>4</v>
      </c>
      <c r="M190" s="33" t="n">
        <v>1</v>
      </c>
      <c r="N190" s="27" t="inlineStr">
        <is>
          <t>Yes</t>
        </is>
      </c>
      <c r="O190" s="29" t="n">
        <v>0</v>
      </c>
      <c r="P190" s="30" t="n">
        <v>450</v>
      </c>
      <c r="Q190" s="31" t="inlineStr">
        <is>
          <t>In Stock</t>
        </is>
      </c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12.5" customHeight="1" s="85">
      <c r="A191" s="27" t="inlineStr">
        <is>
          <t>COMMUNION CUPS PLASTIC</t>
        </is>
      </c>
      <c r="B191" s="27" t="n"/>
      <c r="C191" s="27" t="inlineStr">
        <is>
          <t>Church Articles</t>
        </is>
      </c>
      <c r="D191" s="32" t="inlineStr">
        <is>
          <t>100101</t>
        </is>
      </c>
      <c r="E191" s="27" t="n"/>
      <c r="F191" s="29" t="n">
        <v>0</v>
      </c>
      <c r="G191" s="29" t="n">
        <v>8</v>
      </c>
      <c r="H191" s="27" t="inlineStr">
        <is>
          <t>Inclusive</t>
        </is>
      </c>
      <c r="I191" s="29" t="n">
        <v>5</v>
      </c>
      <c r="J191" s="27" t="inlineStr">
        <is>
          <t>Inclusive</t>
        </is>
      </c>
      <c r="K191" s="29" t="n">
        <v>10</v>
      </c>
      <c r="L191" s="29" t="n">
        <v>5</v>
      </c>
      <c r="M191" s="33" t="n">
        <v>1</v>
      </c>
      <c r="N191" s="27" t="inlineStr">
        <is>
          <t>Yes</t>
        </is>
      </c>
      <c r="O191" s="29" t="n">
        <v>0</v>
      </c>
      <c r="P191" s="30" t="n">
        <v>450</v>
      </c>
      <c r="Q191" s="31" t="inlineStr">
        <is>
          <t>In Stock</t>
        </is>
      </c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12.5" customHeight="1" s="85">
      <c r="A192" s="27" t="inlineStr">
        <is>
          <t>COMMUNION ROUD TRAY WITH BREAD PLATE AND CUPS</t>
        </is>
      </c>
      <c r="B192" s="27" t="n"/>
      <c r="C192" s="27" t="inlineStr">
        <is>
          <t>Church Articles</t>
        </is>
      </c>
      <c r="D192" s="32" t="inlineStr">
        <is>
          <t>100102</t>
        </is>
      </c>
      <c r="E192" s="27" t="n"/>
      <c r="F192" s="29" t="n">
        <v>0</v>
      </c>
      <c r="G192" s="29" t="n">
        <v>1150</v>
      </c>
      <c r="H192" s="27" t="inlineStr">
        <is>
          <t>Exclusive</t>
        </is>
      </c>
      <c r="I192" s="29" t="n">
        <v>900</v>
      </c>
      <c r="J192" s="27" t="inlineStr">
        <is>
          <t>Exclusive</t>
        </is>
      </c>
      <c r="K192" s="29" t="n">
        <v>1650</v>
      </c>
      <c r="L192" s="29" t="n">
        <v>0</v>
      </c>
      <c r="M192" s="27" t="n"/>
      <c r="N192" s="27" t="inlineStr">
        <is>
          <t>Yes</t>
        </is>
      </c>
      <c r="O192" s="29" t="n">
        <v>0</v>
      </c>
      <c r="P192" s="30" t="n">
        <v>450</v>
      </c>
      <c r="Q192" s="31" t="inlineStr">
        <is>
          <t>In Stock</t>
        </is>
      </c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12.5" customHeight="1" s="85">
      <c r="A193" s="27" t="inlineStr">
        <is>
          <t>COMMUNION SYRUPS</t>
        </is>
      </c>
      <c r="B193" s="27" t="n"/>
      <c r="C193" s="27" t="inlineStr">
        <is>
          <t>Church Articles</t>
        </is>
      </c>
      <c r="D193" s="28" t="inlineStr">
        <is>
          <t>105896399257</t>
        </is>
      </c>
      <c r="E193" s="27" t="n"/>
      <c r="F193" s="29" t="n">
        <v>0</v>
      </c>
      <c r="G193" s="29" t="n">
        <v>220</v>
      </c>
      <c r="H193" s="27" t="inlineStr">
        <is>
          <t>Inclusive</t>
        </is>
      </c>
      <c r="I193" s="29" t="n">
        <v>165</v>
      </c>
      <c r="J193" s="27" t="inlineStr">
        <is>
          <t>Inclusive</t>
        </is>
      </c>
      <c r="K193" s="29" t="n">
        <v>240</v>
      </c>
      <c r="L193" s="29" t="n">
        <v>56</v>
      </c>
      <c r="M193" s="33" t="n">
        <v>1</v>
      </c>
      <c r="N193" s="27" t="inlineStr">
        <is>
          <t>Yes</t>
        </is>
      </c>
      <c r="O193" s="29" t="n">
        <v>0</v>
      </c>
      <c r="P193" s="30" t="n">
        <v>450</v>
      </c>
      <c r="Q193" s="31" t="inlineStr">
        <is>
          <t>In Stock</t>
        </is>
      </c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12.5" customHeight="1" s="85">
      <c r="A194" s="27" t="inlineStr">
        <is>
          <t>COMMUNION TRAY 30 STEEL</t>
        </is>
      </c>
      <c r="B194" s="27" t="n"/>
      <c r="C194" s="27" t="inlineStr">
        <is>
          <t>Church Articles</t>
        </is>
      </c>
      <c r="D194" s="32" t="inlineStr">
        <is>
          <t>100103</t>
        </is>
      </c>
      <c r="E194" s="27" t="n"/>
      <c r="F194" s="29" t="n">
        <v>0</v>
      </c>
      <c r="G194" s="29" t="n">
        <v>650</v>
      </c>
      <c r="H194" s="27" t="inlineStr">
        <is>
          <t>Inclusive</t>
        </is>
      </c>
      <c r="I194" s="29" t="n">
        <v>450</v>
      </c>
      <c r="J194" s="27" t="inlineStr">
        <is>
          <t>Inclusive</t>
        </is>
      </c>
      <c r="K194" s="29" t="n">
        <v>700</v>
      </c>
      <c r="L194" s="29" t="n">
        <v>0</v>
      </c>
      <c r="M194" s="33" t="n">
        <v>1</v>
      </c>
      <c r="N194" s="27" t="inlineStr">
        <is>
          <t>Yes</t>
        </is>
      </c>
      <c r="O194" s="29" t="n">
        <v>0</v>
      </c>
      <c r="P194" s="30" t="n">
        <v>450</v>
      </c>
      <c r="Q194" s="31" t="inlineStr">
        <is>
          <t>In Stock</t>
        </is>
      </c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12.5" customHeight="1" s="85">
      <c r="A195" s="27" t="inlineStr">
        <is>
          <t>COMMUNION TRAY 60 PLASTIC</t>
        </is>
      </c>
      <c r="B195" s="27" t="n"/>
      <c r="C195" s="27" t="inlineStr">
        <is>
          <t>Church Articles</t>
        </is>
      </c>
      <c r="D195" s="32" t="inlineStr">
        <is>
          <t>100104</t>
        </is>
      </c>
      <c r="E195" s="27" t="n"/>
      <c r="F195" s="29" t="n">
        <v>0</v>
      </c>
      <c r="G195" s="29" t="n">
        <v>900</v>
      </c>
      <c r="H195" s="27" t="inlineStr">
        <is>
          <t>Inclusive</t>
        </is>
      </c>
      <c r="I195" s="29" t="n">
        <v>650</v>
      </c>
      <c r="J195" s="27" t="inlineStr">
        <is>
          <t>Inclusive</t>
        </is>
      </c>
      <c r="K195" s="29" t="n">
        <v>1100</v>
      </c>
      <c r="L195" s="29" t="n">
        <v>0</v>
      </c>
      <c r="M195" s="33" t="n">
        <v>1</v>
      </c>
      <c r="N195" s="27" t="inlineStr">
        <is>
          <t>Yes</t>
        </is>
      </c>
      <c r="O195" s="29" t="n">
        <v>0</v>
      </c>
      <c r="P195" s="30" t="n">
        <v>450</v>
      </c>
      <c r="Q195" s="31" t="inlineStr">
        <is>
          <t>In Stock</t>
        </is>
      </c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12.5" customHeight="1" s="85">
      <c r="A196" s="27" t="inlineStr">
        <is>
          <t>COMMUNION TRAY 60 STEEL</t>
        </is>
      </c>
      <c r="B196" s="27" t="n"/>
      <c r="C196" s="27" t="inlineStr">
        <is>
          <t>Church Articles</t>
        </is>
      </c>
      <c r="D196" s="32" t="inlineStr">
        <is>
          <t>100105</t>
        </is>
      </c>
      <c r="E196" s="27" t="n"/>
      <c r="F196" s="29" t="n">
        <v>0</v>
      </c>
      <c r="G196" s="29" t="n">
        <v>1100</v>
      </c>
      <c r="H196" s="27" t="inlineStr">
        <is>
          <t>Inclusive</t>
        </is>
      </c>
      <c r="I196" s="29" t="n">
        <v>750</v>
      </c>
      <c r="J196" s="27" t="inlineStr">
        <is>
          <t>Inclusive</t>
        </is>
      </c>
      <c r="K196" s="29" t="n">
        <v>1350</v>
      </c>
      <c r="L196" s="29" t="n">
        <v>2</v>
      </c>
      <c r="M196" s="33" t="n">
        <v>1</v>
      </c>
      <c r="N196" s="27" t="inlineStr">
        <is>
          <t>Yes</t>
        </is>
      </c>
      <c r="O196" s="29" t="n">
        <v>0</v>
      </c>
      <c r="P196" s="30" t="n">
        <v>450</v>
      </c>
      <c r="Q196" s="31" t="inlineStr">
        <is>
          <t>In Stock</t>
        </is>
      </c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12.5" customHeight="1" s="85">
      <c r="A197" s="27" t="inlineStr">
        <is>
          <t>COMMUNION TRAY ROUND 44</t>
        </is>
      </c>
      <c r="B197" s="27" t="n"/>
      <c r="C197" s="27" t="inlineStr">
        <is>
          <t>Church Articles</t>
        </is>
      </c>
      <c r="D197" s="32" t="inlineStr">
        <is>
          <t>100106</t>
        </is>
      </c>
      <c r="E197" s="27" t="n"/>
      <c r="F197" s="29" t="n">
        <v>0</v>
      </c>
      <c r="G197" s="29" t="n">
        <v>1100</v>
      </c>
      <c r="H197" s="27" t="inlineStr">
        <is>
          <t>Inclusive</t>
        </is>
      </c>
      <c r="I197" s="29" t="n">
        <v>700</v>
      </c>
      <c r="J197" s="27" t="inlineStr">
        <is>
          <t>Inclusive</t>
        </is>
      </c>
      <c r="K197" s="29" t="n">
        <v>1250</v>
      </c>
      <c r="L197" s="29" t="n">
        <v>0</v>
      </c>
      <c r="M197" s="33" t="n">
        <v>1</v>
      </c>
      <c r="N197" s="27" t="inlineStr">
        <is>
          <t>Yes</t>
        </is>
      </c>
      <c r="O197" s="29" t="n">
        <v>0</v>
      </c>
      <c r="P197" s="30" t="n">
        <v>450</v>
      </c>
      <c r="Q197" s="31" t="inlineStr">
        <is>
          <t>In Stock</t>
        </is>
      </c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12.5" customHeight="1" s="85">
      <c r="A198" s="27" t="inlineStr">
        <is>
          <t>COMMUNION TRAY WITH CUPS ROUND</t>
        </is>
      </c>
      <c r="B198" s="27" t="n"/>
      <c r="C198" s="27" t="inlineStr">
        <is>
          <t>Church Articles</t>
        </is>
      </c>
      <c r="D198" s="28" t="inlineStr">
        <is>
          <t>544692621412</t>
        </is>
      </c>
      <c r="E198" s="27" t="n"/>
      <c r="F198" s="29" t="n">
        <v>0</v>
      </c>
      <c r="G198" s="29" t="n">
        <v>1050</v>
      </c>
      <c r="H198" s="27" t="inlineStr">
        <is>
          <t>Inclusive</t>
        </is>
      </c>
      <c r="I198" s="29" t="n">
        <v>900</v>
      </c>
      <c r="J198" s="27" t="inlineStr">
        <is>
          <t>Inclusive</t>
        </is>
      </c>
      <c r="K198" s="29" t="n">
        <v>1399</v>
      </c>
      <c r="L198" s="29" t="n">
        <v>0</v>
      </c>
      <c r="M198" s="33" t="n">
        <v>1</v>
      </c>
      <c r="N198" s="27" t="inlineStr">
        <is>
          <t>Yes</t>
        </is>
      </c>
      <c r="O198" s="29" t="n">
        <v>0</v>
      </c>
      <c r="P198" s="30" t="n">
        <v>450</v>
      </c>
      <c r="Q198" s="31" t="inlineStr">
        <is>
          <t>In Stock</t>
        </is>
      </c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12.5" customHeight="1" s="85">
      <c r="A199" s="27" t="inlineStr">
        <is>
          <t>COOKED RICE</t>
        </is>
      </c>
      <c r="B199" s="27" t="n"/>
      <c r="C199" s="27" t="inlineStr">
        <is>
          <t>Ready to Eat &amp; Mixes</t>
        </is>
      </c>
      <c r="D199" s="28" t="inlineStr">
        <is>
          <t>8907093007089</t>
        </is>
      </c>
      <c r="E199" s="27" t="n"/>
      <c r="F199" s="29" t="n">
        <v>0</v>
      </c>
      <c r="G199" s="29" t="n">
        <v>80</v>
      </c>
      <c r="H199" s="27" t="inlineStr">
        <is>
          <t>Exclusive</t>
        </is>
      </c>
      <c r="I199" s="29" t="n">
        <v>50</v>
      </c>
      <c r="J199" s="27" t="inlineStr">
        <is>
          <t>Exclusive</t>
        </is>
      </c>
      <c r="K199" s="29" t="n">
        <v>80</v>
      </c>
      <c r="L199" s="29" t="n">
        <v>0</v>
      </c>
      <c r="M199" s="27" t="n"/>
      <c r="N199" s="27" t="inlineStr">
        <is>
          <t>Yes</t>
        </is>
      </c>
      <c r="O199" s="29" t="n">
        <v>0</v>
      </c>
      <c r="P199" s="30" t="n">
        <v>450</v>
      </c>
      <c r="Q199" s="31" t="inlineStr">
        <is>
          <t>In Stock</t>
        </is>
      </c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12.5" customHeight="1" s="85">
      <c r="A200" s="27" t="inlineStr">
        <is>
          <t>COVER BIG</t>
        </is>
      </c>
      <c r="B200" s="27" t="n"/>
      <c r="C200" s="27" t="inlineStr">
        <is>
          <t>Church Articles</t>
        </is>
      </c>
      <c r="D200" s="34" t="inlineStr">
        <is>
          <t>CB</t>
        </is>
      </c>
      <c r="E200" s="27" t="n"/>
      <c r="F200" s="29" t="n">
        <v>0</v>
      </c>
      <c r="G200" s="29" t="n">
        <v>150</v>
      </c>
      <c r="H200" s="27" t="inlineStr">
        <is>
          <t>Inclusive</t>
        </is>
      </c>
      <c r="I200" s="29" t="n">
        <v>105</v>
      </c>
      <c r="J200" s="27" t="inlineStr">
        <is>
          <t>Inclusive</t>
        </is>
      </c>
      <c r="K200" s="29" t="n">
        <v>180</v>
      </c>
      <c r="L200" s="29" t="n">
        <v>6</v>
      </c>
      <c r="M200" s="33" t="n">
        <v>1</v>
      </c>
      <c r="N200" s="27" t="inlineStr">
        <is>
          <t>Yes</t>
        </is>
      </c>
      <c r="O200" s="29" t="n">
        <v>0</v>
      </c>
      <c r="P200" s="30" t="n">
        <v>450</v>
      </c>
      <c r="Q200" s="31" t="inlineStr">
        <is>
          <t>In Stock</t>
        </is>
      </c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12.5" customHeight="1" s="85">
      <c r="A201" s="27" t="inlineStr">
        <is>
          <t>COVER BIG BEST BLACK</t>
        </is>
      </c>
      <c r="B201" s="27" t="n"/>
      <c r="C201" s="27" t="inlineStr">
        <is>
          <t>Church Articles</t>
        </is>
      </c>
      <c r="D201" s="32" t="inlineStr">
        <is>
          <t>100107</t>
        </is>
      </c>
      <c r="E201" s="27" t="n"/>
      <c r="F201" s="29" t="n">
        <v>0</v>
      </c>
      <c r="G201" s="29" t="n">
        <v>160</v>
      </c>
      <c r="H201" s="27" t="inlineStr">
        <is>
          <t>Inclusive</t>
        </is>
      </c>
      <c r="I201" s="29" t="n">
        <v>120</v>
      </c>
      <c r="J201" s="27" t="inlineStr">
        <is>
          <t>Inclusive</t>
        </is>
      </c>
      <c r="K201" s="29" t="n">
        <v>180</v>
      </c>
      <c r="L201" s="29" t="n">
        <v>32</v>
      </c>
      <c r="M201" s="33" t="n">
        <v>1</v>
      </c>
      <c r="N201" s="27" t="inlineStr">
        <is>
          <t>Yes</t>
        </is>
      </c>
      <c r="O201" s="29" t="n">
        <v>0</v>
      </c>
      <c r="P201" s="30" t="n">
        <v>450</v>
      </c>
      <c r="Q201" s="31" t="inlineStr">
        <is>
          <t>In Stock</t>
        </is>
      </c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12.5" customHeight="1" s="85">
      <c r="A202" s="27" t="inlineStr">
        <is>
          <t>COVER BIG EXCELLENT</t>
        </is>
      </c>
      <c r="B202" s="27" t="n"/>
      <c r="C202" s="27" t="inlineStr">
        <is>
          <t>Church Articles</t>
        </is>
      </c>
      <c r="D202" s="32" t="inlineStr">
        <is>
          <t>100108</t>
        </is>
      </c>
      <c r="E202" s="27" t="n"/>
      <c r="F202" s="29" t="n">
        <v>0</v>
      </c>
      <c r="G202" s="29" t="n">
        <v>200</v>
      </c>
      <c r="H202" s="27" t="inlineStr">
        <is>
          <t>Inclusive</t>
        </is>
      </c>
      <c r="I202" s="29" t="n">
        <v>100</v>
      </c>
      <c r="J202" s="27" t="inlineStr">
        <is>
          <t>Inclusive</t>
        </is>
      </c>
      <c r="K202" s="29" t="n">
        <v>220</v>
      </c>
      <c r="L202" s="29" t="n">
        <v>41</v>
      </c>
      <c r="M202" s="33" t="n">
        <v>1</v>
      </c>
      <c r="N202" s="27" t="inlineStr">
        <is>
          <t>Yes</t>
        </is>
      </c>
      <c r="O202" s="29" t="n">
        <v>0</v>
      </c>
      <c r="P202" s="30" t="n">
        <v>450</v>
      </c>
      <c r="Q202" s="31" t="inlineStr">
        <is>
          <t>In Stock</t>
        </is>
      </c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12.5" customHeight="1" s="85">
      <c r="A203" s="27" t="inlineStr">
        <is>
          <t>COVER BIGGEST BIBLES</t>
        </is>
      </c>
      <c r="B203" s="27" t="n"/>
      <c r="C203" s="27" t="inlineStr">
        <is>
          <t>Church Articles</t>
        </is>
      </c>
      <c r="D203" s="34" t="inlineStr">
        <is>
          <t>BCBG</t>
        </is>
      </c>
      <c r="E203" s="27" t="n"/>
      <c r="F203" s="29" t="n">
        <v>0</v>
      </c>
      <c r="G203" s="29" t="n">
        <v>250</v>
      </c>
      <c r="H203" s="27" t="inlineStr">
        <is>
          <t>Inclusive</t>
        </is>
      </c>
      <c r="I203" s="29" t="n">
        <v>150</v>
      </c>
      <c r="J203" s="27" t="inlineStr">
        <is>
          <t>Inclusive</t>
        </is>
      </c>
      <c r="K203" s="29" t="n">
        <v>300</v>
      </c>
      <c r="L203" s="29" t="n">
        <v>2</v>
      </c>
      <c r="M203" s="33" t="n">
        <v>1</v>
      </c>
      <c r="N203" s="27" t="inlineStr">
        <is>
          <t>Yes</t>
        </is>
      </c>
      <c r="O203" s="29" t="n">
        <v>0</v>
      </c>
      <c r="P203" s="30" t="n">
        <v>450</v>
      </c>
      <c r="Q203" s="31" t="inlineStr">
        <is>
          <t>In Stock</t>
        </is>
      </c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12.5" customHeight="1" s="85">
      <c r="A204" s="27" t="inlineStr">
        <is>
          <t>COVER BIG LOW</t>
        </is>
      </c>
      <c r="B204" s="27" t="n"/>
      <c r="C204" s="27" t="inlineStr">
        <is>
          <t>Church Articles</t>
        </is>
      </c>
      <c r="D204" s="32" t="inlineStr">
        <is>
          <t>100109</t>
        </is>
      </c>
      <c r="E204" s="27" t="n"/>
      <c r="F204" s="29" t="n">
        <v>0</v>
      </c>
      <c r="G204" s="29" t="n">
        <v>90</v>
      </c>
      <c r="H204" s="27" t="inlineStr">
        <is>
          <t>Inclusive</t>
        </is>
      </c>
      <c r="I204" s="29" t="n">
        <v>50</v>
      </c>
      <c r="J204" s="27" t="inlineStr">
        <is>
          <t>Inclusive</t>
        </is>
      </c>
      <c r="K204" s="29" t="n">
        <v>100</v>
      </c>
      <c r="L204" s="29" t="n">
        <v>8</v>
      </c>
      <c r="M204" s="33" t="n">
        <v>1</v>
      </c>
      <c r="N204" s="27" t="inlineStr">
        <is>
          <t>Yes</t>
        </is>
      </c>
      <c r="O204" s="29" t="n">
        <v>0</v>
      </c>
      <c r="P204" s="30" t="n">
        <v>450</v>
      </c>
      <c r="Q204" s="31" t="inlineStr">
        <is>
          <t>In Stock</t>
        </is>
      </c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12.5" customHeight="1" s="85">
      <c r="A205" s="27" t="inlineStr">
        <is>
          <t>COVER FAIR BIG</t>
        </is>
      </c>
      <c r="B205" s="27" t="n"/>
      <c r="C205" s="27" t="inlineStr">
        <is>
          <t>Church Articles</t>
        </is>
      </c>
      <c r="D205" s="32" t="inlineStr">
        <is>
          <t>100110</t>
        </is>
      </c>
      <c r="E205" s="27" t="n"/>
      <c r="F205" s="29" t="n">
        <v>0</v>
      </c>
      <c r="G205" s="29" t="n">
        <v>120</v>
      </c>
      <c r="H205" s="27" t="inlineStr">
        <is>
          <t>Inclusive</t>
        </is>
      </c>
      <c r="I205" s="29" t="n">
        <v>65</v>
      </c>
      <c r="J205" s="27" t="inlineStr">
        <is>
          <t>Inclusive</t>
        </is>
      </c>
      <c r="K205" s="29" t="n">
        <v>140</v>
      </c>
      <c r="L205" s="29" t="n">
        <v>0</v>
      </c>
      <c r="M205" s="33" t="n">
        <v>1</v>
      </c>
      <c r="N205" s="27" t="inlineStr">
        <is>
          <t>Yes</t>
        </is>
      </c>
      <c r="O205" s="29" t="n">
        <v>0</v>
      </c>
      <c r="P205" s="30" t="n">
        <v>450</v>
      </c>
      <c r="Q205" s="31" t="inlineStr">
        <is>
          <t>In Stock</t>
        </is>
      </c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12.5" customHeight="1" s="85">
      <c r="A206" s="27" t="inlineStr">
        <is>
          <t>COVER FAIR N GOOD</t>
        </is>
      </c>
      <c r="B206" s="27" t="n"/>
      <c r="C206" s="27" t="inlineStr">
        <is>
          <t>Church Articles</t>
        </is>
      </c>
      <c r="D206" s="28" t="inlineStr">
        <is>
          <t>228647197564</t>
        </is>
      </c>
      <c r="E206" s="27" t="n"/>
      <c r="F206" s="29" t="n">
        <v>0</v>
      </c>
      <c r="G206" s="29" t="n">
        <v>160</v>
      </c>
      <c r="H206" s="27" t="inlineStr">
        <is>
          <t>Exclusive</t>
        </is>
      </c>
      <c r="I206" s="29" t="n">
        <v>85</v>
      </c>
      <c r="J206" s="27" t="inlineStr">
        <is>
          <t>Exclusive</t>
        </is>
      </c>
      <c r="K206" s="29" t="n">
        <v>180</v>
      </c>
      <c r="L206" s="29" t="n">
        <v>5</v>
      </c>
      <c r="M206" s="33" t="n">
        <v>1</v>
      </c>
      <c r="N206" s="27" t="inlineStr">
        <is>
          <t>Yes</t>
        </is>
      </c>
      <c r="O206" s="29" t="n">
        <v>0</v>
      </c>
      <c r="P206" s="30" t="n">
        <v>450</v>
      </c>
      <c r="Q206" s="31" t="inlineStr">
        <is>
          <t>In Stock</t>
        </is>
      </c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12.5" customHeight="1" s="85">
      <c r="A207" s="27" t="inlineStr">
        <is>
          <t>COVER SMALL</t>
        </is>
      </c>
      <c r="B207" s="27" t="n"/>
      <c r="C207" s="27" t="inlineStr">
        <is>
          <t>Church Articles</t>
        </is>
      </c>
      <c r="D207" s="34" t="inlineStr">
        <is>
          <t>CS</t>
        </is>
      </c>
      <c r="E207" s="27" t="n"/>
      <c r="F207" s="29" t="n">
        <v>0</v>
      </c>
      <c r="G207" s="29" t="n">
        <v>120</v>
      </c>
      <c r="H207" s="27" t="inlineStr">
        <is>
          <t>Inclusive</t>
        </is>
      </c>
      <c r="I207" s="29" t="n">
        <v>90</v>
      </c>
      <c r="J207" s="27" t="inlineStr">
        <is>
          <t>Inclusive</t>
        </is>
      </c>
      <c r="K207" s="29" t="n">
        <v>140</v>
      </c>
      <c r="L207" s="29" t="n">
        <v>1</v>
      </c>
      <c r="M207" s="33" t="n">
        <v>1</v>
      </c>
      <c r="N207" s="27" t="inlineStr">
        <is>
          <t>Yes</t>
        </is>
      </c>
      <c r="O207" s="29" t="n">
        <v>0</v>
      </c>
      <c r="P207" s="30" t="n">
        <v>450</v>
      </c>
      <c r="Q207" s="31" t="inlineStr">
        <is>
          <t>In Stock</t>
        </is>
      </c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12.5" customHeight="1" s="85">
      <c r="A208" s="27" t="inlineStr">
        <is>
          <t>CREAM DOUBLE MUNDU (AKSHITH)</t>
        </is>
      </c>
      <c r="B208" s="27" t="n"/>
      <c r="C208" s="27" t="inlineStr">
        <is>
          <t>Kerala Clothing</t>
        </is>
      </c>
      <c r="D208" s="34" t="inlineStr">
        <is>
          <t>S000145968</t>
        </is>
      </c>
      <c r="E208" s="27" t="n"/>
      <c r="F208" s="29" t="n">
        <v>0</v>
      </c>
      <c r="G208" s="29" t="n">
        <v>460</v>
      </c>
      <c r="H208" s="27" t="inlineStr">
        <is>
          <t>Exclusive</t>
        </is>
      </c>
      <c r="I208" s="29" t="n">
        <v>400</v>
      </c>
      <c r="J208" s="27" t="inlineStr">
        <is>
          <t>Exclusive</t>
        </is>
      </c>
      <c r="K208" s="29" t="n">
        <v>460</v>
      </c>
      <c r="L208" s="29" t="n">
        <v>2</v>
      </c>
      <c r="M208" s="33" t="n">
        <v>1</v>
      </c>
      <c r="N208" s="27" t="inlineStr">
        <is>
          <t>Yes</t>
        </is>
      </c>
      <c r="O208" s="29" t="n">
        <v>0</v>
      </c>
      <c r="P208" s="30" t="n">
        <v>450</v>
      </c>
      <c r="Q208" s="31" t="inlineStr">
        <is>
          <t>In Stock</t>
        </is>
      </c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12.5" customHeight="1" s="85">
      <c r="A209" s="27" t="inlineStr">
        <is>
          <t>CROSS DIL KEYCHAIN</t>
        </is>
      </c>
      <c r="B209" s="27" t="n"/>
      <c r="C209" s="27" t="inlineStr">
        <is>
          <t>Church Articles</t>
        </is>
      </c>
      <c r="D209" s="28" t="inlineStr">
        <is>
          <t>121996307486</t>
        </is>
      </c>
      <c r="E209" s="27" t="n"/>
      <c r="F209" s="29" t="n">
        <v>0</v>
      </c>
      <c r="G209" s="29" t="n">
        <v>55</v>
      </c>
      <c r="H209" s="27" t="inlineStr">
        <is>
          <t>Exclusive</t>
        </is>
      </c>
      <c r="I209" s="29" t="n">
        <v>35</v>
      </c>
      <c r="J209" s="27" t="inlineStr">
        <is>
          <t>Exclusive</t>
        </is>
      </c>
      <c r="K209" s="29" t="n">
        <v>60</v>
      </c>
      <c r="L209" s="29" t="n">
        <v>1</v>
      </c>
      <c r="M209" s="27" t="n"/>
      <c r="N209" s="27" t="inlineStr">
        <is>
          <t>Yes</t>
        </is>
      </c>
      <c r="O209" s="29" t="n">
        <v>0</v>
      </c>
      <c r="P209" s="30" t="n">
        <v>450</v>
      </c>
      <c r="Q209" s="31" t="inlineStr">
        <is>
          <t>In Stock</t>
        </is>
      </c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12.5" customHeight="1" s="85">
      <c r="A210" s="27" t="inlineStr">
        <is>
          <t>CROSS SMALL METAL</t>
        </is>
      </c>
      <c r="B210" s="27" t="n"/>
      <c r="C210" s="27" t="inlineStr">
        <is>
          <t>Church Articles</t>
        </is>
      </c>
      <c r="D210" s="32" t="inlineStr">
        <is>
          <t>100111</t>
        </is>
      </c>
      <c r="E210" s="27" t="n"/>
      <c r="F210" s="29" t="n">
        <v>0</v>
      </c>
      <c r="G210" s="29" t="n">
        <v>15</v>
      </c>
      <c r="H210" s="27" t="inlineStr">
        <is>
          <t>Exclusive</t>
        </is>
      </c>
      <c r="I210" s="29" t="n">
        <v>8</v>
      </c>
      <c r="J210" s="27" t="inlineStr">
        <is>
          <t>Exclusive</t>
        </is>
      </c>
      <c r="K210" s="29" t="n">
        <v>20</v>
      </c>
      <c r="L210" s="29" t="n">
        <v>56</v>
      </c>
      <c r="M210" s="33" t="n">
        <v>1</v>
      </c>
      <c r="N210" s="27" t="inlineStr">
        <is>
          <t>Yes</t>
        </is>
      </c>
      <c r="O210" s="29" t="n">
        <v>0</v>
      </c>
      <c r="P210" s="30" t="n">
        <v>450</v>
      </c>
      <c r="Q210" s="31" t="inlineStr">
        <is>
          <t>In Stock</t>
        </is>
      </c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12.5" customHeight="1" s="85">
      <c r="A211" s="27" t="inlineStr">
        <is>
          <t>CROSS STEEL MEDIUM</t>
        </is>
      </c>
      <c r="B211" s="27" t="n"/>
      <c r="C211" s="27" t="inlineStr">
        <is>
          <t>Church Articles</t>
        </is>
      </c>
      <c r="D211" s="32" t="inlineStr">
        <is>
          <t>100112</t>
        </is>
      </c>
      <c r="E211" s="27" t="n"/>
      <c r="F211" s="29" t="n">
        <v>0</v>
      </c>
      <c r="G211" s="29" t="n">
        <v>25</v>
      </c>
      <c r="H211" s="27" t="inlineStr">
        <is>
          <t>Exclusive</t>
        </is>
      </c>
      <c r="I211" s="29" t="n">
        <v>14</v>
      </c>
      <c r="J211" s="27" t="inlineStr">
        <is>
          <t>Exclusive</t>
        </is>
      </c>
      <c r="K211" s="29" t="n">
        <v>30</v>
      </c>
      <c r="L211" s="29" t="n">
        <v>10</v>
      </c>
      <c r="M211" s="27" t="n"/>
      <c r="N211" s="27" t="inlineStr">
        <is>
          <t>Yes</t>
        </is>
      </c>
      <c r="O211" s="29" t="n">
        <v>0</v>
      </c>
      <c r="P211" s="30" t="n">
        <v>450</v>
      </c>
      <c r="Q211" s="31" t="inlineStr">
        <is>
          <t>In Stock</t>
        </is>
      </c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12.5" customHeight="1" s="85">
      <c r="A212" s="27" t="inlineStr">
        <is>
          <t>CROSS WOOD BIG</t>
        </is>
      </c>
      <c r="B212" s="27" t="n"/>
      <c r="C212" s="27" t="inlineStr">
        <is>
          <t>Church Articles</t>
        </is>
      </c>
      <c r="D212" s="32" t="inlineStr">
        <is>
          <t>100113</t>
        </is>
      </c>
      <c r="E212" s="27" t="n"/>
      <c r="F212" s="29" t="n">
        <v>0</v>
      </c>
      <c r="G212" s="29" t="n">
        <v>500</v>
      </c>
      <c r="H212" s="27" t="inlineStr">
        <is>
          <t>Exclusive</t>
        </is>
      </c>
      <c r="I212" s="29" t="n">
        <v>220</v>
      </c>
      <c r="J212" s="27" t="inlineStr">
        <is>
          <t>Exclusive</t>
        </is>
      </c>
      <c r="K212" s="29" t="n">
        <v>600</v>
      </c>
      <c r="L212" s="29" t="n">
        <v>2</v>
      </c>
      <c r="M212" s="33" t="n">
        <v>1</v>
      </c>
      <c r="N212" s="27" t="inlineStr">
        <is>
          <t>Yes</t>
        </is>
      </c>
      <c r="O212" s="29" t="n">
        <v>0</v>
      </c>
      <c r="P212" s="30" t="n">
        <v>450</v>
      </c>
      <c r="Q212" s="31" t="inlineStr">
        <is>
          <t>In Stock</t>
        </is>
      </c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12.5" customHeight="1" s="85">
      <c r="A213" s="27" t="inlineStr">
        <is>
          <t>CUTICURA SOAP</t>
        </is>
      </c>
      <c r="B213" s="27" t="n"/>
      <c r="C213" s="27" t="inlineStr">
        <is>
          <t>Healthcare Items</t>
        </is>
      </c>
      <c r="D213" s="28" t="inlineStr">
        <is>
          <t>8904018301864</t>
        </is>
      </c>
      <c r="E213" s="27" t="n"/>
      <c r="F213" s="29" t="n">
        <v>0</v>
      </c>
      <c r="G213" s="29" t="n">
        <v>40</v>
      </c>
      <c r="H213" s="27" t="inlineStr">
        <is>
          <t>Exclusive</t>
        </is>
      </c>
      <c r="I213" s="29" t="n">
        <v>37</v>
      </c>
      <c r="J213" s="27" t="inlineStr">
        <is>
          <t>Exclusive</t>
        </is>
      </c>
      <c r="K213" s="29" t="n">
        <v>37</v>
      </c>
      <c r="L213" s="29" t="n">
        <v>0</v>
      </c>
      <c r="M213" s="33" t="n">
        <v>1</v>
      </c>
      <c r="N213" s="27" t="inlineStr">
        <is>
          <t>Yes</t>
        </is>
      </c>
      <c r="O213" s="29" t="n">
        <v>0</v>
      </c>
      <c r="P213" s="30" t="n">
        <v>450</v>
      </c>
      <c r="Q213" s="31" t="inlineStr">
        <is>
          <t>In Stock</t>
        </is>
      </c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12.5" customHeight="1" s="85">
      <c r="A214" s="27" t="inlineStr">
        <is>
          <t>CUTIE SOAP VARIOUS</t>
        </is>
      </c>
      <c r="B214" s="27" t="n"/>
      <c r="C214" s="27" t="inlineStr">
        <is>
          <t>Healthcare Items</t>
        </is>
      </c>
      <c r="D214" s="28" t="inlineStr">
        <is>
          <t>8906158660337</t>
        </is>
      </c>
      <c r="E214" s="27" t="n"/>
      <c r="F214" s="29" t="n">
        <v>0</v>
      </c>
      <c r="G214" s="29" t="n">
        <v>28</v>
      </c>
      <c r="H214" s="27" t="inlineStr">
        <is>
          <t>Exclusive</t>
        </is>
      </c>
      <c r="I214" s="29" t="n">
        <v>27</v>
      </c>
      <c r="J214" s="27" t="inlineStr">
        <is>
          <t>Exclusive</t>
        </is>
      </c>
      <c r="K214" s="29" t="n">
        <v>28</v>
      </c>
      <c r="L214" s="29" t="n">
        <v>4</v>
      </c>
      <c r="M214" s="33" t="n">
        <v>1</v>
      </c>
      <c r="N214" s="27" t="inlineStr">
        <is>
          <t>Yes</t>
        </is>
      </c>
      <c r="O214" s="29" t="n">
        <v>0</v>
      </c>
      <c r="P214" s="30" t="n">
        <v>450</v>
      </c>
      <c r="Q214" s="31" t="inlineStr">
        <is>
          <t>In Stock</t>
        </is>
      </c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12.5" customHeight="1" s="85">
      <c r="A215" s="27" t="inlineStr">
        <is>
          <t>CUTTEE SANDAL SOAP 115</t>
        </is>
      </c>
      <c r="B215" s="27" t="n"/>
      <c r="C215" s="27" t="inlineStr">
        <is>
          <t>Healthcare Items</t>
        </is>
      </c>
      <c r="D215" s="28" t="inlineStr">
        <is>
          <t>8906158660252</t>
        </is>
      </c>
      <c r="E215" s="27" t="n"/>
      <c r="F215" s="29" t="n">
        <v>0</v>
      </c>
      <c r="G215" s="29" t="n">
        <v>28</v>
      </c>
      <c r="H215" s="27" t="inlineStr">
        <is>
          <t>Exclusive</t>
        </is>
      </c>
      <c r="I215" s="29" t="n">
        <v>26</v>
      </c>
      <c r="J215" s="27" t="inlineStr">
        <is>
          <t>Exclusive</t>
        </is>
      </c>
      <c r="K215" s="29" t="n">
        <v>28</v>
      </c>
      <c r="L215" s="29" t="n">
        <v>5</v>
      </c>
      <c r="M215" s="33" t="n">
        <v>1</v>
      </c>
      <c r="N215" s="27" t="inlineStr">
        <is>
          <t>Yes</t>
        </is>
      </c>
      <c r="O215" s="29" t="n">
        <v>0</v>
      </c>
      <c r="P215" s="30" t="n">
        <v>450</v>
      </c>
      <c r="Q215" s="31" t="inlineStr">
        <is>
          <t>In Stock</t>
        </is>
      </c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12.5" customHeight="1" s="85">
      <c r="A216" s="27" t="inlineStr">
        <is>
          <t>CUTTER 3</t>
        </is>
      </c>
      <c r="B216" s="27" t="n"/>
      <c r="C216" s="27" t="inlineStr">
        <is>
          <t>Stationery</t>
        </is>
      </c>
      <c r="D216" s="32" t="inlineStr">
        <is>
          <t>100114</t>
        </is>
      </c>
      <c r="E216" s="27" t="n"/>
      <c r="F216" s="29" t="n">
        <v>0</v>
      </c>
      <c r="G216" s="29" t="n">
        <v>3</v>
      </c>
      <c r="H216" s="27" t="inlineStr">
        <is>
          <t>Exclusive</t>
        </is>
      </c>
      <c r="I216" s="29" t="n">
        <v>1</v>
      </c>
      <c r="J216" s="27" t="inlineStr">
        <is>
          <t>Exclusive</t>
        </is>
      </c>
      <c r="K216" s="29" t="n">
        <v>3</v>
      </c>
      <c r="L216" s="29" t="n">
        <v>9</v>
      </c>
      <c r="M216" s="33" t="n">
        <v>1</v>
      </c>
      <c r="N216" s="27" t="inlineStr">
        <is>
          <t>No</t>
        </is>
      </c>
      <c r="O216" s="29" t="n">
        <v>0</v>
      </c>
      <c r="P216" s="30" t="n">
        <v>450</v>
      </c>
      <c r="Q216" s="31" t="inlineStr">
        <is>
          <t>In Stock</t>
        </is>
      </c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12.5" customHeight="1" s="85">
      <c r="A217" s="27" t="inlineStr">
        <is>
          <t>CUTTER BIG BLADE</t>
        </is>
      </c>
      <c r="B217" s="27" t="n"/>
      <c r="C217" s="27" t="inlineStr">
        <is>
          <t>Stationery</t>
        </is>
      </c>
      <c r="D217" s="28" t="inlineStr">
        <is>
          <t>6920805678287</t>
        </is>
      </c>
      <c r="E217" s="27" t="n"/>
      <c r="F217" s="29" t="n">
        <v>0</v>
      </c>
      <c r="G217" s="29" t="n">
        <v>15</v>
      </c>
      <c r="H217" s="27" t="inlineStr">
        <is>
          <t>Exclusive</t>
        </is>
      </c>
      <c r="I217" s="29" t="n">
        <v>7</v>
      </c>
      <c r="J217" s="27" t="inlineStr">
        <is>
          <t>Exclusive</t>
        </is>
      </c>
      <c r="K217" s="29" t="n">
        <v>20</v>
      </c>
      <c r="L217" s="29" t="n">
        <v>24</v>
      </c>
      <c r="M217" s="27" t="n"/>
      <c r="N217" s="27" t="inlineStr">
        <is>
          <t>Yes</t>
        </is>
      </c>
      <c r="O217" s="29" t="n">
        <v>0</v>
      </c>
      <c r="P217" s="30" t="n">
        <v>450</v>
      </c>
      <c r="Q217" s="31" t="inlineStr">
        <is>
          <t>In Stock</t>
        </is>
      </c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12.5" customHeight="1" s="85">
      <c r="A218" s="27" t="inlineStr">
        <is>
          <t>DAFLI SMALL</t>
        </is>
      </c>
      <c r="B218" s="27" t="n"/>
      <c r="C218" s="27" t="inlineStr">
        <is>
          <t>Church Articles</t>
        </is>
      </c>
      <c r="D218" s="32" t="inlineStr">
        <is>
          <t>100115</t>
        </is>
      </c>
      <c r="E218" s="27" t="n"/>
      <c r="F218" s="29" t="n">
        <v>0</v>
      </c>
      <c r="G218" s="29" t="n">
        <v>120</v>
      </c>
      <c r="H218" s="27" t="inlineStr">
        <is>
          <t>Inclusive</t>
        </is>
      </c>
      <c r="I218" s="29" t="n">
        <v>75</v>
      </c>
      <c r="J218" s="27" t="inlineStr">
        <is>
          <t>Inclusive</t>
        </is>
      </c>
      <c r="K218" s="29" t="n">
        <v>150</v>
      </c>
      <c r="L218" s="29" t="n">
        <v>0</v>
      </c>
      <c r="M218" s="33" t="n">
        <v>1</v>
      </c>
      <c r="N218" s="27" t="inlineStr">
        <is>
          <t>No</t>
        </is>
      </c>
      <c r="O218" s="29" t="n">
        <v>0</v>
      </c>
      <c r="P218" s="30" t="n">
        <v>450</v>
      </c>
      <c r="Q218" s="31" t="inlineStr">
        <is>
          <t>In Stock</t>
        </is>
      </c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12.5" customHeight="1" s="85">
      <c r="A219" s="27" t="inlineStr">
        <is>
          <t>DAHANTRI DAHA SHAMANI</t>
        </is>
      </c>
      <c r="B219" s="27" t="n"/>
      <c r="C219" s="27" t="inlineStr">
        <is>
          <t>Healthcare Items</t>
        </is>
      </c>
      <c r="D219" s="28" t="inlineStr">
        <is>
          <t>8904070900128</t>
        </is>
      </c>
      <c r="E219" s="27" t="n"/>
      <c r="F219" s="29" t="n">
        <v>0</v>
      </c>
      <c r="G219" s="29" t="n">
        <v>32</v>
      </c>
      <c r="H219" s="27" t="inlineStr">
        <is>
          <t>Inclusive</t>
        </is>
      </c>
      <c r="I219" s="29" t="n">
        <v>29</v>
      </c>
      <c r="J219" s="27" t="inlineStr">
        <is>
          <t>Inclusive</t>
        </is>
      </c>
      <c r="K219" s="29" t="n">
        <v>32</v>
      </c>
      <c r="L219" s="29" t="n">
        <v>0</v>
      </c>
      <c r="M219" s="33" t="n">
        <v>1</v>
      </c>
      <c r="N219" s="27" t="inlineStr">
        <is>
          <t>Yes</t>
        </is>
      </c>
      <c r="O219" s="29" t="n">
        <v>0</v>
      </c>
      <c r="P219" s="30" t="n">
        <v>450</v>
      </c>
      <c r="Q219" s="31" t="inlineStr">
        <is>
          <t>In Stock</t>
        </is>
      </c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12.5" customHeight="1" s="85">
      <c r="A220" s="27" t="inlineStr">
        <is>
          <t>DAKES BIBLE HINDI</t>
        </is>
      </c>
      <c r="B220" s="27" t="n"/>
      <c r="C220" s="27" t="inlineStr">
        <is>
          <t>Books &amp; Bibles</t>
        </is>
      </c>
      <c r="D220" s="28" t="inlineStr">
        <is>
          <t>642537101309</t>
        </is>
      </c>
      <c r="E220" s="27" t="n"/>
      <c r="F220" s="29" t="n">
        <v>0</v>
      </c>
      <c r="G220" s="29" t="n">
        <v>4350</v>
      </c>
      <c r="H220" s="27" t="inlineStr">
        <is>
          <t>Inclusive</t>
        </is>
      </c>
      <c r="I220" s="29" t="n">
        <v>3800</v>
      </c>
      <c r="J220" s="27" t="inlineStr">
        <is>
          <t>Inclusive</t>
        </is>
      </c>
      <c r="K220" s="29" t="n">
        <v>4550</v>
      </c>
      <c r="L220" s="29" t="n">
        <v>0</v>
      </c>
      <c r="M220" s="33" t="n">
        <v>1</v>
      </c>
      <c r="N220" s="27" t="inlineStr">
        <is>
          <t>Yes</t>
        </is>
      </c>
      <c r="O220" s="29" t="n">
        <v>0</v>
      </c>
      <c r="P220" s="30" t="n">
        <v>450</v>
      </c>
      <c r="Q220" s="31" t="inlineStr">
        <is>
          <t>In Stock</t>
        </is>
      </c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12.5" customHeight="1" s="85">
      <c r="A221" s="27" t="inlineStr">
        <is>
          <t>DASHA MOOLA ARISHTAM 450ML</t>
        </is>
      </c>
      <c r="B221" s="27" t="n"/>
      <c r="C221" s="27" t="inlineStr">
        <is>
          <t>Healthcare Items</t>
        </is>
      </c>
      <c r="D221" s="28" t="inlineStr">
        <is>
          <t>8904108010034</t>
        </is>
      </c>
      <c r="E221" s="27" t="n"/>
      <c r="F221" s="29" t="n">
        <v>0</v>
      </c>
      <c r="G221" s="29" t="n">
        <v>135</v>
      </c>
      <c r="H221" s="27" t="inlineStr">
        <is>
          <t>Inclusive</t>
        </is>
      </c>
      <c r="I221" s="29" t="n">
        <v>118</v>
      </c>
      <c r="J221" s="27" t="inlineStr">
        <is>
          <t>Inclusive</t>
        </is>
      </c>
      <c r="K221" s="29" t="n">
        <v>135</v>
      </c>
      <c r="L221" s="29" t="n">
        <v>0</v>
      </c>
      <c r="M221" s="33" t="n">
        <v>1</v>
      </c>
      <c r="N221" s="27" t="inlineStr">
        <is>
          <t>Yes</t>
        </is>
      </c>
      <c r="O221" s="29" t="n">
        <v>0</v>
      </c>
      <c r="P221" s="30" t="n">
        <v>450</v>
      </c>
      <c r="Q221" s="31" t="inlineStr">
        <is>
          <t>In Stock</t>
        </is>
      </c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12.5" customHeight="1" s="85">
      <c r="A222" s="27" t="inlineStr">
        <is>
          <t>DBL 1HR IDLI DOSA MIX 500GM</t>
        </is>
      </c>
      <c r="B222" s="27" t="n"/>
      <c r="C222" s="27" t="inlineStr">
        <is>
          <t>Grains &amp; Flours</t>
        </is>
      </c>
      <c r="D222" s="28" t="inlineStr">
        <is>
          <t>8904011503715</t>
        </is>
      </c>
      <c r="E222" s="27" t="n"/>
      <c r="F222" s="29" t="n">
        <v>0</v>
      </c>
      <c r="G222" s="29" t="n">
        <v>85</v>
      </c>
      <c r="H222" s="27" t="inlineStr">
        <is>
          <t>Exclusive</t>
        </is>
      </c>
      <c r="I222" s="29" t="n">
        <v>65</v>
      </c>
      <c r="J222" s="27" t="inlineStr">
        <is>
          <t>Exclusive</t>
        </is>
      </c>
      <c r="K222" s="29" t="n">
        <v>85</v>
      </c>
      <c r="L222" s="29" t="n">
        <v>6</v>
      </c>
      <c r="M222" s="33" t="n">
        <v>1</v>
      </c>
      <c r="N222" s="27" t="inlineStr">
        <is>
          <t>Yes</t>
        </is>
      </c>
      <c r="O222" s="29" t="n">
        <v>0</v>
      </c>
      <c r="P222" s="30" t="n">
        <v>450</v>
      </c>
      <c r="Q222" s="31" t="inlineStr">
        <is>
          <t>In Stock</t>
        </is>
      </c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12.5" customHeight="1" s="85">
      <c r="A223" s="27" t="inlineStr">
        <is>
          <t>DBL APPAM IDIYAPPAM PODI 1KG</t>
        </is>
      </c>
      <c r="B223" s="27" t="n"/>
      <c r="C223" s="27" t="inlineStr">
        <is>
          <t>Grains &amp; Flours</t>
        </is>
      </c>
      <c r="D223" s="28" t="inlineStr">
        <is>
          <t>8904011507027</t>
        </is>
      </c>
      <c r="E223" s="27" t="n"/>
      <c r="F223" s="29" t="n">
        <v>0</v>
      </c>
      <c r="G223" s="29" t="n">
        <v>109</v>
      </c>
      <c r="H223" s="27" t="inlineStr">
        <is>
          <t>Exclusive</t>
        </is>
      </c>
      <c r="I223" s="29" t="n">
        <v>85</v>
      </c>
      <c r="J223" s="27" t="inlineStr">
        <is>
          <t>Exclusive</t>
        </is>
      </c>
      <c r="K223" s="29" t="n">
        <v>109</v>
      </c>
      <c r="L223" s="29" t="n">
        <v>5</v>
      </c>
      <c r="M223" s="33" t="n">
        <v>1</v>
      </c>
      <c r="N223" s="27" t="inlineStr">
        <is>
          <t>Yes</t>
        </is>
      </c>
      <c r="O223" s="29" t="n">
        <v>0</v>
      </c>
      <c r="P223" s="30" t="n">
        <v>450</v>
      </c>
      <c r="Q223" s="31" t="inlineStr">
        <is>
          <t>In Stock</t>
        </is>
      </c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12.5" customHeight="1" s="85">
      <c r="A224" s="27" t="inlineStr">
        <is>
          <t>DBL APPAM IDIYAPPAM PODI 500GM</t>
        </is>
      </c>
      <c r="B224" s="27" t="n"/>
      <c r="C224" s="27" t="inlineStr">
        <is>
          <t>Grains &amp; Flours</t>
        </is>
      </c>
      <c r="D224" s="28" t="inlineStr">
        <is>
          <t>8904011505047</t>
        </is>
      </c>
      <c r="E224" s="27" t="n"/>
      <c r="F224" s="29" t="n">
        <v>0</v>
      </c>
      <c r="G224" s="29" t="n">
        <v>59</v>
      </c>
      <c r="H224" s="27" t="inlineStr">
        <is>
          <t>Exclusive</t>
        </is>
      </c>
      <c r="I224" s="29" t="n">
        <v>44</v>
      </c>
      <c r="J224" s="27" t="inlineStr">
        <is>
          <t>Exclusive</t>
        </is>
      </c>
      <c r="K224" s="29" t="n">
        <v>59</v>
      </c>
      <c r="L224" s="29" t="n">
        <v>0</v>
      </c>
      <c r="M224" s="33" t="n">
        <v>1</v>
      </c>
      <c r="N224" s="27" t="inlineStr">
        <is>
          <t>Yes</t>
        </is>
      </c>
      <c r="O224" s="29" t="n">
        <v>0</v>
      </c>
      <c r="P224" s="30" t="n">
        <v>450</v>
      </c>
      <c r="Q224" s="31" t="inlineStr">
        <is>
          <t>In Stock</t>
        </is>
      </c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12.5" customHeight="1" s="85">
      <c r="A225" s="27" t="inlineStr">
        <is>
          <t>DBL BROKEN RICE 500GM</t>
        </is>
      </c>
      <c r="B225" s="27" t="n"/>
      <c r="C225" s="27" t="inlineStr">
        <is>
          <t>Rice Items</t>
        </is>
      </c>
      <c r="D225" s="28" t="inlineStr">
        <is>
          <t>8904011500042</t>
        </is>
      </c>
      <c r="E225" s="27" t="n"/>
      <c r="F225" s="29" t="n">
        <v>0</v>
      </c>
      <c r="G225" s="29" t="n">
        <v>60</v>
      </c>
      <c r="H225" s="27" t="inlineStr">
        <is>
          <t>Exclusive</t>
        </is>
      </c>
      <c r="I225" s="29" t="n">
        <v>57</v>
      </c>
      <c r="J225" s="27" t="inlineStr">
        <is>
          <t>Exclusive</t>
        </is>
      </c>
      <c r="K225" s="29" t="n">
        <v>60</v>
      </c>
      <c r="L225" s="29" t="n">
        <v>9</v>
      </c>
      <c r="M225" s="33" t="n">
        <v>1</v>
      </c>
      <c r="N225" s="27" t="inlineStr">
        <is>
          <t>Yes</t>
        </is>
      </c>
      <c r="O225" s="29" t="n">
        <v>0</v>
      </c>
      <c r="P225" s="30" t="n">
        <v>450</v>
      </c>
      <c r="Q225" s="31" t="inlineStr">
        <is>
          <t>In Stock</t>
        </is>
      </c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12.5" customHeight="1" s="85">
      <c r="A226" s="27" t="inlineStr">
        <is>
          <t>DBL BROKEN WHEAT</t>
        </is>
      </c>
      <c r="B226" s="27" t="n"/>
      <c r="C226" s="27" t="inlineStr">
        <is>
          <t>Grains &amp; Flours</t>
        </is>
      </c>
      <c r="D226" s="28" t="inlineStr">
        <is>
          <t>8904011504156</t>
        </is>
      </c>
      <c r="E226" s="27" t="n"/>
      <c r="F226" s="29" t="n">
        <v>0</v>
      </c>
      <c r="G226" s="29" t="n">
        <v>75</v>
      </c>
      <c r="H226" s="27" t="inlineStr">
        <is>
          <t>Exclusive</t>
        </is>
      </c>
      <c r="I226" s="29" t="n">
        <v>68</v>
      </c>
      <c r="J226" s="27" t="inlineStr">
        <is>
          <t>Exclusive</t>
        </is>
      </c>
      <c r="K226" s="29" t="n">
        <v>75</v>
      </c>
      <c r="L226" s="29" t="n">
        <v>0</v>
      </c>
      <c r="M226" s="33" t="n">
        <v>1</v>
      </c>
      <c r="N226" s="27" t="inlineStr">
        <is>
          <t>Yes</t>
        </is>
      </c>
      <c r="O226" s="29" t="n">
        <v>0</v>
      </c>
      <c r="P226" s="30" t="n">
        <v>450</v>
      </c>
      <c r="Q226" s="31" t="inlineStr">
        <is>
          <t>In Stock</t>
        </is>
      </c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12.5" customHeight="1" s="85">
      <c r="A227" s="27" t="inlineStr">
        <is>
          <t>DBL CHEMBA PUTTU PODI 500GM</t>
        </is>
      </c>
      <c r="B227" s="27" t="n"/>
      <c r="C227" s="27" t="inlineStr">
        <is>
          <t>Grains &amp; Flours</t>
        </is>
      </c>
      <c r="D227" s="28" t="inlineStr">
        <is>
          <t>8904011505009</t>
        </is>
      </c>
      <c r="E227" s="27" t="n"/>
      <c r="F227" s="29" t="n">
        <v>0</v>
      </c>
      <c r="G227" s="29" t="n">
        <v>75</v>
      </c>
      <c r="H227" s="27" t="inlineStr">
        <is>
          <t>Exclusive</t>
        </is>
      </c>
      <c r="I227" s="29" t="n">
        <v>65</v>
      </c>
      <c r="J227" s="27" t="inlineStr">
        <is>
          <t>Exclusive</t>
        </is>
      </c>
      <c r="K227" s="29" t="n">
        <v>75</v>
      </c>
      <c r="L227" s="29" t="n">
        <v>0</v>
      </c>
      <c r="M227" s="33" t="n">
        <v>1</v>
      </c>
      <c r="N227" s="27" t="inlineStr">
        <is>
          <t>Yes</t>
        </is>
      </c>
      <c r="O227" s="29" t="n">
        <v>0</v>
      </c>
      <c r="P227" s="30" t="n">
        <v>450</v>
      </c>
      <c r="Q227" s="31" t="inlineStr">
        <is>
          <t>In Stock</t>
        </is>
      </c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12.5" customHeight="1" s="85">
      <c r="A228" s="27" t="inlineStr">
        <is>
          <t>DBL CHICKEN MASALA 100GM</t>
        </is>
      </c>
      <c r="B228" s="27" t="n"/>
      <c r="C228" s="27" t="inlineStr">
        <is>
          <t>Masalas &amp; Spices</t>
        </is>
      </c>
      <c r="D228" s="28" t="inlineStr">
        <is>
          <t>8904011504415</t>
        </is>
      </c>
      <c r="E228" s="27" t="n"/>
      <c r="F228" s="29" t="n">
        <v>0</v>
      </c>
      <c r="G228" s="29" t="n">
        <v>59</v>
      </c>
      <c r="H228" s="27" t="inlineStr">
        <is>
          <t>Inclusive</t>
        </is>
      </c>
      <c r="I228" s="29" t="n">
        <v>35</v>
      </c>
      <c r="J228" s="27" t="inlineStr">
        <is>
          <t>Inclusive</t>
        </is>
      </c>
      <c r="K228" s="29" t="n">
        <v>59</v>
      </c>
      <c r="L228" s="29" t="n">
        <v>0</v>
      </c>
      <c r="M228" s="33" t="n">
        <v>1</v>
      </c>
      <c r="N228" s="27" t="inlineStr">
        <is>
          <t>Yes</t>
        </is>
      </c>
      <c r="O228" s="29" t="n">
        <v>0</v>
      </c>
      <c r="P228" s="30" t="n">
        <v>450</v>
      </c>
      <c r="Q228" s="31" t="inlineStr">
        <is>
          <t>In Stock</t>
        </is>
      </c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12.5" customHeight="1" s="85">
      <c r="A229" s="27" t="inlineStr">
        <is>
          <t>DBL CORN FLOUR 150GM</t>
        </is>
      </c>
      <c r="B229" s="27" t="n"/>
      <c r="C229" s="27" t="inlineStr">
        <is>
          <t>Grains &amp; Flours</t>
        </is>
      </c>
      <c r="D229" s="28" t="inlineStr">
        <is>
          <t>8904011516500</t>
        </is>
      </c>
      <c r="E229" s="27" t="n"/>
      <c r="F229" s="29" t="n">
        <v>0</v>
      </c>
      <c r="G229" s="29" t="n">
        <v>45</v>
      </c>
      <c r="H229" s="27" t="inlineStr">
        <is>
          <t>Inclusive</t>
        </is>
      </c>
      <c r="I229" s="29" t="n">
        <v>32</v>
      </c>
      <c r="J229" s="27" t="inlineStr">
        <is>
          <t>Inclusive</t>
        </is>
      </c>
      <c r="K229" s="29" t="n">
        <v>45</v>
      </c>
      <c r="L229" s="29" t="n">
        <v>3</v>
      </c>
      <c r="M229" s="33" t="n">
        <v>1</v>
      </c>
      <c r="N229" s="27" t="inlineStr">
        <is>
          <t>Yes</t>
        </is>
      </c>
      <c r="O229" s="29" t="n">
        <v>0</v>
      </c>
      <c r="P229" s="30" t="n">
        <v>450</v>
      </c>
      <c r="Q229" s="31" t="inlineStr">
        <is>
          <t>In Stock</t>
        </is>
      </c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12.5" customHeight="1" s="85">
      <c r="A230" s="27" t="inlineStr">
        <is>
          <t>DBL CUT MANGO PKL 200GM</t>
        </is>
      </c>
      <c r="B230" s="27" t="n"/>
      <c r="C230" s="27" t="inlineStr">
        <is>
          <t>Pickles</t>
        </is>
      </c>
      <c r="D230" s="28" t="inlineStr">
        <is>
          <t>8904011506679</t>
        </is>
      </c>
      <c r="E230" s="27" t="n"/>
      <c r="F230" s="29" t="n">
        <v>0</v>
      </c>
      <c r="G230" s="29" t="n">
        <v>48</v>
      </c>
      <c r="H230" s="27" t="inlineStr">
        <is>
          <t>Inclusive</t>
        </is>
      </c>
      <c r="I230" s="29" t="n">
        <v>42</v>
      </c>
      <c r="J230" s="27" t="inlineStr">
        <is>
          <t>Inclusive</t>
        </is>
      </c>
      <c r="K230" s="29" t="n">
        <v>48</v>
      </c>
      <c r="L230" s="29" t="n">
        <v>0</v>
      </c>
      <c r="M230" s="33" t="n">
        <v>1</v>
      </c>
      <c r="N230" s="27" t="inlineStr">
        <is>
          <t>Yes</t>
        </is>
      </c>
      <c r="O230" s="29" t="n">
        <v>0</v>
      </c>
      <c r="P230" s="30" t="n">
        <v>450</v>
      </c>
      <c r="Q230" s="31" t="inlineStr">
        <is>
          <t>In Stock</t>
        </is>
      </c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12.5" customHeight="1" s="85">
      <c r="A231" s="27" t="inlineStr">
        <is>
          <t>DBL CUT MANGO PKL 400GM</t>
        </is>
      </c>
      <c r="B231" s="27" t="n"/>
      <c r="C231" s="27" t="inlineStr">
        <is>
          <t>Pickles</t>
        </is>
      </c>
      <c r="D231" s="28" t="inlineStr">
        <is>
          <t>8904011506518</t>
        </is>
      </c>
      <c r="E231" s="27" t="n"/>
      <c r="F231" s="29" t="n">
        <v>0</v>
      </c>
      <c r="G231" s="29" t="n">
        <v>99</v>
      </c>
      <c r="H231" s="27" t="inlineStr">
        <is>
          <t>Inclusive</t>
        </is>
      </c>
      <c r="I231" s="29" t="n">
        <v>75</v>
      </c>
      <c r="J231" s="27" t="inlineStr">
        <is>
          <t>Inclusive</t>
        </is>
      </c>
      <c r="K231" s="29" t="n">
        <v>99</v>
      </c>
      <c r="L231" s="29" t="n">
        <v>0</v>
      </c>
      <c r="M231" s="33" t="n">
        <v>1</v>
      </c>
      <c r="N231" s="27" t="inlineStr">
        <is>
          <t>Yes</t>
        </is>
      </c>
      <c r="O231" s="29" t="n">
        <v>0</v>
      </c>
      <c r="P231" s="30" t="n">
        <v>450</v>
      </c>
      <c r="Q231" s="31" t="inlineStr">
        <is>
          <t>In Stock</t>
        </is>
      </c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12.5" customHeight="1" s="85">
      <c r="A232" s="27" t="inlineStr">
        <is>
          <t>DBL DATES PICKLE 200GM</t>
        </is>
      </c>
      <c r="B232" s="27" t="n"/>
      <c r="C232" s="27" t="inlineStr">
        <is>
          <t>Pickles</t>
        </is>
      </c>
      <c r="D232" s="28" t="inlineStr">
        <is>
          <t>8904011506693</t>
        </is>
      </c>
      <c r="E232" s="27" t="n"/>
      <c r="F232" s="29" t="n">
        <v>0</v>
      </c>
      <c r="G232" s="29" t="n">
        <v>75</v>
      </c>
      <c r="H232" s="27" t="inlineStr">
        <is>
          <t>Exclusive</t>
        </is>
      </c>
      <c r="I232" s="29" t="n">
        <v>60</v>
      </c>
      <c r="J232" s="27" t="inlineStr">
        <is>
          <t>Exclusive</t>
        </is>
      </c>
      <c r="K232" s="29" t="n">
        <v>75</v>
      </c>
      <c r="L232" s="29" t="n">
        <v>1</v>
      </c>
      <c r="M232" s="33" t="n">
        <v>1</v>
      </c>
      <c r="N232" s="27" t="inlineStr">
        <is>
          <t>Yes</t>
        </is>
      </c>
      <c r="O232" s="29" t="n">
        <v>0</v>
      </c>
      <c r="P232" s="30" t="n">
        <v>450</v>
      </c>
      <c r="Q232" s="31" t="inlineStr">
        <is>
          <t>In Stock</t>
        </is>
      </c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12.5" customHeight="1" s="85">
      <c r="A233" s="27" t="inlineStr">
        <is>
          <t>DBL DATES PICKLE 400GM</t>
        </is>
      </c>
      <c r="B233" s="27" t="n"/>
      <c r="C233" s="27" t="inlineStr">
        <is>
          <t>Pickles</t>
        </is>
      </c>
      <c r="D233" s="28" t="inlineStr">
        <is>
          <t>8904011506655</t>
        </is>
      </c>
      <c r="E233" s="27" t="n"/>
      <c r="F233" s="29" t="n">
        <v>0</v>
      </c>
      <c r="G233" s="29" t="n">
        <v>149</v>
      </c>
      <c r="H233" s="27" t="inlineStr">
        <is>
          <t>Exclusive</t>
        </is>
      </c>
      <c r="I233" s="29" t="n">
        <v>115</v>
      </c>
      <c r="J233" s="27" t="inlineStr">
        <is>
          <t>Exclusive</t>
        </is>
      </c>
      <c r="K233" s="29" t="n">
        <v>149</v>
      </c>
      <c r="L233" s="29" t="n">
        <v>2</v>
      </c>
      <c r="M233" s="33" t="n">
        <v>1</v>
      </c>
      <c r="N233" s="27" t="inlineStr">
        <is>
          <t>Yes</t>
        </is>
      </c>
      <c r="O233" s="29" t="n">
        <v>0</v>
      </c>
      <c r="P233" s="30" t="n">
        <v>450</v>
      </c>
      <c r="Q233" s="31" t="inlineStr">
        <is>
          <t>In Stock</t>
        </is>
      </c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12.5" customHeight="1" s="85">
      <c r="A234" s="27" t="inlineStr">
        <is>
          <t>DBL EACY IDIYAPPAM PODI 500GM</t>
        </is>
      </c>
      <c r="B234" s="27" t="n"/>
      <c r="C234" s="27" t="inlineStr">
        <is>
          <t>Grains &amp; Flours</t>
        </is>
      </c>
      <c r="D234" s="28" t="inlineStr">
        <is>
          <t>8904011516609</t>
        </is>
      </c>
      <c r="E234" s="27" t="n"/>
      <c r="F234" s="29" t="n">
        <v>0</v>
      </c>
      <c r="G234" s="29" t="n">
        <v>62</v>
      </c>
      <c r="H234" s="27" t="inlineStr">
        <is>
          <t>Exclusive</t>
        </is>
      </c>
      <c r="I234" s="29" t="n">
        <v>47</v>
      </c>
      <c r="J234" s="27" t="inlineStr">
        <is>
          <t>Exclusive</t>
        </is>
      </c>
      <c r="K234" s="29" t="n">
        <v>62</v>
      </c>
      <c r="L234" s="29" t="n">
        <v>0</v>
      </c>
      <c r="M234" s="33" t="n">
        <v>1</v>
      </c>
      <c r="N234" s="27" t="inlineStr">
        <is>
          <t>Yes</t>
        </is>
      </c>
      <c r="O234" s="29" t="n">
        <v>0</v>
      </c>
      <c r="P234" s="30" t="n">
        <v>450</v>
      </c>
      <c r="Q234" s="31" t="inlineStr">
        <is>
          <t>In Stock</t>
        </is>
      </c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12.5" customHeight="1" s="85">
      <c r="A235" s="27" t="inlineStr">
        <is>
          <t>DBL EASY PALAPPAM MIX 1KG</t>
        </is>
      </c>
      <c r="B235" s="27" t="n"/>
      <c r="C235" s="27" t="inlineStr">
        <is>
          <t>Grains &amp; Flours</t>
        </is>
      </c>
      <c r="D235" s="28" t="inlineStr">
        <is>
          <t>8904011503074</t>
        </is>
      </c>
      <c r="E235" s="27" t="n"/>
      <c r="F235" s="29" t="n">
        <v>0</v>
      </c>
      <c r="G235" s="29" t="n">
        <v>129</v>
      </c>
      <c r="H235" s="27" t="inlineStr">
        <is>
          <t>Inclusive</t>
        </is>
      </c>
      <c r="I235" s="29" t="n">
        <v>110</v>
      </c>
      <c r="J235" s="27" t="inlineStr">
        <is>
          <t>Inclusive</t>
        </is>
      </c>
      <c r="K235" s="29" t="n">
        <v>129</v>
      </c>
      <c r="L235" s="29" t="n">
        <v>0</v>
      </c>
      <c r="M235" s="33" t="n">
        <v>1</v>
      </c>
      <c r="N235" s="27" t="inlineStr">
        <is>
          <t>Yes</t>
        </is>
      </c>
      <c r="O235" s="29" t="n">
        <v>0</v>
      </c>
      <c r="P235" s="30" t="n">
        <v>450</v>
      </c>
      <c r="Q235" s="31" t="inlineStr">
        <is>
          <t>In Stock</t>
        </is>
      </c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12.5" customHeight="1" s="85">
      <c r="A236" s="27" t="inlineStr">
        <is>
          <t>DBL EASY PALAPPAM MIX 500GM</t>
        </is>
      </c>
      <c r="B236" s="27" t="n"/>
      <c r="C236" s="27" t="inlineStr">
        <is>
          <t>Grains &amp; Flours</t>
        </is>
      </c>
      <c r="D236" s="28" t="inlineStr">
        <is>
          <t>8904011505139</t>
        </is>
      </c>
      <c r="E236" s="27" t="n"/>
      <c r="F236" s="29" t="n">
        <v>0</v>
      </c>
      <c r="G236" s="29" t="n">
        <v>69</v>
      </c>
      <c r="H236" s="27" t="inlineStr">
        <is>
          <t>Inclusive</t>
        </is>
      </c>
      <c r="I236" s="29" t="n">
        <v>59</v>
      </c>
      <c r="J236" s="27" t="inlineStr">
        <is>
          <t>Inclusive</t>
        </is>
      </c>
      <c r="K236" s="29" t="n">
        <v>69</v>
      </c>
      <c r="L236" s="29" t="n">
        <v>0</v>
      </c>
      <c r="M236" s="33" t="n">
        <v>1</v>
      </c>
      <c r="N236" s="27" t="inlineStr">
        <is>
          <t>Yes</t>
        </is>
      </c>
      <c r="O236" s="29" t="n">
        <v>0</v>
      </c>
      <c r="P236" s="30" t="n">
        <v>450</v>
      </c>
      <c r="Q236" s="31" t="inlineStr">
        <is>
          <t>In Stock</t>
        </is>
      </c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12.5" customHeight="1" s="85">
      <c r="A237" s="27" t="inlineStr">
        <is>
          <t>DBL EGG ROAST MASALA</t>
        </is>
      </c>
      <c r="B237" s="27" t="n"/>
      <c r="C237" s="27" t="inlineStr">
        <is>
          <t>Masalas &amp; Spices</t>
        </is>
      </c>
      <c r="D237" s="28" t="inlineStr">
        <is>
          <t>8904011504439</t>
        </is>
      </c>
      <c r="E237" s="27" t="n"/>
      <c r="F237" s="29" t="n">
        <v>0</v>
      </c>
      <c r="G237" s="29" t="n">
        <v>52</v>
      </c>
      <c r="H237" s="27" t="inlineStr">
        <is>
          <t>Inclusive</t>
        </is>
      </c>
      <c r="I237" s="29" t="n">
        <v>32</v>
      </c>
      <c r="J237" s="27" t="inlineStr">
        <is>
          <t>Inclusive</t>
        </is>
      </c>
      <c r="K237" s="29" t="n">
        <v>52</v>
      </c>
      <c r="L237" s="29" t="n">
        <v>56</v>
      </c>
      <c r="M237" s="33" t="n">
        <v>1</v>
      </c>
      <c r="N237" s="27" t="inlineStr">
        <is>
          <t>Yes</t>
        </is>
      </c>
      <c r="O237" s="29" t="n">
        <v>0</v>
      </c>
      <c r="P237" s="30" t="n">
        <v>450</v>
      </c>
      <c r="Q237" s="31" t="inlineStr">
        <is>
          <t>In Stock</t>
        </is>
      </c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12.5" customHeight="1" s="85">
      <c r="A238" s="27" t="inlineStr">
        <is>
          <t>DBL FISH MASALA</t>
        </is>
      </c>
      <c r="B238" s="27" t="n"/>
      <c r="C238" s="27" t="inlineStr">
        <is>
          <t>Masalas &amp; Spices</t>
        </is>
      </c>
      <c r="D238" s="28" t="inlineStr">
        <is>
          <t>8904011504422</t>
        </is>
      </c>
      <c r="E238" s="27" t="n"/>
      <c r="F238" s="29" t="n">
        <v>0</v>
      </c>
      <c r="G238" s="29" t="n">
        <v>59</v>
      </c>
      <c r="H238" s="27" t="inlineStr">
        <is>
          <t>Inclusive</t>
        </is>
      </c>
      <c r="I238" s="29" t="n">
        <v>35</v>
      </c>
      <c r="J238" s="27" t="inlineStr">
        <is>
          <t>Inclusive</t>
        </is>
      </c>
      <c r="K238" s="29" t="n">
        <v>59</v>
      </c>
      <c r="L238" s="29" t="n">
        <v>6</v>
      </c>
      <c r="M238" s="33" t="n">
        <v>1</v>
      </c>
      <c r="N238" s="27" t="inlineStr">
        <is>
          <t>Yes</t>
        </is>
      </c>
      <c r="O238" s="29" t="n">
        <v>0</v>
      </c>
      <c r="P238" s="30" t="n">
        <v>450</v>
      </c>
      <c r="Q238" s="31" t="inlineStr">
        <is>
          <t>In Stock</t>
        </is>
      </c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12.5" customHeight="1" s="85">
      <c r="A239" s="27" t="inlineStr">
        <is>
          <t>DBL FISH PICKLE 200 GM</t>
        </is>
      </c>
      <c r="B239" s="27" t="n"/>
      <c r="C239" s="27" t="inlineStr">
        <is>
          <t>Pickles</t>
        </is>
      </c>
      <c r="D239" s="28" t="inlineStr">
        <is>
          <t>8904011503258</t>
        </is>
      </c>
      <c r="E239" s="29" t="n">
        <v>30</v>
      </c>
      <c r="F239" s="29" t="n">
        <v>0</v>
      </c>
      <c r="G239" s="29" t="n">
        <v>99</v>
      </c>
      <c r="H239" s="27" t="inlineStr">
        <is>
          <t>Exclusive</t>
        </is>
      </c>
      <c r="I239" s="29" t="n">
        <v>75</v>
      </c>
      <c r="J239" s="27" t="inlineStr">
        <is>
          <t>Exclusive</t>
        </is>
      </c>
      <c r="K239" s="29" t="n">
        <v>99</v>
      </c>
      <c r="L239" s="29" t="n">
        <v>0</v>
      </c>
      <c r="M239" s="33" t="n">
        <v>1</v>
      </c>
      <c r="N239" s="27" t="inlineStr">
        <is>
          <t>Yes</t>
        </is>
      </c>
      <c r="O239" s="29" t="n">
        <v>0</v>
      </c>
      <c r="P239" s="30" t="n">
        <v>450</v>
      </c>
      <c r="Q239" s="31" t="inlineStr">
        <is>
          <t>In Stock</t>
        </is>
      </c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12.5" customHeight="1" s="85">
      <c r="A240" s="27" t="inlineStr">
        <is>
          <t>DBL FISH PICKLE 400GM</t>
        </is>
      </c>
      <c r="B240" s="27" t="n"/>
      <c r="C240" s="27" t="inlineStr">
        <is>
          <t>Pickles</t>
        </is>
      </c>
      <c r="D240" s="28" t="inlineStr">
        <is>
          <t>8904011506631</t>
        </is>
      </c>
      <c r="E240" s="27" t="n"/>
      <c r="F240" s="29" t="n">
        <v>0</v>
      </c>
      <c r="G240" s="29" t="n">
        <v>199</v>
      </c>
      <c r="H240" s="27" t="inlineStr">
        <is>
          <t>Inclusive</t>
        </is>
      </c>
      <c r="I240" s="29" t="n">
        <v>140</v>
      </c>
      <c r="J240" s="27" t="inlineStr">
        <is>
          <t>Inclusive</t>
        </is>
      </c>
      <c r="K240" s="29" t="n">
        <v>199</v>
      </c>
      <c r="L240" s="29" t="n">
        <v>0</v>
      </c>
      <c r="M240" s="33" t="n">
        <v>1</v>
      </c>
      <c r="N240" s="27" t="inlineStr">
        <is>
          <t>Yes</t>
        </is>
      </c>
      <c r="O240" s="29" t="n">
        <v>0</v>
      </c>
      <c r="P240" s="30" t="n">
        <v>450</v>
      </c>
      <c r="Q240" s="31" t="inlineStr">
        <is>
          <t>In Stock</t>
        </is>
      </c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12.5" customHeight="1" s="85">
      <c r="A241" s="27" t="inlineStr">
        <is>
          <t>DBL GARLIC PKL 200GM</t>
        </is>
      </c>
      <c r="B241" s="27" t="n"/>
      <c r="C241" s="27" t="inlineStr">
        <is>
          <t>Pickles</t>
        </is>
      </c>
      <c r="D241" s="28" t="inlineStr">
        <is>
          <t>8904011506716</t>
        </is>
      </c>
      <c r="E241" s="27" t="n"/>
      <c r="F241" s="29" t="n">
        <v>0</v>
      </c>
      <c r="G241" s="29" t="n">
        <v>62</v>
      </c>
      <c r="H241" s="27" t="inlineStr">
        <is>
          <t>Inclusive</t>
        </is>
      </c>
      <c r="I241" s="29" t="n">
        <v>54</v>
      </c>
      <c r="J241" s="27" t="inlineStr">
        <is>
          <t>Inclusive</t>
        </is>
      </c>
      <c r="K241" s="29" t="n">
        <v>62</v>
      </c>
      <c r="L241" s="29" t="n">
        <v>0</v>
      </c>
      <c r="M241" s="33" t="n">
        <v>1</v>
      </c>
      <c r="N241" s="27" t="inlineStr">
        <is>
          <t>Yes</t>
        </is>
      </c>
      <c r="O241" s="29" t="n">
        <v>0</v>
      </c>
      <c r="P241" s="30" t="n">
        <v>450</v>
      </c>
      <c r="Q241" s="31" t="inlineStr">
        <is>
          <t>In Stock</t>
        </is>
      </c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12.5" customHeight="1" s="85">
      <c r="A242" s="27" t="inlineStr">
        <is>
          <t>DBL GARLIC PKL 400GM</t>
        </is>
      </c>
      <c r="B242" s="27" t="n"/>
      <c r="C242" s="27" t="inlineStr">
        <is>
          <t>Pickles</t>
        </is>
      </c>
      <c r="D242" s="28" t="inlineStr">
        <is>
          <t>8904011506549</t>
        </is>
      </c>
      <c r="E242" s="27" t="n"/>
      <c r="F242" s="29" t="n">
        <v>0</v>
      </c>
      <c r="G242" s="29" t="n">
        <v>120</v>
      </c>
      <c r="H242" s="27" t="inlineStr">
        <is>
          <t>Inclusive</t>
        </is>
      </c>
      <c r="I242" s="29" t="n">
        <v>104</v>
      </c>
      <c r="J242" s="27" t="inlineStr">
        <is>
          <t>Inclusive</t>
        </is>
      </c>
      <c r="K242" s="29" t="n">
        <v>120</v>
      </c>
      <c r="L242" s="29" t="n">
        <v>1</v>
      </c>
      <c r="M242" s="33" t="n">
        <v>1</v>
      </c>
      <c r="N242" s="27" t="inlineStr">
        <is>
          <t>Yes</t>
        </is>
      </c>
      <c r="O242" s="29" t="n">
        <v>0</v>
      </c>
      <c r="P242" s="30" t="n">
        <v>450</v>
      </c>
      <c r="Q242" s="31" t="inlineStr">
        <is>
          <t>In Stock</t>
        </is>
      </c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12.5" customHeight="1" s="85">
      <c r="A243" s="27" t="inlineStr">
        <is>
          <t>DBL GINGER COFFEE</t>
        </is>
      </c>
      <c r="B243" s="27" t="n"/>
      <c r="C243" s="27" t="inlineStr">
        <is>
          <t>Beverages</t>
        </is>
      </c>
      <c r="D243" s="28" t="inlineStr">
        <is>
          <t>8904011505399</t>
        </is>
      </c>
      <c r="E243" s="27" t="n"/>
      <c r="F243" s="29" t="n">
        <v>0</v>
      </c>
      <c r="G243" s="29" t="n">
        <v>99</v>
      </c>
      <c r="H243" s="27" t="inlineStr">
        <is>
          <t>Exclusive</t>
        </is>
      </c>
      <c r="I243" s="29" t="n">
        <v>75</v>
      </c>
      <c r="J243" s="27" t="inlineStr">
        <is>
          <t>Exclusive</t>
        </is>
      </c>
      <c r="K243" s="29" t="n">
        <v>99</v>
      </c>
      <c r="L243" s="29" t="n">
        <v>3</v>
      </c>
      <c r="M243" s="33" t="n">
        <v>1</v>
      </c>
      <c r="N243" s="27" t="inlineStr">
        <is>
          <t>Yes</t>
        </is>
      </c>
      <c r="O243" s="29" t="n">
        <v>0</v>
      </c>
      <c r="P243" s="30" t="n">
        <v>450</v>
      </c>
      <c r="Q243" s="31" t="inlineStr">
        <is>
          <t>In Stock</t>
        </is>
      </c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12.5" customHeight="1" s="85">
      <c r="A244" s="27" t="inlineStr">
        <is>
          <t>DBL GINGER PICKLE 400GM</t>
        </is>
      </c>
      <c r="B244" s="27" t="n"/>
      <c r="C244" s="27" t="inlineStr">
        <is>
          <t>Pickles</t>
        </is>
      </c>
      <c r="D244" s="28" t="inlineStr">
        <is>
          <t>8904011506600</t>
        </is>
      </c>
      <c r="E244" s="27" t="n"/>
      <c r="F244" s="29" t="n">
        <v>0</v>
      </c>
      <c r="G244" s="29" t="n">
        <v>119</v>
      </c>
      <c r="H244" s="27" t="inlineStr">
        <is>
          <t>Inclusive</t>
        </is>
      </c>
      <c r="I244" s="29" t="n">
        <v>104</v>
      </c>
      <c r="J244" s="27" t="inlineStr">
        <is>
          <t>Inclusive</t>
        </is>
      </c>
      <c r="K244" s="29" t="n">
        <v>119</v>
      </c>
      <c r="L244" s="29" t="n">
        <v>0</v>
      </c>
      <c r="M244" s="33" t="n">
        <v>1</v>
      </c>
      <c r="N244" s="27" t="inlineStr">
        <is>
          <t>Yes</t>
        </is>
      </c>
      <c r="O244" s="29" t="n">
        <v>0</v>
      </c>
      <c r="P244" s="30" t="n">
        <v>450</v>
      </c>
      <c r="Q244" s="31" t="inlineStr">
        <is>
          <t>In Stock</t>
        </is>
      </c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12.5" customHeight="1" s="85">
      <c r="A245" s="27" t="inlineStr">
        <is>
          <t>DBL HOT &amp; SWEET LIME PICKLE 400GM</t>
        </is>
      </c>
      <c r="B245" s="27" t="n"/>
      <c r="C245" s="27" t="inlineStr">
        <is>
          <t>Pickles</t>
        </is>
      </c>
      <c r="D245" s="32" t="inlineStr">
        <is>
          <t>100116</t>
        </is>
      </c>
      <c r="E245" s="27" t="n"/>
      <c r="F245" s="29" t="n">
        <v>0</v>
      </c>
      <c r="G245" s="29" t="n">
        <v>129</v>
      </c>
      <c r="H245" s="27" t="inlineStr">
        <is>
          <t>Inclusive</t>
        </is>
      </c>
      <c r="I245" s="29" t="n">
        <v>100</v>
      </c>
      <c r="J245" s="27" t="inlineStr">
        <is>
          <t>Inclusive</t>
        </is>
      </c>
      <c r="K245" s="29" t="n">
        <v>129</v>
      </c>
      <c r="L245" s="29" t="n">
        <v>2</v>
      </c>
      <c r="M245" s="33" t="n">
        <v>1</v>
      </c>
      <c r="N245" s="27" t="inlineStr">
        <is>
          <t>Yes</t>
        </is>
      </c>
      <c r="O245" s="29" t="n">
        <v>0</v>
      </c>
      <c r="P245" s="30" t="n">
        <v>450</v>
      </c>
      <c r="Q245" s="31" t="inlineStr">
        <is>
          <t>In Stock</t>
        </is>
      </c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2.5" customHeight="1" s="85">
      <c r="A246" s="27" t="inlineStr">
        <is>
          <t>DBL INDIAN TAMARIND 500GM</t>
        </is>
      </c>
      <c r="B246" s="27" t="n"/>
      <c r="C246" s="27" t="inlineStr">
        <is>
          <t>Masalas &amp; Spices</t>
        </is>
      </c>
      <c r="D246" s="28" t="inlineStr">
        <is>
          <t>8904011508086</t>
        </is>
      </c>
      <c r="E246" s="27" t="n"/>
      <c r="F246" s="29" t="n">
        <v>0</v>
      </c>
      <c r="G246" s="29" t="n">
        <v>180</v>
      </c>
      <c r="H246" s="27" t="inlineStr">
        <is>
          <t>Exclusive</t>
        </is>
      </c>
      <c r="I246" s="29" t="n">
        <v>135</v>
      </c>
      <c r="J246" s="27" t="inlineStr">
        <is>
          <t>Exclusive</t>
        </is>
      </c>
      <c r="K246" s="29" t="n">
        <v>140</v>
      </c>
      <c r="L246" s="29" t="n">
        <v>1</v>
      </c>
      <c r="M246" s="33" t="n">
        <v>1</v>
      </c>
      <c r="N246" s="27" t="inlineStr">
        <is>
          <t>Yes</t>
        </is>
      </c>
      <c r="O246" s="29" t="n">
        <v>0</v>
      </c>
      <c r="P246" s="30" t="n">
        <v>450</v>
      </c>
      <c r="Q246" s="31" t="inlineStr">
        <is>
          <t>In Stock</t>
        </is>
      </c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12.5" customHeight="1" s="85">
      <c r="A247" s="27" t="inlineStr">
        <is>
          <t>DBL INSTAND SADYA PALADA 200GM</t>
        </is>
      </c>
      <c r="B247" s="27" t="n"/>
      <c r="C247" s="27" t="inlineStr">
        <is>
          <t>Ready to Eat &amp; Mixes</t>
        </is>
      </c>
      <c r="D247" s="28" t="inlineStr">
        <is>
          <t>8904011507089</t>
        </is>
      </c>
      <c r="E247" s="27" t="n"/>
      <c r="F247" s="29" t="n">
        <v>0</v>
      </c>
      <c r="G247" s="29" t="n">
        <v>95</v>
      </c>
      <c r="H247" s="27" t="inlineStr">
        <is>
          <t>Inclusive</t>
        </is>
      </c>
      <c r="I247" s="29" t="n">
        <v>85</v>
      </c>
      <c r="J247" s="27" t="inlineStr">
        <is>
          <t>Inclusive</t>
        </is>
      </c>
      <c r="K247" s="29" t="n">
        <v>95</v>
      </c>
      <c r="L247" s="29" t="n">
        <v>1</v>
      </c>
      <c r="M247" s="33" t="n">
        <v>1</v>
      </c>
      <c r="N247" s="27" t="inlineStr">
        <is>
          <t>Yes</t>
        </is>
      </c>
      <c r="O247" s="29" t="n">
        <v>0</v>
      </c>
      <c r="P247" s="30" t="n">
        <v>450</v>
      </c>
      <c r="Q247" s="31" t="inlineStr">
        <is>
          <t>In Stock</t>
        </is>
      </c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5" customHeight="1" s="85">
      <c r="A248" s="27" t="inlineStr">
        <is>
          <t>DBL INSTANT KHEER MIX 180GM</t>
        </is>
      </c>
      <c r="B248" s="27" t="n"/>
      <c r="C248" s="27" t="inlineStr">
        <is>
          <t>Ready to Eat &amp; Mixes</t>
        </is>
      </c>
      <c r="D248" s="28" t="inlineStr">
        <is>
          <t>8904011516708</t>
        </is>
      </c>
      <c r="E248" s="27" t="n"/>
      <c r="F248" s="29" t="n">
        <v>0</v>
      </c>
      <c r="G248" s="29" t="n">
        <v>80</v>
      </c>
      <c r="H248" s="27" t="inlineStr">
        <is>
          <t>Inclusive</t>
        </is>
      </c>
      <c r="I248" s="29" t="n">
        <v>60</v>
      </c>
      <c r="J248" s="27" t="inlineStr">
        <is>
          <t>Inclusive</t>
        </is>
      </c>
      <c r="K248" s="29" t="n">
        <v>80</v>
      </c>
      <c r="L248" s="29" t="n">
        <v>1</v>
      </c>
      <c r="M248" s="33" t="n">
        <v>1</v>
      </c>
      <c r="N248" s="27" t="inlineStr">
        <is>
          <t>Yes</t>
        </is>
      </c>
      <c r="O248" s="29" t="n">
        <v>0</v>
      </c>
      <c r="P248" s="30" t="n">
        <v>450</v>
      </c>
      <c r="Q248" s="31" t="inlineStr">
        <is>
          <t>In Stock</t>
        </is>
      </c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5" customHeight="1" s="85">
      <c r="A249" s="27" t="inlineStr">
        <is>
          <t>DBL INSTANT PARIPPU PRADHAMAN 200GM</t>
        </is>
      </c>
      <c r="B249" s="27" t="n"/>
      <c r="C249" s="27" t="inlineStr">
        <is>
          <t>Ready to Eat &amp; Mixes</t>
        </is>
      </c>
      <c r="D249" s="28" t="inlineStr">
        <is>
          <t>8904011501117</t>
        </is>
      </c>
      <c r="E249" s="27" t="n"/>
      <c r="F249" s="29" t="n">
        <v>0</v>
      </c>
      <c r="G249" s="29" t="n">
        <v>129</v>
      </c>
      <c r="H249" s="27" t="inlineStr">
        <is>
          <t>Inclusive</t>
        </is>
      </c>
      <c r="I249" s="29" t="n">
        <v>90</v>
      </c>
      <c r="J249" s="27" t="inlineStr">
        <is>
          <t>Inclusive</t>
        </is>
      </c>
      <c r="K249" s="29" t="n">
        <v>129</v>
      </c>
      <c r="L249" s="29" t="n">
        <v>1</v>
      </c>
      <c r="M249" s="33" t="n">
        <v>1</v>
      </c>
      <c r="N249" s="27" t="inlineStr">
        <is>
          <t>Yes</t>
        </is>
      </c>
      <c r="O249" s="29" t="n">
        <v>0</v>
      </c>
      <c r="P249" s="30" t="n">
        <v>450</v>
      </c>
      <c r="Q249" s="31" t="inlineStr">
        <is>
          <t>In Stock</t>
        </is>
      </c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5" customHeight="1" s="85">
      <c r="A250" s="27" t="inlineStr">
        <is>
          <t>DBL JEERAKASALA RICE</t>
        </is>
      </c>
      <c r="B250" s="27" t="n"/>
      <c r="C250" s="27" t="inlineStr">
        <is>
          <t>Rice Items</t>
        </is>
      </c>
      <c r="D250" s="28" t="inlineStr">
        <is>
          <t>8904011505405</t>
        </is>
      </c>
      <c r="E250" s="27" t="n"/>
      <c r="F250" s="29" t="n">
        <v>0</v>
      </c>
      <c r="G250" s="29" t="n">
        <v>199</v>
      </c>
      <c r="H250" s="27" t="inlineStr">
        <is>
          <t>Inclusive</t>
        </is>
      </c>
      <c r="I250" s="29" t="n">
        <v>150</v>
      </c>
      <c r="J250" s="27" t="inlineStr">
        <is>
          <t>Inclusive</t>
        </is>
      </c>
      <c r="K250" s="29" t="n">
        <v>199</v>
      </c>
      <c r="L250" s="29" t="n">
        <v>0</v>
      </c>
      <c r="M250" s="33" t="n">
        <v>1</v>
      </c>
      <c r="N250" s="27" t="inlineStr">
        <is>
          <t>Yes</t>
        </is>
      </c>
      <c r="O250" s="29" t="n">
        <v>0</v>
      </c>
      <c r="P250" s="30" t="n">
        <v>450</v>
      </c>
      <c r="Q250" s="31" t="inlineStr">
        <is>
          <t>In Stock</t>
        </is>
      </c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5" customHeight="1" s="85">
      <c r="A251" s="27" t="inlineStr">
        <is>
          <t>DBL JYOTHI VADI 5KG</t>
        </is>
      </c>
      <c r="B251" s="27" t="n"/>
      <c r="C251" s="27" t="inlineStr">
        <is>
          <t>Rice Items</t>
        </is>
      </c>
      <c r="D251" s="28" t="inlineStr">
        <is>
          <t>8904011510218</t>
        </is>
      </c>
      <c r="E251" s="27" t="n"/>
      <c r="F251" s="29" t="n">
        <v>0</v>
      </c>
      <c r="G251" s="29" t="n">
        <v>440</v>
      </c>
      <c r="H251" s="27" t="inlineStr">
        <is>
          <t>Inclusive</t>
        </is>
      </c>
      <c r="I251" s="29" t="n">
        <v>360</v>
      </c>
      <c r="J251" s="27" t="inlineStr">
        <is>
          <t>Inclusive</t>
        </is>
      </c>
      <c r="K251" s="29" t="n">
        <v>440</v>
      </c>
      <c r="L251" s="29" t="n">
        <v>0</v>
      </c>
      <c r="M251" s="33" t="n">
        <v>1</v>
      </c>
      <c r="N251" s="27" t="inlineStr">
        <is>
          <t>Yes</t>
        </is>
      </c>
      <c r="O251" s="29" t="n">
        <v>0</v>
      </c>
      <c r="P251" s="30" t="n">
        <v>450</v>
      </c>
      <c r="Q251" s="31" t="inlineStr">
        <is>
          <t>In Stock</t>
        </is>
      </c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5" customHeight="1" s="85">
      <c r="A252" s="27" t="inlineStr">
        <is>
          <t>DBL JYOTI VADI RICE 10KG</t>
        </is>
      </c>
      <c r="B252" s="27" t="n"/>
      <c r="C252" s="27" t="inlineStr">
        <is>
          <t>Rice Items</t>
        </is>
      </c>
      <c r="D252" s="28" t="inlineStr">
        <is>
          <t>8904011510225</t>
        </is>
      </c>
      <c r="E252" s="27" t="n"/>
      <c r="F252" s="29" t="n">
        <v>0</v>
      </c>
      <c r="G252" s="29" t="n">
        <v>885</v>
      </c>
      <c r="H252" s="27" t="inlineStr">
        <is>
          <t>Exclusive</t>
        </is>
      </c>
      <c r="I252" s="29" t="n">
        <v>800</v>
      </c>
      <c r="J252" s="27" t="inlineStr">
        <is>
          <t>Exclusive</t>
        </is>
      </c>
      <c r="K252" s="29" t="n">
        <v>885</v>
      </c>
      <c r="L252" s="29" t="n">
        <v>1</v>
      </c>
      <c r="M252" s="33" t="n">
        <v>1</v>
      </c>
      <c r="N252" s="27" t="inlineStr">
        <is>
          <t>Yes</t>
        </is>
      </c>
      <c r="O252" s="29" t="n">
        <v>0</v>
      </c>
      <c r="P252" s="30" t="n">
        <v>450</v>
      </c>
      <c r="Q252" s="31" t="inlineStr">
        <is>
          <t>In Stock</t>
        </is>
      </c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5" customHeight="1" s="85">
      <c r="A253" s="27" t="inlineStr">
        <is>
          <t>DBL KADUK MANGO PICKLE 400GM</t>
        </is>
      </c>
      <c r="B253" s="27" t="n"/>
      <c r="C253" s="27" t="inlineStr">
        <is>
          <t>Pickles</t>
        </is>
      </c>
      <c r="D253" s="28" t="inlineStr">
        <is>
          <t>8904011500387</t>
        </is>
      </c>
      <c r="E253" s="27" t="n"/>
      <c r="F253" s="29" t="n">
        <v>0</v>
      </c>
      <c r="G253" s="29" t="n">
        <v>119</v>
      </c>
      <c r="H253" s="27" t="inlineStr">
        <is>
          <t>Inclusive</t>
        </is>
      </c>
      <c r="I253" s="29" t="n">
        <v>90</v>
      </c>
      <c r="J253" s="27" t="inlineStr">
        <is>
          <t>Inclusive</t>
        </is>
      </c>
      <c r="K253" s="29" t="n">
        <v>119</v>
      </c>
      <c r="L253" s="29" t="n">
        <v>0</v>
      </c>
      <c r="M253" s="33" t="n">
        <v>1</v>
      </c>
      <c r="N253" s="27" t="inlineStr">
        <is>
          <t>Yes</t>
        </is>
      </c>
      <c r="O253" s="29" t="n">
        <v>0</v>
      </c>
      <c r="P253" s="30" t="n">
        <v>450</v>
      </c>
      <c r="Q253" s="31" t="inlineStr">
        <is>
          <t>In Stock</t>
        </is>
      </c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5" customHeight="1" s="85">
      <c r="A254" s="27" t="inlineStr">
        <is>
          <t>DBL LIME PICKLE 200GM</t>
        </is>
      </c>
      <c r="B254" s="27" t="n"/>
      <c r="C254" s="27" t="inlineStr">
        <is>
          <t>Pickles</t>
        </is>
      </c>
      <c r="D254" s="28" t="inlineStr">
        <is>
          <t>8904011506686</t>
        </is>
      </c>
      <c r="E254" s="27" t="n"/>
      <c r="F254" s="29" t="n">
        <v>0</v>
      </c>
      <c r="G254" s="29" t="n">
        <v>42</v>
      </c>
      <c r="H254" s="27" t="inlineStr">
        <is>
          <t>Exclusive</t>
        </is>
      </c>
      <c r="I254" s="29" t="n">
        <v>33</v>
      </c>
      <c r="J254" s="27" t="inlineStr">
        <is>
          <t>Exclusive</t>
        </is>
      </c>
      <c r="K254" s="29" t="n">
        <v>42</v>
      </c>
      <c r="L254" s="29" t="n">
        <v>0</v>
      </c>
      <c r="M254" s="33" t="n">
        <v>1</v>
      </c>
      <c r="N254" s="27" t="inlineStr">
        <is>
          <t>Yes</t>
        </is>
      </c>
      <c r="O254" s="29" t="n">
        <v>0</v>
      </c>
      <c r="P254" s="30" t="n">
        <v>450</v>
      </c>
      <c r="Q254" s="31" t="inlineStr">
        <is>
          <t>In Stock</t>
        </is>
      </c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5" customHeight="1" s="85">
      <c r="A255" s="27" t="inlineStr">
        <is>
          <t>DBL LIME PICKLE 400GM</t>
        </is>
      </c>
      <c r="B255" s="27" t="n"/>
      <c r="C255" s="27" t="inlineStr">
        <is>
          <t>Pickles</t>
        </is>
      </c>
      <c r="D255" s="28" t="inlineStr">
        <is>
          <t>8904011506532</t>
        </is>
      </c>
      <c r="E255" s="27" t="n"/>
      <c r="F255" s="29" t="n">
        <v>0</v>
      </c>
      <c r="G255" s="29" t="n">
        <v>99</v>
      </c>
      <c r="H255" s="27" t="inlineStr">
        <is>
          <t>Inclusive</t>
        </is>
      </c>
      <c r="I255" s="29" t="n">
        <v>86</v>
      </c>
      <c r="J255" s="27" t="inlineStr">
        <is>
          <t>Inclusive</t>
        </is>
      </c>
      <c r="K255" s="29" t="n">
        <v>99</v>
      </c>
      <c r="L255" s="29" t="n">
        <v>0</v>
      </c>
      <c r="M255" s="33" t="n">
        <v>1</v>
      </c>
      <c r="N255" s="27" t="inlineStr">
        <is>
          <t>Yes</t>
        </is>
      </c>
      <c r="O255" s="29" t="n">
        <v>0</v>
      </c>
      <c r="P255" s="30" t="n">
        <v>450</v>
      </c>
      <c r="Q255" s="31" t="inlineStr">
        <is>
          <t>In Stock</t>
        </is>
      </c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5" customHeight="1" s="85">
      <c r="A256" s="27" t="inlineStr">
        <is>
          <t>DBL LONG VERMICELLI 400GM</t>
        </is>
      </c>
      <c r="B256" s="27" t="n"/>
      <c r="C256" s="27" t="inlineStr">
        <is>
          <t>Grains &amp; Flours</t>
        </is>
      </c>
      <c r="D256" s="28" t="inlineStr">
        <is>
          <t>8904011515428</t>
        </is>
      </c>
      <c r="E256" s="27" t="n"/>
      <c r="F256" s="29" t="n">
        <v>0</v>
      </c>
      <c r="G256" s="29" t="n">
        <v>60</v>
      </c>
      <c r="H256" s="27" t="inlineStr">
        <is>
          <t>Exclusive</t>
        </is>
      </c>
      <c r="I256" s="29" t="n">
        <v>45</v>
      </c>
      <c r="J256" s="27" t="inlineStr">
        <is>
          <t>Exclusive</t>
        </is>
      </c>
      <c r="K256" s="29" t="n">
        <v>60</v>
      </c>
      <c r="L256" s="29" t="n">
        <v>10</v>
      </c>
      <c r="M256" s="33" t="n">
        <v>1</v>
      </c>
      <c r="N256" s="27" t="inlineStr">
        <is>
          <t>Yes</t>
        </is>
      </c>
      <c r="O256" s="29" t="n">
        <v>0</v>
      </c>
      <c r="P256" s="30" t="n">
        <v>450</v>
      </c>
      <c r="Q256" s="31" t="inlineStr">
        <is>
          <t>In Stock</t>
        </is>
      </c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5" customHeight="1" s="85">
      <c r="A257" s="27" t="inlineStr">
        <is>
          <t>DBL MACRONI 500GM</t>
        </is>
      </c>
      <c r="B257" s="27" t="n"/>
      <c r="C257" s="27" t="inlineStr">
        <is>
          <t>Grains &amp; Flours</t>
        </is>
      </c>
      <c r="D257" s="28" t="inlineStr">
        <is>
          <t>8904011515596</t>
        </is>
      </c>
      <c r="E257" s="27" t="n"/>
      <c r="F257" s="29" t="n">
        <v>0</v>
      </c>
      <c r="G257" s="29" t="n">
        <v>56</v>
      </c>
      <c r="H257" s="27" t="inlineStr">
        <is>
          <t>Exclusive</t>
        </is>
      </c>
      <c r="I257" s="29" t="n">
        <v>45</v>
      </c>
      <c r="J257" s="27" t="inlineStr">
        <is>
          <t>Exclusive</t>
        </is>
      </c>
      <c r="K257" s="29" t="n">
        <v>56</v>
      </c>
      <c r="L257" s="29" t="n">
        <v>0</v>
      </c>
      <c r="M257" s="33" t="n">
        <v>1</v>
      </c>
      <c r="N257" s="27" t="inlineStr">
        <is>
          <t>Yes</t>
        </is>
      </c>
      <c r="O257" s="29" t="n">
        <v>0</v>
      </c>
      <c r="P257" s="30" t="n">
        <v>450</v>
      </c>
      <c r="Q257" s="31" t="inlineStr">
        <is>
          <t>In Stock</t>
        </is>
      </c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5" customHeight="1" s="85">
      <c r="A258" s="27" t="inlineStr">
        <is>
          <t>DBL MEAT MASALA 100GM</t>
        </is>
      </c>
      <c r="B258" s="27" t="n"/>
      <c r="C258" s="27" t="inlineStr">
        <is>
          <t>Masalas &amp; Spices</t>
        </is>
      </c>
      <c r="D258" s="28" t="inlineStr">
        <is>
          <t>8904011504446</t>
        </is>
      </c>
      <c r="E258" s="27" t="n"/>
      <c r="F258" s="29" t="n">
        <v>0</v>
      </c>
      <c r="G258" s="29" t="n">
        <v>59</v>
      </c>
      <c r="H258" s="27" t="inlineStr">
        <is>
          <t>Inclusive</t>
        </is>
      </c>
      <c r="I258" s="29" t="n">
        <v>35</v>
      </c>
      <c r="J258" s="27" t="inlineStr">
        <is>
          <t>Inclusive</t>
        </is>
      </c>
      <c r="K258" s="29" t="n">
        <v>59</v>
      </c>
      <c r="L258" s="29" t="n">
        <v>10</v>
      </c>
      <c r="M258" s="33" t="n">
        <v>1</v>
      </c>
      <c r="N258" s="27" t="inlineStr">
        <is>
          <t>Yes</t>
        </is>
      </c>
      <c r="O258" s="29" t="n">
        <v>0</v>
      </c>
      <c r="P258" s="30" t="n">
        <v>450</v>
      </c>
      <c r="Q258" s="31" t="inlineStr">
        <is>
          <t>In Stock</t>
        </is>
      </c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5" customHeight="1" s="85">
      <c r="A259" s="27" t="inlineStr">
        <is>
          <t>DBL PONNI RICE 5KG</t>
        </is>
      </c>
      <c r="B259" s="27" t="n"/>
      <c r="C259" s="27" t="inlineStr">
        <is>
          <t>Rice Items</t>
        </is>
      </c>
      <c r="D259" s="28" t="inlineStr">
        <is>
          <t>8904011511666</t>
        </is>
      </c>
      <c r="E259" s="27" t="n"/>
      <c r="F259" s="29" t="n">
        <v>0</v>
      </c>
      <c r="G259" s="29" t="n">
        <v>515</v>
      </c>
      <c r="H259" s="27" t="inlineStr">
        <is>
          <t>Exclusive</t>
        </is>
      </c>
      <c r="I259" s="29" t="n">
        <v>390</v>
      </c>
      <c r="J259" s="27" t="inlineStr">
        <is>
          <t>Exclusive</t>
        </is>
      </c>
      <c r="K259" s="29" t="n">
        <v>515</v>
      </c>
      <c r="L259" s="29" t="n">
        <v>1</v>
      </c>
      <c r="M259" s="33" t="n">
        <v>1</v>
      </c>
      <c r="N259" s="27" t="inlineStr">
        <is>
          <t>Yes</t>
        </is>
      </c>
      <c r="O259" s="29" t="n">
        <v>0</v>
      </c>
      <c r="P259" s="30" t="n">
        <v>450</v>
      </c>
      <c r="Q259" s="31" t="inlineStr">
        <is>
          <t>In Stock</t>
        </is>
      </c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5" customHeight="1" s="85">
      <c r="A260" s="27" t="inlineStr">
        <is>
          <t>DBL PRAWN PICKLE 200GM</t>
        </is>
      </c>
      <c r="B260" s="27" t="n"/>
      <c r="C260" s="27" t="inlineStr">
        <is>
          <t>Pickles</t>
        </is>
      </c>
      <c r="D260" s="28" t="inlineStr">
        <is>
          <t>8904011506662</t>
        </is>
      </c>
      <c r="E260" s="27" t="n"/>
      <c r="F260" s="29" t="n">
        <v>0</v>
      </c>
      <c r="G260" s="29" t="n">
        <v>112</v>
      </c>
      <c r="H260" s="27" t="inlineStr">
        <is>
          <t>Exclusive</t>
        </is>
      </c>
      <c r="I260" s="29" t="n">
        <v>112</v>
      </c>
      <c r="J260" s="27" t="inlineStr">
        <is>
          <t>Exclusive</t>
        </is>
      </c>
      <c r="K260" s="29" t="n">
        <v>112</v>
      </c>
      <c r="L260" s="29" t="n">
        <v>0</v>
      </c>
      <c r="M260" s="33" t="n">
        <v>1</v>
      </c>
      <c r="N260" s="27" t="inlineStr">
        <is>
          <t>Yes</t>
        </is>
      </c>
      <c r="O260" s="29" t="n">
        <v>0</v>
      </c>
      <c r="P260" s="30" t="n">
        <v>450</v>
      </c>
      <c r="Q260" s="31" t="inlineStr">
        <is>
          <t>In Stock</t>
        </is>
      </c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5" customHeight="1" s="85">
      <c r="A261" s="27" t="inlineStr">
        <is>
          <t>DBL RAGI PUTTU PODI 500GM</t>
        </is>
      </c>
      <c r="B261" s="27" t="n"/>
      <c r="C261" s="27" t="inlineStr">
        <is>
          <t>Grains &amp; Flours</t>
        </is>
      </c>
      <c r="D261" s="28" t="inlineStr">
        <is>
          <t>8904011505726</t>
        </is>
      </c>
      <c r="E261" s="27" t="n"/>
      <c r="F261" s="29" t="n">
        <v>0</v>
      </c>
      <c r="G261" s="29" t="n">
        <v>70</v>
      </c>
      <c r="H261" s="27" t="inlineStr">
        <is>
          <t>Inclusive</t>
        </is>
      </c>
      <c r="I261" s="29" t="n">
        <v>54</v>
      </c>
      <c r="J261" s="27" t="inlineStr">
        <is>
          <t>Inclusive</t>
        </is>
      </c>
      <c r="K261" s="29" t="n">
        <v>70</v>
      </c>
      <c r="L261" s="29" t="n">
        <v>0</v>
      </c>
      <c r="M261" s="33" t="n">
        <v>1</v>
      </c>
      <c r="N261" s="27" t="inlineStr">
        <is>
          <t>Yes</t>
        </is>
      </c>
      <c r="O261" s="29" t="n">
        <v>0</v>
      </c>
      <c r="P261" s="30" t="n">
        <v>450</v>
      </c>
      <c r="Q261" s="31" t="inlineStr">
        <is>
          <t>In Stock</t>
        </is>
      </c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5" customHeight="1" s="85">
      <c r="A262" s="27" t="inlineStr">
        <is>
          <t>DBL RED AVIL 500G</t>
        </is>
      </c>
      <c r="B262" s="27" t="n"/>
      <c r="C262" s="27" t="inlineStr">
        <is>
          <t>Grains &amp; Flours</t>
        </is>
      </c>
      <c r="D262" s="28" t="inlineStr">
        <is>
          <t>8904011504835</t>
        </is>
      </c>
      <c r="E262" s="27" t="n"/>
      <c r="F262" s="29" t="n">
        <v>0</v>
      </c>
      <c r="G262" s="29" t="n">
        <v>66</v>
      </c>
      <c r="H262" s="27" t="inlineStr">
        <is>
          <t>Inclusive</t>
        </is>
      </c>
      <c r="I262" s="29" t="n">
        <v>57</v>
      </c>
      <c r="J262" s="27" t="inlineStr">
        <is>
          <t>Inclusive</t>
        </is>
      </c>
      <c r="K262" s="29" t="n">
        <v>78</v>
      </c>
      <c r="L262" s="29" t="n">
        <v>5</v>
      </c>
      <c r="M262" s="33" t="n">
        <v>1</v>
      </c>
      <c r="N262" s="27" t="inlineStr">
        <is>
          <t>Yes</t>
        </is>
      </c>
      <c r="O262" s="29" t="n">
        <v>0</v>
      </c>
      <c r="P262" s="30" t="n">
        <v>450</v>
      </c>
      <c r="Q262" s="31" t="inlineStr">
        <is>
          <t>In Stock</t>
        </is>
      </c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5" customHeight="1" s="85">
      <c r="A263" s="27" t="inlineStr">
        <is>
          <t>DBL RICE PALADA MIX 300GM</t>
        </is>
      </c>
      <c r="B263" s="27" t="n"/>
      <c r="C263" s="27" t="inlineStr">
        <is>
          <t>Ready to Eat &amp; Mixes</t>
        </is>
      </c>
      <c r="D263" s="28" t="inlineStr">
        <is>
          <t>8904011505245</t>
        </is>
      </c>
      <c r="E263" s="27" t="n"/>
      <c r="F263" s="29" t="n">
        <v>0</v>
      </c>
      <c r="G263" s="29" t="n">
        <v>95</v>
      </c>
      <c r="H263" s="27" t="inlineStr">
        <is>
          <t>Inclusive</t>
        </is>
      </c>
      <c r="I263" s="29" t="n">
        <v>65</v>
      </c>
      <c r="J263" s="27" t="inlineStr">
        <is>
          <t>Inclusive</t>
        </is>
      </c>
      <c r="K263" s="29" t="n">
        <v>95</v>
      </c>
      <c r="L263" s="29" t="n">
        <v>0</v>
      </c>
      <c r="M263" s="33" t="n">
        <v>1</v>
      </c>
      <c r="N263" s="27" t="inlineStr">
        <is>
          <t>Yes</t>
        </is>
      </c>
      <c r="O263" s="29" t="n">
        <v>0</v>
      </c>
      <c r="P263" s="30" t="n">
        <v>450</v>
      </c>
      <c r="Q263" s="31" t="inlineStr">
        <is>
          <t>In Stock</t>
        </is>
      </c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5" customHeight="1" s="85">
      <c r="A264" s="27" t="inlineStr">
        <is>
          <t>DBL ROASTED RAWA 1KG</t>
        </is>
      </c>
      <c r="B264" s="27" t="n"/>
      <c r="C264" s="27" t="inlineStr">
        <is>
          <t>Grains &amp; Flours</t>
        </is>
      </c>
      <c r="D264" s="28" t="inlineStr">
        <is>
          <t>8904011508109</t>
        </is>
      </c>
      <c r="E264" s="27" t="n"/>
      <c r="F264" s="29" t="n">
        <v>0</v>
      </c>
      <c r="G264" s="29" t="n">
        <v>110</v>
      </c>
      <c r="H264" s="27" t="inlineStr">
        <is>
          <t>Exclusive</t>
        </is>
      </c>
      <c r="I264" s="29" t="n">
        <v>90</v>
      </c>
      <c r="J264" s="27" t="inlineStr">
        <is>
          <t>Exclusive</t>
        </is>
      </c>
      <c r="K264" s="29" t="n">
        <v>110</v>
      </c>
      <c r="L264" s="29" t="n">
        <v>1</v>
      </c>
      <c r="M264" s="33" t="n">
        <v>1</v>
      </c>
      <c r="N264" s="27" t="inlineStr">
        <is>
          <t>Yes</t>
        </is>
      </c>
      <c r="O264" s="29" t="n">
        <v>0</v>
      </c>
      <c r="P264" s="30" t="n">
        <v>450</v>
      </c>
      <c r="Q264" s="31" t="inlineStr">
        <is>
          <t>In Stock</t>
        </is>
      </c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5" customHeight="1" s="85">
      <c r="A265" s="27" t="inlineStr">
        <is>
          <t>DBL ROASTED VERMICELLI 200 GM</t>
        </is>
      </c>
      <c r="B265" s="27" t="n"/>
      <c r="C265" s="27" t="inlineStr">
        <is>
          <t>Grains &amp; Flours</t>
        </is>
      </c>
      <c r="D265" s="28" t="inlineStr">
        <is>
          <t>8904011505818</t>
        </is>
      </c>
      <c r="E265" s="29" t="n">
        <v>30</v>
      </c>
      <c r="F265" s="29" t="n">
        <v>12</v>
      </c>
      <c r="G265" s="29" t="n">
        <v>32</v>
      </c>
      <c r="H265" s="27" t="inlineStr">
        <is>
          <t>Exclusive</t>
        </is>
      </c>
      <c r="I265" s="29" t="n">
        <v>25</v>
      </c>
      <c r="J265" s="27" t="inlineStr">
        <is>
          <t>Exclusive</t>
        </is>
      </c>
      <c r="K265" s="29" t="n">
        <v>32</v>
      </c>
      <c r="L265" s="29" t="n">
        <v>7</v>
      </c>
      <c r="M265" s="33" t="n">
        <v>1</v>
      </c>
      <c r="N265" s="27" t="inlineStr">
        <is>
          <t>Yes</t>
        </is>
      </c>
      <c r="O265" s="29" t="n">
        <v>0</v>
      </c>
      <c r="P265" s="30" t="n">
        <v>450</v>
      </c>
      <c r="Q265" s="31" t="inlineStr">
        <is>
          <t>In Stock</t>
        </is>
      </c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5" customHeight="1" s="85">
      <c r="A266" s="27" t="inlineStr">
        <is>
          <t>DBL ROSE UNDA MATTA 2KG</t>
        </is>
      </c>
      <c r="B266" s="27" t="n"/>
      <c r="C266" s="27" t="inlineStr">
        <is>
          <t>Rice Items</t>
        </is>
      </c>
      <c r="D266" s="28" t="inlineStr">
        <is>
          <t>8904011503784</t>
        </is>
      </c>
      <c r="E266" s="27" t="n"/>
      <c r="F266" s="29" t="n">
        <v>0</v>
      </c>
      <c r="G266" s="29" t="n">
        <v>190</v>
      </c>
      <c r="H266" s="27" t="inlineStr">
        <is>
          <t>Inclusive</t>
        </is>
      </c>
      <c r="I266" s="29" t="n">
        <v>177</v>
      </c>
      <c r="J266" s="27" t="inlineStr">
        <is>
          <t>Inclusive</t>
        </is>
      </c>
      <c r="K266" s="29" t="n">
        <v>190</v>
      </c>
      <c r="L266" s="29" t="n">
        <v>0</v>
      </c>
      <c r="M266" s="33" t="n">
        <v>1</v>
      </c>
      <c r="N266" s="27" t="inlineStr">
        <is>
          <t>Yes</t>
        </is>
      </c>
      <c r="O266" s="29" t="n">
        <v>0</v>
      </c>
      <c r="P266" s="30" t="n">
        <v>450</v>
      </c>
      <c r="Q266" s="31" t="inlineStr">
        <is>
          <t>In Stock</t>
        </is>
      </c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5" customHeight="1" s="85">
      <c r="A267" s="27" t="inlineStr">
        <is>
          <t>DBL ROSTED RAWA 500GM</t>
        </is>
      </c>
      <c r="B267" s="27" t="n"/>
      <c r="C267" s="27" t="inlineStr">
        <is>
          <t>Grains &amp; Flours</t>
        </is>
      </c>
      <c r="D267" s="28" t="inlineStr">
        <is>
          <t>8904011508093</t>
        </is>
      </c>
      <c r="E267" s="27" t="n"/>
      <c r="F267" s="29" t="n">
        <v>0</v>
      </c>
      <c r="G267" s="29" t="n">
        <v>65</v>
      </c>
      <c r="H267" s="27" t="inlineStr">
        <is>
          <t>Inclusive</t>
        </is>
      </c>
      <c r="I267" s="29" t="n">
        <v>65</v>
      </c>
      <c r="J267" s="27" t="inlineStr">
        <is>
          <t>Inclusive</t>
        </is>
      </c>
      <c r="K267" s="29" t="n">
        <v>65</v>
      </c>
      <c r="L267" s="29" t="n">
        <v>10</v>
      </c>
      <c r="M267" s="33" t="n">
        <v>1</v>
      </c>
      <c r="N267" s="27" t="inlineStr">
        <is>
          <t>Yes</t>
        </is>
      </c>
      <c r="O267" s="29" t="n">
        <v>0</v>
      </c>
      <c r="P267" s="30" t="n">
        <v>450</v>
      </c>
      <c r="Q267" s="31" t="inlineStr">
        <is>
          <t>In Stock</t>
        </is>
      </c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5" customHeight="1" s="85">
      <c r="A268" s="27" t="inlineStr">
        <is>
          <t>DBL SAMBAR POWDER 1OOGM</t>
        </is>
      </c>
      <c r="B268" s="27" t="n"/>
      <c r="C268" s="27" t="inlineStr">
        <is>
          <t>Masalas &amp; Spices</t>
        </is>
      </c>
      <c r="D268" s="28" t="inlineStr">
        <is>
          <t>8904011504453</t>
        </is>
      </c>
      <c r="E268" s="27" t="n"/>
      <c r="F268" s="29" t="n">
        <v>0</v>
      </c>
      <c r="G268" s="29" t="n">
        <v>59</v>
      </c>
      <c r="H268" s="27" t="inlineStr">
        <is>
          <t>Inclusive</t>
        </is>
      </c>
      <c r="I268" s="29" t="n">
        <v>35</v>
      </c>
      <c r="J268" s="27" t="inlineStr">
        <is>
          <t>Inclusive</t>
        </is>
      </c>
      <c r="K268" s="29" t="n">
        <v>59</v>
      </c>
      <c r="L268" s="29" t="n">
        <v>47</v>
      </c>
      <c r="M268" s="33" t="n">
        <v>1</v>
      </c>
      <c r="N268" s="27" t="inlineStr">
        <is>
          <t>Yes</t>
        </is>
      </c>
      <c r="O268" s="29" t="n">
        <v>0</v>
      </c>
      <c r="P268" s="30" t="n">
        <v>450</v>
      </c>
      <c r="Q268" s="31" t="inlineStr">
        <is>
          <t>In Stock</t>
        </is>
      </c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5" customHeight="1" s="85">
      <c r="A269" s="27" t="inlineStr">
        <is>
          <t>DBL SAMBA WHEAT BROKEN 500GM</t>
        </is>
      </c>
      <c r="B269" s="27" t="n"/>
      <c r="C269" s="27" t="inlineStr">
        <is>
          <t>Grains &amp; Flours</t>
        </is>
      </c>
      <c r="D269" s="28" t="inlineStr">
        <is>
          <t>8904011505801</t>
        </is>
      </c>
      <c r="E269" s="27" t="n"/>
      <c r="F269" s="29" t="n">
        <v>0</v>
      </c>
      <c r="G269" s="29" t="n">
        <v>117</v>
      </c>
      <c r="H269" s="27" t="inlineStr">
        <is>
          <t>Exclusive</t>
        </is>
      </c>
      <c r="I269" s="29" t="n">
        <v>90</v>
      </c>
      <c r="J269" s="27" t="inlineStr">
        <is>
          <t>Exclusive</t>
        </is>
      </c>
      <c r="K269" s="29" t="n">
        <v>117</v>
      </c>
      <c r="L269" s="29" t="n">
        <v>21</v>
      </c>
      <c r="M269" s="33" t="n">
        <v>1</v>
      </c>
      <c r="N269" s="27" t="inlineStr">
        <is>
          <t>Yes</t>
        </is>
      </c>
      <c r="O269" s="29" t="n">
        <v>0</v>
      </c>
      <c r="P269" s="30" t="n">
        <v>450</v>
      </c>
      <c r="Q269" s="31" t="inlineStr">
        <is>
          <t>In Stock</t>
        </is>
      </c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5" customHeight="1" s="85">
      <c r="A270" s="27" t="inlineStr">
        <is>
          <t>DBL SOYA CHUNKS 200GM</t>
        </is>
      </c>
      <c r="B270" s="27" t="n"/>
      <c r="C270" s="27" t="inlineStr">
        <is>
          <t>Grains &amp; Flours</t>
        </is>
      </c>
      <c r="D270" s="28" t="inlineStr">
        <is>
          <t>8904011515978</t>
        </is>
      </c>
      <c r="E270" s="27" t="n"/>
      <c r="F270" s="29" t="n">
        <v>0</v>
      </c>
      <c r="G270" s="29" t="n">
        <v>67</v>
      </c>
      <c r="H270" s="27" t="inlineStr">
        <is>
          <t>Exclusive</t>
        </is>
      </c>
      <c r="I270" s="29" t="n">
        <v>51</v>
      </c>
      <c r="J270" s="27" t="inlineStr">
        <is>
          <t>Exclusive</t>
        </is>
      </c>
      <c r="K270" s="29" t="n">
        <v>67</v>
      </c>
      <c r="L270" s="29" t="n">
        <v>6</v>
      </c>
      <c r="M270" s="33" t="n">
        <v>1</v>
      </c>
      <c r="N270" s="27" t="inlineStr">
        <is>
          <t>Yes</t>
        </is>
      </c>
      <c r="O270" s="29" t="n">
        <v>0</v>
      </c>
      <c r="P270" s="30" t="n">
        <v>450</v>
      </c>
      <c r="Q270" s="31" t="inlineStr">
        <is>
          <t>In Stock</t>
        </is>
      </c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5" customHeight="1" s="85">
      <c r="A271" s="27" t="inlineStr">
        <is>
          <t>DBL TAMARINT 200GM</t>
        </is>
      </c>
      <c r="B271" s="27" t="n"/>
      <c r="C271" s="27" t="inlineStr">
        <is>
          <t>Masalas &amp; Spices</t>
        </is>
      </c>
      <c r="D271" s="28" t="inlineStr">
        <is>
          <t>8904011508024</t>
        </is>
      </c>
      <c r="E271" s="27" t="n"/>
      <c r="F271" s="29" t="n">
        <v>0</v>
      </c>
      <c r="G271" s="29" t="n">
        <v>80</v>
      </c>
      <c r="H271" s="27" t="inlineStr">
        <is>
          <t>Exclusive</t>
        </is>
      </c>
      <c r="I271" s="29" t="n">
        <v>70</v>
      </c>
      <c r="J271" s="27" t="inlineStr">
        <is>
          <t>Exclusive</t>
        </is>
      </c>
      <c r="K271" s="29" t="n">
        <v>80</v>
      </c>
      <c r="L271" s="29" t="n">
        <v>0</v>
      </c>
      <c r="M271" s="33" t="n">
        <v>1</v>
      </c>
      <c r="N271" s="27" t="inlineStr">
        <is>
          <t>Yes</t>
        </is>
      </c>
      <c r="O271" s="29" t="n">
        <v>0</v>
      </c>
      <c r="P271" s="30" t="n">
        <v>450</v>
      </c>
      <c r="Q271" s="31" t="inlineStr">
        <is>
          <t>In Stock</t>
        </is>
      </c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5" customHeight="1" s="85">
      <c r="A272" s="27" t="inlineStr">
        <is>
          <t>DBL TENDER MANGO PICKLE 400GM</t>
        </is>
      </c>
      <c r="B272" s="27" t="n"/>
      <c r="C272" s="27" t="inlineStr">
        <is>
          <t>Pickles</t>
        </is>
      </c>
      <c r="D272" s="28" t="inlineStr">
        <is>
          <t>8904011506525</t>
        </is>
      </c>
      <c r="E272" s="27" t="n"/>
      <c r="F272" s="29" t="n">
        <v>0</v>
      </c>
      <c r="G272" s="29" t="n">
        <v>219</v>
      </c>
      <c r="H272" s="27" t="inlineStr">
        <is>
          <t>Exclusive</t>
        </is>
      </c>
      <c r="I272" s="29" t="n">
        <v>175</v>
      </c>
      <c r="J272" s="27" t="inlineStr">
        <is>
          <t>Exclusive</t>
        </is>
      </c>
      <c r="K272" s="29" t="n">
        <v>219</v>
      </c>
      <c r="L272" s="29" t="n">
        <v>0</v>
      </c>
      <c r="M272" s="33" t="n">
        <v>1</v>
      </c>
      <c r="N272" s="27" t="inlineStr">
        <is>
          <t>Yes</t>
        </is>
      </c>
      <c r="O272" s="29" t="n">
        <v>0</v>
      </c>
      <c r="P272" s="30" t="n">
        <v>450</v>
      </c>
      <c r="Q272" s="31" t="inlineStr">
        <is>
          <t>In Stock</t>
        </is>
      </c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5" customHeight="1" s="85">
      <c r="A273" s="27" t="inlineStr">
        <is>
          <t>DBL TURMERIC POWDER</t>
        </is>
      </c>
      <c r="B273" s="27" t="n"/>
      <c r="C273" s="27" t="inlineStr">
        <is>
          <t>Masalas &amp; Spices</t>
        </is>
      </c>
      <c r="D273" s="28" t="inlineStr">
        <is>
          <t>8904011508888</t>
        </is>
      </c>
      <c r="E273" s="27" t="n"/>
      <c r="F273" s="29" t="n">
        <v>0</v>
      </c>
      <c r="G273" s="29" t="n">
        <v>35</v>
      </c>
      <c r="H273" s="27" t="inlineStr">
        <is>
          <t>Inclusive</t>
        </is>
      </c>
      <c r="I273" s="29" t="n">
        <v>22</v>
      </c>
      <c r="J273" s="27" t="inlineStr">
        <is>
          <t>Inclusive</t>
        </is>
      </c>
      <c r="K273" s="29" t="n">
        <v>35</v>
      </c>
      <c r="L273" s="29" t="n">
        <v>0</v>
      </c>
      <c r="M273" s="33" t="n">
        <v>1</v>
      </c>
      <c r="N273" s="27" t="inlineStr">
        <is>
          <t>Yes</t>
        </is>
      </c>
      <c r="O273" s="29" t="n">
        <v>0</v>
      </c>
      <c r="P273" s="30" t="n">
        <v>450</v>
      </c>
      <c r="Q273" s="31" t="inlineStr">
        <is>
          <t>In Stock</t>
        </is>
      </c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5" customHeight="1" s="85">
      <c r="A274" s="27" t="inlineStr">
        <is>
          <t>DBL UNDA MATTA PALAKKADAN 5KG</t>
        </is>
      </c>
      <c r="B274" s="27" t="n"/>
      <c r="C274" s="27" t="inlineStr">
        <is>
          <t>Rice Items</t>
        </is>
      </c>
      <c r="D274" s="28" t="inlineStr">
        <is>
          <t>8904011510065</t>
        </is>
      </c>
      <c r="E274" s="27" t="n"/>
      <c r="F274" s="29" t="n">
        <v>0</v>
      </c>
      <c r="G274" s="29" t="n">
        <v>380</v>
      </c>
      <c r="H274" s="27" t="inlineStr">
        <is>
          <t>Exclusive</t>
        </is>
      </c>
      <c r="I274" s="29" t="n">
        <v>300</v>
      </c>
      <c r="J274" s="27" t="inlineStr">
        <is>
          <t>Exclusive</t>
        </is>
      </c>
      <c r="K274" s="29" t="n">
        <v>380</v>
      </c>
      <c r="L274" s="29" t="n">
        <v>0</v>
      </c>
      <c r="M274" s="33" t="n">
        <v>1</v>
      </c>
      <c r="N274" s="27" t="inlineStr">
        <is>
          <t>Yes</t>
        </is>
      </c>
      <c r="O274" s="29" t="n">
        <v>0</v>
      </c>
      <c r="P274" s="30" t="n">
        <v>450</v>
      </c>
      <c r="Q274" s="31" t="inlineStr">
        <is>
          <t>In Stock</t>
        </is>
      </c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5" customHeight="1" s="85">
      <c r="A275" s="27" t="inlineStr">
        <is>
          <t>DBL UNDA RICE 10KG</t>
        </is>
      </c>
      <c r="B275" s="27" t="n"/>
      <c r="C275" s="27" t="inlineStr">
        <is>
          <t>Rice Items</t>
        </is>
      </c>
      <c r="D275" s="28" t="inlineStr">
        <is>
          <t>8904011510072</t>
        </is>
      </c>
      <c r="E275" s="27" t="n"/>
      <c r="F275" s="29" t="n">
        <v>0</v>
      </c>
      <c r="G275" s="29" t="n">
        <v>745</v>
      </c>
      <c r="H275" s="27" t="inlineStr">
        <is>
          <t>Exclusive</t>
        </is>
      </c>
      <c r="I275" s="29" t="n">
        <v>700</v>
      </c>
      <c r="J275" s="27" t="inlineStr">
        <is>
          <t>Exclusive</t>
        </is>
      </c>
      <c r="K275" s="29" t="n">
        <v>745</v>
      </c>
      <c r="L275" s="29" t="n">
        <v>0</v>
      </c>
      <c r="M275" s="33" t="n">
        <v>1</v>
      </c>
      <c r="N275" s="27" t="inlineStr">
        <is>
          <t>Yes</t>
        </is>
      </c>
      <c r="O275" s="29" t="n">
        <v>0</v>
      </c>
      <c r="P275" s="30" t="n">
        <v>450</v>
      </c>
      <c r="Q275" s="31" t="inlineStr">
        <is>
          <t>In Stock</t>
        </is>
      </c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5" customHeight="1" s="85">
      <c r="A276" s="27" t="inlineStr">
        <is>
          <t>DBL UNDA RICE 500GM</t>
        </is>
      </c>
      <c r="B276" s="27" t="n"/>
      <c r="C276" s="27" t="inlineStr">
        <is>
          <t>Rice Items</t>
        </is>
      </c>
      <c r="D276" s="32" t="inlineStr">
        <is>
          <t>100117</t>
        </is>
      </c>
      <c r="E276" s="27" t="n"/>
      <c r="F276" s="29" t="n">
        <v>0</v>
      </c>
      <c r="G276" s="29" t="n">
        <v>190</v>
      </c>
      <c r="H276" s="27" t="inlineStr">
        <is>
          <t>Exclusive</t>
        </is>
      </c>
      <c r="I276" s="29" t="n">
        <v>145</v>
      </c>
      <c r="J276" s="27" t="inlineStr">
        <is>
          <t>Exclusive</t>
        </is>
      </c>
      <c r="K276" s="29" t="n">
        <v>190</v>
      </c>
      <c r="L276" s="29" t="n">
        <v>0</v>
      </c>
      <c r="M276" s="33" t="n">
        <v>1</v>
      </c>
      <c r="N276" s="27" t="inlineStr">
        <is>
          <t>Yes</t>
        </is>
      </c>
      <c r="O276" s="29" t="n">
        <v>0</v>
      </c>
      <c r="P276" s="30" t="n">
        <v>450</v>
      </c>
      <c r="Q276" s="31" t="inlineStr">
        <is>
          <t>In Stock</t>
        </is>
      </c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5" customHeight="1" s="85">
      <c r="A277" s="27" t="inlineStr">
        <is>
          <t>DBL VADI MATTA RICE 2KG</t>
        </is>
      </c>
      <c r="B277" s="27" t="n"/>
      <c r="C277" s="27" t="inlineStr">
        <is>
          <t>Rice Items</t>
        </is>
      </c>
      <c r="D277" s="28" t="inlineStr">
        <is>
          <t>8904011504132</t>
        </is>
      </c>
      <c r="E277" s="27" t="n"/>
      <c r="F277" s="29" t="n">
        <v>0</v>
      </c>
      <c r="G277" s="29" t="n">
        <v>200</v>
      </c>
      <c r="H277" s="27" t="inlineStr">
        <is>
          <t>Exclusive</t>
        </is>
      </c>
      <c r="I277" s="29" t="n">
        <v>180</v>
      </c>
      <c r="J277" s="27" t="inlineStr">
        <is>
          <t>Exclusive</t>
        </is>
      </c>
      <c r="K277" s="29" t="n">
        <v>200</v>
      </c>
      <c r="L277" s="29" t="n">
        <v>0</v>
      </c>
      <c r="M277" s="33" t="n">
        <v>1</v>
      </c>
      <c r="N277" s="27" t="inlineStr">
        <is>
          <t>Yes</t>
        </is>
      </c>
      <c r="O277" s="29" t="n">
        <v>0</v>
      </c>
      <c r="P277" s="30" t="n">
        <v>450</v>
      </c>
      <c r="Q277" s="31" t="inlineStr">
        <is>
          <t>In Stock</t>
        </is>
      </c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5" customHeight="1" s="85">
      <c r="A278" s="27" t="inlineStr">
        <is>
          <t>DBL VINAGER 500GM</t>
        </is>
      </c>
      <c r="B278" s="27" t="n"/>
      <c r="C278" s="27" t="inlineStr">
        <is>
          <t>Ready to Eat &amp; Mixes</t>
        </is>
      </c>
      <c r="D278" s="28" t="inlineStr">
        <is>
          <t>8904011504736</t>
        </is>
      </c>
      <c r="E278" s="27" t="n"/>
      <c r="F278" s="29" t="n">
        <v>0</v>
      </c>
      <c r="G278" s="29" t="n">
        <v>45</v>
      </c>
      <c r="H278" s="27" t="inlineStr">
        <is>
          <t>Exclusive</t>
        </is>
      </c>
      <c r="I278" s="29" t="n">
        <v>35</v>
      </c>
      <c r="J278" s="27" t="inlineStr">
        <is>
          <t>Exclusive</t>
        </is>
      </c>
      <c r="K278" s="29" t="n">
        <v>45</v>
      </c>
      <c r="L278" s="29" t="n">
        <v>14</v>
      </c>
      <c r="M278" s="33" t="n">
        <v>1</v>
      </c>
      <c r="N278" s="27" t="inlineStr">
        <is>
          <t>Yes</t>
        </is>
      </c>
      <c r="O278" s="29" t="n">
        <v>0</v>
      </c>
      <c r="P278" s="30" t="n">
        <v>450</v>
      </c>
      <c r="Q278" s="31" t="inlineStr">
        <is>
          <t>In Stock</t>
        </is>
      </c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5" customHeight="1" s="85">
      <c r="A279" s="27" t="inlineStr">
        <is>
          <t>DBL WHITE AVIL 500GM</t>
        </is>
      </c>
      <c r="B279" s="27" t="n"/>
      <c r="C279" s="27" t="inlineStr">
        <is>
          <t>Grains &amp; Flours</t>
        </is>
      </c>
      <c r="D279" s="28" t="inlineStr">
        <is>
          <t>8904011503029</t>
        </is>
      </c>
      <c r="E279" s="27" t="n"/>
      <c r="F279" s="29" t="n">
        <v>0</v>
      </c>
      <c r="G279" s="29" t="n">
        <v>79</v>
      </c>
      <c r="H279" s="27" t="inlineStr">
        <is>
          <t>Inclusive</t>
        </is>
      </c>
      <c r="I279" s="29" t="n">
        <v>66</v>
      </c>
      <c r="J279" s="27" t="inlineStr">
        <is>
          <t>Inclusive</t>
        </is>
      </c>
      <c r="K279" s="29" t="n">
        <v>79</v>
      </c>
      <c r="L279" s="29" t="n">
        <v>0</v>
      </c>
      <c r="M279" s="33" t="n">
        <v>1</v>
      </c>
      <c r="N279" s="27" t="inlineStr">
        <is>
          <t>Yes</t>
        </is>
      </c>
      <c r="O279" s="29" t="n">
        <v>0</v>
      </c>
      <c r="P279" s="30" t="n">
        <v>450</v>
      </c>
      <c r="Q279" s="31" t="inlineStr">
        <is>
          <t>In Stock</t>
        </is>
      </c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5" customHeight="1" s="85">
      <c r="A280" s="27" t="inlineStr">
        <is>
          <t>DBL WHITE PUTTU 500GM</t>
        </is>
      </c>
      <c r="B280" s="27" t="n"/>
      <c r="C280" s="27" t="inlineStr">
        <is>
          <t>Grains &amp; Flours</t>
        </is>
      </c>
      <c r="D280" s="28" t="inlineStr">
        <is>
          <t>8904011505016</t>
        </is>
      </c>
      <c r="E280" s="27" t="n"/>
      <c r="F280" s="29" t="n">
        <v>0</v>
      </c>
      <c r="G280" s="29" t="n">
        <v>65</v>
      </c>
      <c r="H280" s="27" t="inlineStr">
        <is>
          <t>Inclusive</t>
        </is>
      </c>
      <c r="I280" s="29" t="n">
        <v>60</v>
      </c>
      <c r="J280" s="27" t="inlineStr">
        <is>
          <t>Inclusive</t>
        </is>
      </c>
      <c r="K280" s="29" t="n">
        <v>65</v>
      </c>
      <c r="L280" s="29" t="n">
        <v>5</v>
      </c>
      <c r="M280" s="33" t="n">
        <v>1</v>
      </c>
      <c r="N280" s="27" t="inlineStr">
        <is>
          <t>Yes</t>
        </is>
      </c>
      <c r="O280" s="29" t="n">
        <v>0</v>
      </c>
      <c r="P280" s="30" t="n">
        <v>450</v>
      </c>
      <c r="Q280" s="31" t="inlineStr">
        <is>
          <t>In Stock</t>
        </is>
      </c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5" customHeight="1" s="85">
      <c r="A281" s="27" t="inlineStr">
        <is>
          <t>DBL WHITE PUTTU PODI 1KG</t>
        </is>
      </c>
      <c r="B281" s="27" t="n"/>
      <c r="C281" s="27" t="inlineStr">
        <is>
          <t>Grains &amp; Flours</t>
        </is>
      </c>
      <c r="D281" s="28" t="inlineStr">
        <is>
          <t>8904011507010</t>
        </is>
      </c>
      <c r="E281" s="27" t="n"/>
      <c r="F281" s="29" t="n">
        <v>0</v>
      </c>
      <c r="G281" s="29" t="n">
        <v>120</v>
      </c>
      <c r="H281" s="27" t="inlineStr">
        <is>
          <t>Exclusive</t>
        </is>
      </c>
      <c r="I281" s="29" t="n">
        <v>100</v>
      </c>
      <c r="J281" s="27" t="inlineStr">
        <is>
          <t>Exclusive</t>
        </is>
      </c>
      <c r="K281" s="29" t="n">
        <v>120</v>
      </c>
      <c r="L281" s="29" t="n">
        <v>0</v>
      </c>
      <c r="M281" s="33" t="n">
        <v>1</v>
      </c>
      <c r="N281" s="27" t="inlineStr">
        <is>
          <t>Yes</t>
        </is>
      </c>
      <c r="O281" s="29" t="n">
        <v>0</v>
      </c>
      <c r="P281" s="30" t="n">
        <v>450</v>
      </c>
      <c r="Q281" s="31" t="inlineStr">
        <is>
          <t>In Stock</t>
        </is>
      </c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5" customHeight="1" s="85">
      <c r="A282" s="27" t="inlineStr">
        <is>
          <t>D BODY WASH ALOE VERA 200ML</t>
        </is>
      </c>
      <c r="B282" s="27" t="n"/>
      <c r="C282" s="27" t="inlineStr">
        <is>
          <t>Healthcare Items</t>
        </is>
      </c>
      <c r="D282" s="32" t="inlineStr">
        <is>
          <t>100118</t>
        </is>
      </c>
      <c r="E282" s="27" t="n"/>
      <c r="F282" s="29" t="n">
        <v>0</v>
      </c>
      <c r="G282" s="29" t="n">
        <v>180</v>
      </c>
      <c r="H282" s="27" t="inlineStr">
        <is>
          <t>Exclusive</t>
        </is>
      </c>
      <c r="I282" s="29" t="n">
        <v>115.25</v>
      </c>
      <c r="J282" s="27" t="inlineStr">
        <is>
          <t>Exclusive</t>
        </is>
      </c>
      <c r="K282" s="29" t="n">
        <v>0</v>
      </c>
      <c r="L282" s="29" t="n">
        <v>0</v>
      </c>
      <c r="M282" s="27" t="n"/>
      <c r="N282" s="27" t="inlineStr">
        <is>
          <t>Yes</t>
        </is>
      </c>
      <c r="O282" s="29" t="n">
        <v>0</v>
      </c>
      <c r="P282" s="30" t="n">
        <v>450</v>
      </c>
      <c r="Q282" s="31" t="inlineStr">
        <is>
          <t>In Stock</t>
        </is>
      </c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5" customHeight="1" s="85">
      <c r="A283" s="27" t="inlineStr">
        <is>
          <t>D BODY WASH NEEM 200ML</t>
        </is>
      </c>
      <c r="B283" s="27" t="n"/>
      <c r="C283" s="27" t="inlineStr">
        <is>
          <t>Healthcare Items</t>
        </is>
      </c>
      <c r="D283" s="32" t="inlineStr">
        <is>
          <t>100119</t>
        </is>
      </c>
      <c r="E283" s="27" t="n"/>
      <c r="F283" s="29" t="n">
        <v>0</v>
      </c>
      <c r="G283" s="29" t="n">
        <v>180</v>
      </c>
      <c r="H283" s="27" t="inlineStr">
        <is>
          <t>Exclusive</t>
        </is>
      </c>
      <c r="I283" s="29" t="n">
        <v>115.25</v>
      </c>
      <c r="J283" s="27" t="inlineStr">
        <is>
          <t>Exclusive</t>
        </is>
      </c>
      <c r="K283" s="29" t="n">
        <v>0</v>
      </c>
      <c r="L283" s="29" t="n">
        <v>0</v>
      </c>
      <c r="M283" s="27" t="n"/>
      <c r="N283" s="27" t="inlineStr">
        <is>
          <t>Yes</t>
        </is>
      </c>
      <c r="O283" s="29" t="n">
        <v>0</v>
      </c>
      <c r="P283" s="30" t="n">
        <v>450</v>
      </c>
      <c r="Q283" s="31" t="inlineStr">
        <is>
          <t>In Stock</t>
        </is>
      </c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5" customHeight="1" s="85">
      <c r="A284" s="27" t="inlineStr">
        <is>
          <t>D BODY WASH SHEA BUTTER 200ML</t>
        </is>
      </c>
      <c r="B284" s="27" t="n"/>
      <c r="C284" s="27" t="inlineStr">
        <is>
          <t>Healthcare Items</t>
        </is>
      </c>
      <c r="D284" s="32" t="inlineStr">
        <is>
          <t>100120</t>
        </is>
      </c>
      <c r="E284" s="27" t="n"/>
      <c r="F284" s="29" t="n">
        <v>0</v>
      </c>
      <c r="G284" s="29" t="n">
        <v>180</v>
      </c>
      <c r="H284" s="27" t="inlineStr">
        <is>
          <t>Exclusive</t>
        </is>
      </c>
      <c r="I284" s="29" t="n">
        <v>115.25</v>
      </c>
      <c r="J284" s="27" t="inlineStr">
        <is>
          <t>Exclusive</t>
        </is>
      </c>
      <c r="K284" s="29" t="n">
        <v>0</v>
      </c>
      <c r="L284" s="29" t="n">
        <v>0</v>
      </c>
      <c r="M284" s="27" t="n"/>
      <c r="N284" s="27" t="inlineStr">
        <is>
          <t>Yes</t>
        </is>
      </c>
      <c r="O284" s="29" t="n">
        <v>0</v>
      </c>
      <c r="P284" s="30" t="n">
        <v>450</v>
      </c>
      <c r="Q284" s="31" t="inlineStr">
        <is>
          <t>In Stock</t>
        </is>
      </c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5" customHeight="1" s="85">
      <c r="A285" s="27" t="inlineStr">
        <is>
          <t>DECORATIVE STAR</t>
        </is>
      </c>
      <c r="B285" s="27" t="n"/>
      <c r="C285" s="27" t="inlineStr">
        <is>
          <t>Church Articles</t>
        </is>
      </c>
      <c r="D285" s="32" t="inlineStr">
        <is>
          <t>100122</t>
        </is>
      </c>
      <c r="E285" s="27" t="n"/>
      <c r="F285" s="29" t="n">
        <v>0</v>
      </c>
      <c r="G285" s="29" t="n">
        <v>10</v>
      </c>
      <c r="H285" s="27" t="inlineStr">
        <is>
          <t>Exclusive</t>
        </is>
      </c>
      <c r="I285" s="29" t="n">
        <v>8</v>
      </c>
      <c r="J285" s="27" t="inlineStr">
        <is>
          <t>Exclusive</t>
        </is>
      </c>
      <c r="K285" s="29" t="n">
        <v>10</v>
      </c>
      <c r="L285" s="29" t="n">
        <v>0</v>
      </c>
      <c r="M285" s="33" t="n">
        <v>1</v>
      </c>
      <c r="N285" s="27" t="inlineStr">
        <is>
          <t>No</t>
        </is>
      </c>
      <c r="O285" s="29" t="n">
        <v>0</v>
      </c>
      <c r="P285" s="30" t="n">
        <v>450</v>
      </c>
      <c r="Q285" s="31" t="inlineStr">
        <is>
          <t>In Stock</t>
        </is>
      </c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5" customHeight="1" s="85">
      <c r="A286" s="27" t="inlineStr">
        <is>
          <t>DEEP FREEZER</t>
        </is>
      </c>
      <c r="B286" s="27" t="n"/>
      <c r="C286" s="27" t="inlineStr">
        <is>
          <t>Fixed Assets</t>
        </is>
      </c>
      <c r="D286" s="32" t="inlineStr">
        <is>
          <t>100123</t>
        </is>
      </c>
      <c r="E286" s="27" t="n"/>
      <c r="F286" s="29" t="n">
        <v>0</v>
      </c>
      <c r="G286" s="29" t="n">
        <v>15000</v>
      </c>
      <c r="H286" s="27" t="inlineStr">
        <is>
          <t>Exclusive</t>
        </is>
      </c>
      <c r="I286" s="29" t="n">
        <v>15000</v>
      </c>
      <c r="J286" s="27" t="inlineStr">
        <is>
          <t>Exclusive</t>
        </is>
      </c>
      <c r="K286" s="29" t="n">
        <v>15000</v>
      </c>
      <c r="L286" s="29" t="n">
        <v>1</v>
      </c>
      <c r="M286" s="33" t="n">
        <v>1</v>
      </c>
      <c r="N286" s="27" t="inlineStr">
        <is>
          <t>No</t>
        </is>
      </c>
      <c r="O286" s="29" t="n">
        <v>0</v>
      </c>
      <c r="P286" s="30" t="n">
        <v>450</v>
      </c>
      <c r="Q286" s="31" t="inlineStr">
        <is>
          <t>In Stock</t>
        </is>
      </c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5" customHeight="1" s="85">
      <c r="A287" s="27" t="inlineStr">
        <is>
          <t>DEO BACKERY ACHAPPAM</t>
        </is>
      </c>
      <c r="B287" s="27" t="n"/>
      <c r="C287" s="27" t="inlineStr">
        <is>
          <t>Snacks</t>
        </is>
      </c>
      <c r="D287" s="28" t="inlineStr">
        <is>
          <t>821754971833</t>
        </is>
      </c>
      <c r="E287" s="27" t="n"/>
      <c r="F287" s="29" t="n">
        <v>0</v>
      </c>
      <c r="G287" s="29" t="n">
        <v>60</v>
      </c>
      <c r="H287" s="27" t="inlineStr">
        <is>
          <t>Exclusive</t>
        </is>
      </c>
      <c r="I287" s="29" t="n">
        <v>45</v>
      </c>
      <c r="J287" s="27" t="inlineStr">
        <is>
          <t>Exclusive</t>
        </is>
      </c>
      <c r="K287" s="29" t="n">
        <v>60</v>
      </c>
      <c r="L287" s="29" t="n">
        <v>74</v>
      </c>
      <c r="M287" s="33" t="n">
        <v>1</v>
      </c>
      <c r="N287" s="27" t="inlineStr">
        <is>
          <t>Yes</t>
        </is>
      </c>
      <c r="O287" s="29" t="n">
        <v>0</v>
      </c>
      <c r="P287" s="30" t="n">
        <v>450</v>
      </c>
      <c r="Q287" s="31" t="inlineStr">
        <is>
          <t>In Stock</t>
        </is>
      </c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5" customHeight="1" s="85">
      <c r="A288" s="27" t="inlineStr">
        <is>
          <t>DEO BAKERY - NAMKEEN DILKUSH</t>
        </is>
      </c>
      <c r="B288" s="27" t="n"/>
      <c r="C288" s="27" t="inlineStr">
        <is>
          <t>Snacks</t>
        </is>
      </c>
      <c r="D288" s="28" t="inlineStr">
        <is>
          <t>868222520630</t>
        </is>
      </c>
      <c r="E288" s="27" t="n"/>
      <c r="F288" s="29" t="n">
        <v>0</v>
      </c>
      <c r="G288" s="29" t="n">
        <v>50</v>
      </c>
      <c r="H288" s="27" t="inlineStr">
        <is>
          <t>Exclusive</t>
        </is>
      </c>
      <c r="I288" s="29" t="n">
        <v>45</v>
      </c>
      <c r="J288" s="27" t="inlineStr">
        <is>
          <t>Exclusive</t>
        </is>
      </c>
      <c r="K288" s="29" t="n">
        <v>55</v>
      </c>
      <c r="L288" s="29" t="n">
        <v>11</v>
      </c>
      <c r="M288" s="33" t="n">
        <v>1</v>
      </c>
      <c r="N288" s="27" t="inlineStr">
        <is>
          <t>Yes</t>
        </is>
      </c>
      <c r="O288" s="29" t="n">
        <v>0</v>
      </c>
      <c r="P288" s="30" t="n">
        <v>450</v>
      </c>
      <c r="Q288" s="31" t="inlineStr">
        <is>
          <t>In Stock</t>
        </is>
      </c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5" customHeight="1" s="85">
      <c r="A289" s="27" t="inlineStr">
        <is>
          <t>DESICCATED COCONUT 100GM</t>
        </is>
      </c>
      <c r="B289" s="27" t="n"/>
      <c r="C289" s="27" t="inlineStr">
        <is>
          <t>Ready to Eat &amp; Mixes</t>
        </is>
      </c>
      <c r="D289" s="28" t="inlineStr">
        <is>
          <t>142854782724</t>
        </is>
      </c>
      <c r="E289" s="27" t="n"/>
      <c r="F289" s="29" t="n">
        <v>0</v>
      </c>
      <c r="G289" s="29" t="n">
        <v>42</v>
      </c>
      <c r="H289" s="27" t="inlineStr">
        <is>
          <t>Exclusive</t>
        </is>
      </c>
      <c r="I289" s="29" t="n">
        <v>30</v>
      </c>
      <c r="J289" s="27" t="inlineStr">
        <is>
          <t>Exclusive</t>
        </is>
      </c>
      <c r="K289" s="29" t="n">
        <v>42</v>
      </c>
      <c r="L289" s="29" t="n">
        <v>0</v>
      </c>
      <c r="M289" s="33" t="n">
        <v>1</v>
      </c>
      <c r="N289" s="27" t="inlineStr">
        <is>
          <t>Yes</t>
        </is>
      </c>
      <c r="O289" s="29" t="n">
        <v>0</v>
      </c>
      <c r="P289" s="30" t="n">
        <v>450</v>
      </c>
      <c r="Q289" s="31" t="inlineStr">
        <is>
          <t>In Stock</t>
        </is>
      </c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5" customHeight="1" s="85">
      <c r="A290" s="27" t="inlineStr">
        <is>
          <t>DESKS</t>
        </is>
      </c>
      <c r="B290" s="27" t="n"/>
      <c r="C290" s="27" t="inlineStr">
        <is>
          <t>Fixed Assets</t>
        </is>
      </c>
      <c r="D290" s="32" t="inlineStr">
        <is>
          <t>100124</t>
        </is>
      </c>
      <c r="E290" s="27" t="n"/>
      <c r="F290" s="29" t="n">
        <v>0</v>
      </c>
      <c r="G290" s="29" t="n">
        <v>500</v>
      </c>
      <c r="H290" s="27" t="inlineStr">
        <is>
          <t>Exclusive</t>
        </is>
      </c>
      <c r="I290" s="29" t="n">
        <v>500</v>
      </c>
      <c r="J290" s="27" t="inlineStr">
        <is>
          <t>Exclusive</t>
        </is>
      </c>
      <c r="K290" s="29" t="n">
        <v>500</v>
      </c>
      <c r="L290" s="29" t="n">
        <v>0</v>
      </c>
      <c r="M290" s="27" t="n"/>
      <c r="N290" s="27" t="inlineStr">
        <is>
          <t>Yes</t>
        </is>
      </c>
      <c r="O290" s="29" t="n">
        <v>0</v>
      </c>
      <c r="P290" s="30" t="n">
        <v>450</v>
      </c>
      <c r="Q290" s="31" t="inlineStr">
        <is>
          <t>In Stock</t>
        </is>
      </c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5" customHeight="1" s="85">
      <c r="A291" s="27" t="inlineStr">
        <is>
          <t>DEVAN'S NATRAJ COFFEE 200GM</t>
        </is>
      </c>
      <c r="B291" s="27" t="n"/>
      <c r="C291" s="27" t="inlineStr">
        <is>
          <t>Beverages</t>
        </is>
      </c>
      <c r="D291" s="28" t="inlineStr">
        <is>
          <t>808653920123</t>
        </is>
      </c>
      <c r="E291" s="27" t="n"/>
      <c r="F291" s="29" t="n">
        <v>0</v>
      </c>
      <c r="G291" s="29" t="n">
        <v>130</v>
      </c>
      <c r="H291" s="27" t="inlineStr">
        <is>
          <t>Exclusive</t>
        </is>
      </c>
      <c r="I291" s="29" t="n">
        <v>124</v>
      </c>
      <c r="J291" s="27" t="inlineStr">
        <is>
          <t>Exclusive</t>
        </is>
      </c>
      <c r="K291" s="29" t="n">
        <v>130</v>
      </c>
      <c r="L291" s="29" t="n">
        <v>2</v>
      </c>
      <c r="M291" s="33" t="n">
        <v>1</v>
      </c>
      <c r="N291" s="27" t="inlineStr">
        <is>
          <t>Yes</t>
        </is>
      </c>
      <c r="O291" s="29" t="n">
        <v>0</v>
      </c>
      <c r="P291" s="30" t="n">
        <v>450</v>
      </c>
      <c r="Q291" s="31" t="inlineStr">
        <is>
          <t>In Stock</t>
        </is>
      </c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5" customHeight="1" s="85">
      <c r="A292" s="27" t="inlineStr">
        <is>
          <t>DHANDHRI AYURVEDIC TOOTH PASTE</t>
        </is>
      </c>
      <c r="B292" s="27" t="n"/>
      <c r="C292" s="27" t="inlineStr">
        <is>
          <t>Healthcare Items</t>
        </is>
      </c>
      <c r="D292" s="28" t="inlineStr">
        <is>
          <t>8904070907493</t>
        </is>
      </c>
      <c r="E292" s="27" t="n"/>
      <c r="F292" s="29" t="n">
        <v>0</v>
      </c>
      <c r="G292" s="29" t="n">
        <v>60</v>
      </c>
      <c r="H292" s="27" t="inlineStr">
        <is>
          <t>Inclusive</t>
        </is>
      </c>
      <c r="I292" s="29" t="n">
        <v>52</v>
      </c>
      <c r="J292" s="27" t="inlineStr">
        <is>
          <t>Inclusive</t>
        </is>
      </c>
      <c r="K292" s="29" t="n">
        <v>60</v>
      </c>
      <c r="L292" s="29" t="n">
        <v>2</v>
      </c>
      <c r="M292" s="33" t="n">
        <v>1</v>
      </c>
      <c r="N292" s="27" t="inlineStr">
        <is>
          <t>Yes</t>
        </is>
      </c>
      <c r="O292" s="29" t="n">
        <v>0</v>
      </c>
      <c r="P292" s="30" t="n">
        <v>450</v>
      </c>
      <c r="Q292" s="31" t="inlineStr">
        <is>
          <t>In Stock</t>
        </is>
      </c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5" customHeight="1" s="85">
      <c r="A293" s="27" t="inlineStr">
        <is>
          <t>DHANDHRI MAVILA TOOTH PASTE</t>
        </is>
      </c>
      <c r="B293" s="27" t="n"/>
      <c r="C293" s="27" t="inlineStr">
        <is>
          <t>Healthcare Items</t>
        </is>
      </c>
      <c r="D293" s="28" t="inlineStr">
        <is>
          <t>8904070908261</t>
        </is>
      </c>
      <c r="E293" s="27" t="n"/>
      <c r="F293" s="29" t="n">
        <v>0</v>
      </c>
      <c r="G293" s="29" t="n">
        <v>80</v>
      </c>
      <c r="H293" s="27" t="inlineStr">
        <is>
          <t>Inclusive</t>
        </is>
      </c>
      <c r="I293" s="29" t="n">
        <v>69</v>
      </c>
      <c r="J293" s="27" t="inlineStr">
        <is>
          <t>Inclusive</t>
        </is>
      </c>
      <c r="K293" s="29" t="n">
        <v>80</v>
      </c>
      <c r="L293" s="29" t="n">
        <v>2</v>
      </c>
      <c r="M293" s="33" t="n">
        <v>1</v>
      </c>
      <c r="N293" s="27" t="inlineStr">
        <is>
          <t>Yes</t>
        </is>
      </c>
      <c r="O293" s="29" t="n">
        <v>0</v>
      </c>
      <c r="P293" s="30" t="n">
        <v>450</v>
      </c>
      <c r="Q293" s="31" t="inlineStr">
        <is>
          <t>In Stock</t>
        </is>
      </c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5" customHeight="1" s="85">
      <c r="A294" s="27" t="inlineStr">
        <is>
          <t>D HANDWASH ALOE VERA 200ML</t>
        </is>
      </c>
      <c r="B294" s="27" t="n"/>
      <c r="C294" s="27" t="inlineStr">
        <is>
          <t>Healthcare Items</t>
        </is>
      </c>
      <c r="D294" s="32" t="inlineStr">
        <is>
          <t>100125</t>
        </is>
      </c>
      <c r="E294" s="27" t="n"/>
      <c r="F294" s="29" t="n">
        <v>0</v>
      </c>
      <c r="G294" s="29" t="n">
        <v>99</v>
      </c>
      <c r="H294" s="27" t="inlineStr">
        <is>
          <t>Exclusive</t>
        </is>
      </c>
      <c r="I294" s="29" t="n">
        <v>71.31</v>
      </c>
      <c r="J294" s="27" t="inlineStr">
        <is>
          <t>Exclusive</t>
        </is>
      </c>
      <c r="K294" s="29" t="n">
        <v>0</v>
      </c>
      <c r="L294" s="29" t="n">
        <v>0</v>
      </c>
      <c r="M294" s="27" t="n"/>
      <c r="N294" s="27" t="inlineStr">
        <is>
          <t>Yes</t>
        </is>
      </c>
      <c r="O294" s="29" t="n">
        <v>0</v>
      </c>
      <c r="P294" s="30" t="n">
        <v>450</v>
      </c>
      <c r="Q294" s="31" t="inlineStr">
        <is>
          <t>In Stock</t>
        </is>
      </c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5" customHeight="1" s="85">
      <c r="A295" s="27" t="inlineStr">
        <is>
          <t>D HANDWASH TURMERIC 200ML</t>
        </is>
      </c>
      <c r="B295" s="27" t="n"/>
      <c r="C295" s="27" t="inlineStr">
        <is>
          <t>Healthcare Items</t>
        </is>
      </c>
      <c r="D295" s="32" t="inlineStr">
        <is>
          <t>100126</t>
        </is>
      </c>
      <c r="E295" s="27" t="n"/>
      <c r="F295" s="29" t="n">
        <v>0</v>
      </c>
      <c r="G295" s="29" t="n">
        <v>99</v>
      </c>
      <c r="H295" s="27" t="inlineStr">
        <is>
          <t>Exclusive</t>
        </is>
      </c>
      <c r="I295" s="29" t="n">
        <v>71.31</v>
      </c>
      <c r="J295" s="27" t="inlineStr">
        <is>
          <t>Exclusive</t>
        </is>
      </c>
      <c r="K295" s="29" t="n">
        <v>0</v>
      </c>
      <c r="L295" s="29" t="n">
        <v>0</v>
      </c>
      <c r="M295" s="27" t="n"/>
      <c r="N295" s="27" t="inlineStr">
        <is>
          <t>Yes</t>
        </is>
      </c>
      <c r="O295" s="29" t="n">
        <v>0</v>
      </c>
      <c r="P295" s="30" t="n">
        <v>450</v>
      </c>
      <c r="Q295" s="31" t="inlineStr">
        <is>
          <t>In Stock</t>
        </is>
      </c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5" customHeight="1" s="85">
      <c r="A296" s="27" t="inlineStr">
        <is>
          <t>DHANTRI HAIR OIL 100GM</t>
        </is>
      </c>
      <c r="B296" s="27" t="n"/>
      <c r="C296" s="27" t="inlineStr">
        <is>
          <t>Healthcare Items</t>
        </is>
      </c>
      <c r="D296" s="28" t="inlineStr">
        <is>
          <t>8904070900012</t>
        </is>
      </c>
      <c r="E296" s="27" t="n"/>
      <c r="F296" s="29" t="n">
        <v>0</v>
      </c>
      <c r="G296" s="29" t="n">
        <v>195</v>
      </c>
      <c r="H296" s="27" t="inlineStr">
        <is>
          <t>Exclusive</t>
        </is>
      </c>
      <c r="I296" s="29" t="n">
        <v>215</v>
      </c>
      <c r="J296" s="27" t="inlineStr">
        <is>
          <t>Exclusive</t>
        </is>
      </c>
      <c r="K296" s="29" t="n">
        <v>195</v>
      </c>
      <c r="L296" s="29" t="n">
        <v>0</v>
      </c>
      <c r="M296" s="33" t="n">
        <v>1</v>
      </c>
      <c r="N296" s="27" t="inlineStr">
        <is>
          <t>Yes</t>
        </is>
      </c>
      <c r="O296" s="29" t="n">
        <v>0</v>
      </c>
      <c r="P296" s="30" t="n">
        <v>450</v>
      </c>
      <c r="Q296" s="31" t="inlineStr">
        <is>
          <t>In Stock</t>
        </is>
      </c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5" customHeight="1" s="85">
      <c r="A297" s="27" t="inlineStr">
        <is>
          <t>DHANTRI SANDAL SOAP</t>
        </is>
      </c>
      <c r="B297" s="27" t="n"/>
      <c r="C297" s="27" t="inlineStr">
        <is>
          <t>Healthcare Items</t>
        </is>
      </c>
      <c r="D297" s="28" t="inlineStr">
        <is>
          <t>8904070907707</t>
        </is>
      </c>
      <c r="E297" s="27" t="n"/>
      <c r="F297" s="29" t="n">
        <v>0</v>
      </c>
      <c r="G297" s="29" t="n">
        <v>40</v>
      </c>
      <c r="H297" s="27" t="inlineStr">
        <is>
          <t>Inclusive</t>
        </is>
      </c>
      <c r="I297" s="29" t="n">
        <v>32</v>
      </c>
      <c r="J297" s="27" t="inlineStr">
        <is>
          <t>Inclusive</t>
        </is>
      </c>
      <c r="K297" s="29" t="n">
        <v>35</v>
      </c>
      <c r="L297" s="29" t="n">
        <v>0</v>
      </c>
      <c r="M297" s="33" t="n">
        <v>1</v>
      </c>
      <c r="N297" s="27" t="inlineStr">
        <is>
          <t>Yes</t>
        </is>
      </c>
      <c r="O297" s="29" t="n">
        <v>0</v>
      </c>
      <c r="P297" s="30" t="n">
        <v>450</v>
      </c>
      <c r="Q297" s="31" t="inlineStr">
        <is>
          <t>In Stock</t>
        </is>
      </c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5" customHeight="1" s="85">
      <c r="A298" s="27" t="inlineStr">
        <is>
          <t>DHANTRI TURMERIC SOAP</t>
        </is>
      </c>
      <c r="B298" s="27" t="n"/>
      <c r="C298" s="27" t="inlineStr">
        <is>
          <t>Healthcare Items</t>
        </is>
      </c>
      <c r="D298" s="28" t="inlineStr">
        <is>
          <t>8904070905949</t>
        </is>
      </c>
      <c r="E298" s="27" t="n"/>
      <c r="F298" s="29" t="n">
        <v>0</v>
      </c>
      <c r="G298" s="29" t="n">
        <v>40</v>
      </c>
      <c r="H298" s="27" t="inlineStr">
        <is>
          <t>Inclusive</t>
        </is>
      </c>
      <c r="I298" s="29" t="n">
        <v>38</v>
      </c>
      <c r="J298" s="27" t="inlineStr">
        <is>
          <t>Inclusive</t>
        </is>
      </c>
      <c r="K298" s="29" t="n">
        <v>40</v>
      </c>
      <c r="L298" s="29" t="n">
        <v>0</v>
      </c>
      <c r="M298" s="33" t="n">
        <v>1</v>
      </c>
      <c r="N298" s="27" t="inlineStr">
        <is>
          <t>Yes</t>
        </is>
      </c>
      <c r="O298" s="29" t="n">
        <v>0</v>
      </c>
      <c r="P298" s="30" t="n">
        <v>450</v>
      </c>
      <c r="Q298" s="31" t="inlineStr">
        <is>
          <t>In Stock</t>
        </is>
      </c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5" customHeight="1" s="85">
      <c r="A299" s="27" t="inlineStr">
        <is>
          <t>DHANVANDARAM THAILAM</t>
        </is>
      </c>
      <c r="B299" s="27" t="n"/>
      <c r="C299" s="27" t="inlineStr">
        <is>
          <t>Healthcare Items</t>
        </is>
      </c>
      <c r="D299" s="28" t="inlineStr">
        <is>
          <t>8904059160550</t>
        </is>
      </c>
      <c r="E299" s="27" t="n"/>
      <c r="F299" s="29" t="n">
        <v>0</v>
      </c>
      <c r="G299" s="29" t="n">
        <v>210</v>
      </c>
      <c r="H299" s="27" t="inlineStr">
        <is>
          <t>Inclusive</t>
        </is>
      </c>
      <c r="I299" s="29" t="n">
        <v>185</v>
      </c>
      <c r="J299" s="27" t="inlineStr">
        <is>
          <t>Inclusive</t>
        </is>
      </c>
      <c r="K299" s="29" t="n">
        <v>217</v>
      </c>
      <c r="L299" s="29" t="n">
        <v>2</v>
      </c>
      <c r="M299" s="33" t="n">
        <v>1</v>
      </c>
      <c r="N299" s="27" t="inlineStr">
        <is>
          <t>Yes</t>
        </is>
      </c>
      <c r="O299" s="29" t="n">
        <v>0</v>
      </c>
      <c r="P299" s="30" t="n">
        <v>450</v>
      </c>
      <c r="Q299" s="31" t="inlineStr">
        <is>
          <t>In Stock</t>
        </is>
      </c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5" customHeight="1" s="85">
      <c r="A300" s="27" t="inlineStr">
        <is>
          <t>DHATHRI RAKTHA CHANDAN SOAP 75GM</t>
        </is>
      </c>
      <c r="B300" s="27" t="n"/>
      <c r="C300" s="27" t="inlineStr">
        <is>
          <t>Healthcare Items</t>
        </is>
      </c>
      <c r="D300" s="32" t="inlineStr">
        <is>
          <t>100127</t>
        </is>
      </c>
      <c r="E300" s="29" t="n">
        <v>34011110</v>
      </c>
      <c r="F300" s="29" t="n">
        <v>5</v>
      </c>
      <c r="G300" s="29" t="n">
        <v>45</v>
      </c>
      <c r="H300" s="27" t="inlineStr">
        <is>
          <t>Exclusive</t>
        </is>
      </c>
      <c r="I300" s="29" t="n">
        <v>32</v>
      </c>
      <c r="J300" s="27" t="inlineStr">
        <is>
          <t>Exclusive</t>
        </is>
      </c>
      <c r="K300" s="29" t="n">
        <v>0</v>
      </c>
      <c r="L300" s="29" t="n">
        <v>0</v>
      </c>
      <c r="M300" s="27" t="n"/>
      <c r="N300" s="27" t="inlineStr">
        <is>
          <t>Yes</t>
        </is>
      </c>
      <c r="O300" s="29" t="n">
        <v>0</v>
      </c>
      <c r="P300" s="30" t="n">
        <v>450</v>
      </c>
      <c r="Q300" s="31" t="inlineStr">
        <is>
          <t>In Stock</t>
        </is>
      </c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5" customHeight="1" s="85">
      <c r="A301" s="27" t="inlineStr">
        <is>
          <t>DHEEDHI SHAMPOO 100ML</t>
        </is>
      </c>
      <c r="B301" s="27" t="n"/>
      <c r="C301" s="27" t="inlineStr">
        <is>
          <t>Healthcare Items</t>
        </is>
      </c>
      <c r="D301" s="28" t="inlineStr">
        <is>
          <t>8904070900081</t>
        </is>
      </c>
      <c r="E301" s="27" t="n"/>
      <c r="F301" s="29" t="n">
        <v>0</v>
      </c>
      <c r="G301" s="29" t="n">
        <v>98</v>
      </c>
      <c r="H301" s="27" t="inlineStr">
        <is>
          <t>Exclusive</t>
        </is>
      </c>
      <c r="I301" s="29" t="n">
        <v>85</v>
      </c>
      <c r="J301" s="27" t="inlineStr">
        <is>
          <t>Exclusive</t>
        </is>
      </c>
      <c r="K301" s="29" t="n">
        <v>98</v>
      </c>
      <c r="L301" s="29" t="n">
        <v>0</v>
      </c>
      <c r="M301" s="33" t="n">
        <v>1</v>
      </c>
      <c r="N301" s="27" t="inlineStr">
        <is>
          <t>Yes</t>
        </is>
      </c>
      <c r="O301" s="29" t="n">
        <v>0</v>
      </c>
      <c r="P301" s="30" t="n">
        <v>450</v>
      </c>
      <c r="Q301" s="31" t="inlineStr">
        <is>
          <t>In Stock</t>
        </is>
      </c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5" customHeight="1" s="85">
      <c r="A302" s="27" t="inlineStr">
        <is>
          <t>DHEEDHI SHAMPOO 200ML</t>
        </is>
      </c>
      <c r="B302" s="27" t="n"/>
      <c r="C302" s="27" t="inlineStr">
        <is>
          <t>Healthcare Items</t>
        </is>
      </c>
      <c r="D302" s="28" t="inlineStr">
        <is>
          <t>8904070900357</t>
        </is>
      </c>
      <c r="E302" s="27" t="n"/>
      <c r="F302" s="29" t="n">
        <v>0</v>
      </c>
      <c r="G302" s="29" t="n">
        <v>175</v>
      </c>
      <c r="H302" s="27" t="inlineStr">
        <is>
          <t>Exclusive</t>
        </is>
      </c>
      <c r="I302" s="29" t="n">
        <v>165</v>
      </c>
      <c r="J302" s="27" t="inlineStr">
        <is>
          <t>Exclusive</t>
        </is>
      </c>
      <c r="K302" s="29" t="n">
        <v>175</v>
      </c>
      <c r="L302" s="29" t="n">
        <v>0</v>
      </c>
      <c r="M302" s="33" t="n">
        <v>1</v>
      </c>
      <c r="N302" s="27" t="inlineStr">
        <is>
          <t>Yes</t>
        </is>
      </c>
      <c r="O302" s="29" t="n">
        <v>0</v>
      </c>
      <c r="P302" s="30" t="n">
        <v>450</v>
      </c>
      <c r="Q302" s="31" t="inlineStr">
        <is>
          <t>In Stock</t>
        </is>
      </c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5" customHeight="1" s="85">
      <c r="A303" s="27" t="inlineStr">
        <is>
          <t>DIARY NOTE BOOK</t>
        </is>
      </c>
      <c r="B303" s="27" t="n"/>
      <c r="C303" s="27" t="inlineStr">
        <is>
          <t>Stationery</t>
        </is>
      </c>
      <c r="D303" s="32" t="inlineStr">
        <is>
          <t>100128</t>
        </is>
      </c>
      <c r="E303" s="27" t="n"/>
      <c r="F303" s="29" t="n">
        <v>0</v>
      </c>
      <c r="G303" s="29" t="n">
        <v>80</v>
      </c>
      <c r="H303" s="27" t="inlineStr">
        <is>
          <t>Exclusive</t>
        </is>
      </c>
      <c r="I303" s="29" t="n">
        <v>40</v>
      </c>
      <c r="J303" s="27" t="inlineStr">
        <is>
          <t>Exclusive</t>
        </is>
      </c>
      <c r="K303" s="29" t="n">
        <v>100</v>
      </c>
      <c r="L303" s="29" t="n">
        <v>0</v>
      </c>
      <c r="M303" s="33" t="n">
        <v>1</v>
      </c>
      <c r="N303" s="27" t="inlineStr">
        <is>
          <t>No</t>
        </is>
      </c>
      <c r="O303" s="29" t="n">
        <v>0</v>
      </c>
      <c r="P303" s="30" t="n">
        <v>450</v>
      </c>
      <c r="Q303" s="31" t="inlineStr">
        <is>
          <t>In Stock</t>
        </is>
      </c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5" customHeight="1" s="85">
      <c r="A304" s="27" t="inlineStr">
        <is>
          <t>DK ROUND (KERALA RICE)MURUK 180GM</t>
        </is>
      </c>
      <c r="B304" s="27" t="n"/>
      <c r="C304" s="27" t="inlineStr">
        <is>
          <t>Snacks</t>
        </is>
      </c>
      <c r="D304" s="28" t="inlineStr">
        <is>
          <t>516422039346</t>
        </is>
      </c>
      <c r="E304" s="27" t="n"/>
      <c r="F304" s="29" t="n">
        <v>0</v>
      </c>
      <c r="G304" s="29" t="n">
        <v>70</v>
      </c>
      <c r="H304" s="27" t="inlineStr">
        <is>
          <t>Exclusive</t>
        </is>
      </c>
      <c r="I304" s="29" t="n">
        <v>34</v>
      </c>
      <c r="J304" s="27" t="inlineStr">
        <is>
          <t>Exclusive</t>
        </is>
      </c>
      <c r="K304" s="29" t="n">
        <v>70</v>
      </c>
      <c r="L304" s="29" t="n">
        <v>5</v>
      </c>
      <c r="M304" s="33" t="n">
        <v>1</v>
      </c>
      <c r="N304" s="27" t="inlineStr">
        <is>
          <t>Yes</t>
        </is>
      </c>
      <c r="O304" s="29" t="n">
        <v>0</v>
      </c>
      <c r="P304" s="30" t="n">
        <v>450</v>
      </c>
      <c r="Q304" s="31" t="inlineStr">
        <is>
          <t>In Stock</t>
        </is>
      </c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5" customHeight="1" s="85">
      <c r="A305" s="27" t="inlineStr">
        <is>
          <t>D NALPAMARA SOAP 75GM</t>
        </is>
      </c>
      <c r="B305" s="27" t="n"/>
      <c r="C305" s="27" t="inlineStr">
        <is>
          <t>Healthcare Items</t>
        </is>
      </c>
      <c r="D305" s="32" t="inlineStr">
        <is>
          <t>100129</t>
        </is>
      </c>
      <c r="E305" s="27" t="n"/>
      <c r="F305" s="29" t="n">
        <v>0</v>
      </c>
      <c r="G305" s="29" t="n">
        <v>40</v>
      </c>
      <c r="H305" s="27" t="inlineStr">
        <is>
          <t>Exclusive</t>
        </is>
      </c>
      <c r="I305" s="29" t="n">
        <v>32.38</v>
      </c>
      <c r="J305" s="27" t="inlineStr">
        <is>
          <t>Exclusive</t>
        </is>
      </c>
      <c r="K305" s="29" t="n">
        <v>0</v>
      </c>
      <c r="L305" s="29" t="n">
        <v>2</v>
      </c>
      <c r="M305" s="27" t="n"/>
      <c r="N305" s="27" t="inlineStr">
        <is>
          <t>Yes</t>
        </is>
      </c>
      <c r="O305" s="29" t="n">
        <v>0</v>
      </c>
      <c r="P305" s="30" t="n">
        <v>450</v>
      </c>
      <c r="Q305" s="31" t="inlineStr">
        <is>
          <t>In Stock</t>
        </is>
      </c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5" customHeight="1" s="85">
      <c r="A306" s="27" t="inlineStr">
        <is>
          <t>DRIED PRAWN</t>
        </is>
      </c>
      <c r="B306" s="27" t="n"/>
      <c r="C306" s="27" t="inlineStr">
        <is>
          <t>Fish &amp; Meat</t>
        </is>
      </c>
      <c r="D306" s="28" t="inlineStr">
        <is>
          <t>8907093004613</t>
        </is>
      </c>
      <c r="E306" s="27" t="n"/>
      <c r="F306" s="29" t="n">
        <v>0</v>
      </c>
      <c r="G306" s="29" t="n">
        <v>85</v>
      </c>
      <c r="H306" s="27" t="inlineStr">
        <is>
          <t>Exclusive</t>
        </is>
      </c>
      <c r="I306" s="29" t="n">
        <v>72</v>
      </c>
      <c r="J306" s="27" t="inlineStr">
        <is>
          <t>Exclusive</t>
        </is>
      </c>
      <c r="K306" s="29" t="n">
        <v>85</v>
      </c>
      <c r="L306" s="29" t="n">
        <v>5</v>
      </c>
      <c r="M306" s="33" t="n">
        <v>1</v>
      </c>
      <c r="N306" s="27" t="inlineStr">
        <is>
          <t>Yes</t>
        </is>
      </c>
      <c r="O306" s="29" t="n">
        <v>0</v>
      </c>
      <c r="P306" s="30" t="n">
        <v>450</v>
      </c>
      <c r="Q306" s="31" t="inlineStr">
        <is>
          <t>In Stock</t>
        </is>
      </c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5" customHeight="1" s="85">
      <c r="A307" s="27" t="inlineStr">
        <is>
          <t>DRUMS DECORATION</t>
        </is>
      </c>
      <c r="B307" s="27" t="n"/>
      <c r="C307" s="27" t="inlineStr">
        <is>
          <t>Church Articles</t>
        </is>
      </c>
      <c r="D307" s="28" t="inlineStr">
        <is>
          <t>988484191601</t>
        </is>
      </c>
      <c r="E307" s="27" t="n"/>
      <c r="F307" s="29" t="n">
        <v>0</v>
      </c>
      <c r="G307" s="29" t="n">
        <v>7</v>
      </c>
      <c r="H307" s="27" t="inlineStr">
        <is>
          <t>Exclusive</t>
        </is>
      </c>
      <c r="I307" s="29" t="n">
        <v>5</v>
      </c>
      <c r="J307" s="27" t="inlineStr">
        <is>
          <t>Inclusive</t>
        </is>
      </c>
      <c r="K307" s="29" t="n">
        <v>10</v>
      </c>
      <c r="L307" s="29" t="n">
        <v>0</v>
      </c>
      <c r="M307" s="33" t="n">
        <v>1</v>
      </c>
      <c r="N307" s="27" t="inlineStr">
        <is>
          <t>Yes</t>
        </is>
      </c>
      <c r="O307" s="29" t="n">
        <v>0</v>
      </c>
      <c r="P307" s="30" t="n">
        <v>450</v>
      </c>
      <c r="Q307" s="31" t="inlineStr">
        <is>
          <t>In Stock</t>
        </is>
      </c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5" customHeight="1" s="85">
      <c r="A308" s="27" t="inlineStr">
        <is>
          <t>DRUMSTICK - MURINGAKKA</t>
        </is>
      </c>
      <c r="B308" s="27" t="n"/>
      <c r="C308" s="27" t="inlineStr">
        <is>
          <t>Raw Items &amp; Produce</t>
        </is>
      </c>
      <c r="D308" s="32" t="inlineStr">
        <is>
          <t>100131</t>
        </is>
      </c>
      <c r="E308" s="27" t="n"/>
      <c r="F308" s="29" t="n">
        <v>0</v>
      </c>
      <c r="G308" s="29" t="n">
        <v>110</v>
      </c>
      <c r="H308" s="27" t="inlineStr">
        <is>
          <t>Exclusive</t>
        </is>
      </c>
      <c r="I308" s="29" t="n">
        <v>90</v>
      </c>
      <c r="J308" s="27" t="inlineStr">
        <is>
          <t>Exclusive</t>
        </is>
      </c>
      <c r="K308" s="29" t="n">
        <v>110</v>
      </c>
      <c r="L308" s="29" t="n">
        <v>0</v>
      </c>
      <c r="M308" s="33" t="n">
        <v>1</v>
      </c>
      <c r="N308" s="27" t="inlineStr">
        <is>
          <t>Yes</t>
        </is>
      </c>
      <c r="O308" s="29" t="n">
        <v>0</v>
      </c>
      <c r="P308" s="30" t="n">
        <v>450</v>
      </c>
      <c r="Q308" s="31" t="inlineStr">
        <is>
          <t>In Stock</t>
        </is>
      </c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5" customHeight="1" s="85">
      <c r="A309" s="27" t="inlineStr">
        <is>
          <t>DRY FISH VARIOUS ITEMS</t>
        </is>
      </c>
      <c r="B309" s="27" t="n"/>
      <c r="C309" s="27" t="inlineStr">
        <is>
          <t>Fish &amp; Meat</t>
        </is>
      </c>
      <c r="D309" s="28" t="inlineStr">
        <is>
          <t>550389761801</t>
        </is>
      </c>
      <c r="E309" s="27" t="n"/>
      <c r="F309" s="29" t="n">
        <v>0</v>
      </c>
      <c r="G309" s="29" t="n">
        <v>50</v>
      </c>
      <c r="H309" s="27" t="inlineStr">
        <is>
          <t>Exclusive</t>
        </is>
      </c>
      <c r="I309" s="29" t="n">
        <v>25</v>
      </c>
      <c r="J309" s="27" t="inlineStr">
        <is>
          <t>Exclusive</t>
        </is>
      </c>
      <c r="K309" s="29" t="n">
        <v>75</v>
      </c>
      <c r="L309" s="29" t="n">
        <v>0</v>
      </c>
      <c r="M309" s="33" t="n">
        <v>1</v>
      </c>
      <c r="N309" s="27" t="inlineStr">
        <is>
          <t>Yes</t>
        </is>
      </c>
      <c r="O309" s="29" t="n">
        <v>0</v>
      </c>
      <c r="P309" s="30" t="n">
        <v>450</v>
      </c>
      <c r="Q309" s="31" t="inlineStr">
        <is>
          <t>In Stock</t>
        </is>
      </c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5" customHeight="1" s="85">
      <c r="A310" s="27" t="inlineStr">
        <is>
          <t>D SANDAL SOAP 75GM</t>
        </is>
      </c>
      <c r="B310" s="27" t="n"/>
      <c r="C310" s="27" t="inlineStr">
        <is>
          <t>Healthcare Items</t>
        </is>
      </c>
      <c r="D310" s="32" t="inlineStr">
        <is>
          <t>100132</t>
        </is>
      </c>
      <c r="E310" s="27" t="n"/>
      <c r="F310" s="29" t="n">
        <v>0</v>
      </c>
      <c r="G310" s="29" t="n">
        <v>40</v>
      </c>
      <c r="H310" s="27" t="inlineStr">
        <is>
          <t>Exclusive</t>
        </is>
      </c>
      <c r="I310" s="29" t="n">
        <v>29.14</v>
      </c>
      <c r="J310" s="27" t="inlineStr">
        <is>
          <t>Exclusive</t>
        </is>
      </c>
      <c r="K310" s="29" t="n">
        <v>0</v>
      </c>
      <c r="L310" s="29" t="n">
        <v>4</v>
      </c>
      <c r="M310" s="27" t="n"/>
      <c r="N310" s="27" t="inlineStr">
        <is>
          <t>Yes</t>
        </is>
      </c>
      <c r="O310" s="29" t="n">
        <v>0</v>
      </c>
      <c r="P310" s="30" t="n">
        <v>450</v>
      </c>
      <c r="Q310" s="31" t="inlineStr">
        <is>
          <t>In Stock</t>
        </is>
      </c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5" customHeight="1" s="85">
      <c r="A311" s="27" t="inlineStr">
        <is>
          <t>DUCK MEAT</t>
        </is>
      </c>
      <c r="B311" s="27" t="n"/>
      <c r="C311" s="27" t="inlineStr">
        <is>
          <t>Fish &amp; Meat</t>
        </is>
      </c>
      <c r="D311" s="32" t="inlineStr">
        <is>
          <t>100133</t>
        </is>
      </c>
      <c r="E311" s="27" t="n"/>
      <c r="F311" s="29" t="n">
        <v>0</v>
      </c>
      <c r="G311" s="29" t="n">
        <v>650</v>
      </c>
      <c r="H311" s="27" t="inlineStr">
        <is>
          <t>Exclusive</t>
        </is>
      </c>
      <c r="I311" s="29" t="n">
        <v>590</v>
      </c>
      <c r="J311" s="27" t="inlineStr">
        <is>
          <t>Exclusive</t>
        </is>
      </c>
      <c r="K311" s="29" t="n">
        <v>700</v>
      </c>
      <c r="L311" s="29" t="n">
        <v>0</v>
      </c>
      <c r="M311" s="27" t="n"/>
      <c r="N311" s="27" t="inlineStr">
        <is>
          <t>Yes</t>
        </is>
      </c>
      <c r="O311" s="29" t="n">
        <v>0</v>
      </c>
      <c r="P311" s="30" t="n">
        <v>450</v>
      </c>
      <c r="Q311" s="31" t="inlineStr">
        <is>
          <t>In Stock</t>
        </is>
      </c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5" customHeight="1" s="85">
      <c r="A312" s="27" t="inlineStr">
        <is>
          <t>EAR BUD M10</t>
        </is>
      </c>
      <c r="B312" s="27" t="n"/>
      <c r="C312" s="27" t="inlineStr">
        <is>
          <t>Electronics</t>
        </is>
      </c>
      <c r="D312" s="32" t="inlineStr">
        <is>
          <t>100134</t>
        </is>
      </c>
      <c r="E312" s="27" t="n"/>
      <c r="F312" s="29" t="n">
        <v>0</v>
      </c>
      <c r="G312" s="29" t="n">
        <v>630</v>
      </c>
      <c r="H312" s="27" t="inlineStr">
        <is>
          <t>Inclusive</t>
        </is>
      </c>
      <c r="I312" s="29" t="n">
        <v>250</v>
      </c>
      <c r="J312" s="27" t="inlineStr">
        <is>
          <t>Inclusive</t>
        </is>
      </c>
      <c r="K312" s="29" t="n">
        <v>755</v>
      </c>
      <c r="L312" s="29" t="n">
        <v>2</v>
      </c>
      <c r="M312" s="33" t="n">
        <v>1</v>
      </c>
      <c r="N312" s="27" t="inlineStr">
        <is>
          <t>No</t>
        </is>
      </c>
      <c r="O312" s="29" t="n">
        <v>0</v>
      </c>
      <c r="P312" s="30" t="n">
        <v>450</v>
      </c>
      <c r="Q312" s="31" t="inlineStr">
        <is>
          <t>In Stock</t>
        </is>
      </c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5" customHeight="1" s="85">
      <c r="A313" s="27" t="inlineStr">
        <is>
          <t>EAR BUDS 20</t>
        </is>
      </c>
      <c r="B313" s="27" t="n"/>
      <c r="C313" s="27" t="inlineStr">
        <is>
          <t>Electronics</t>
        </is>
      </c>
      <c r="D313" s="28" t="inlineStr">
        <is>
          <t>8809058410135</t>
        </is>
      </c>
      <c r="E313" s="27" t="n"/>
      <c r="F313" s="29" t="n">
        <v>0</v>
      </c>
      <c r="G313" s="29" t="n">
        <v>20</v>
      </c>
      <c r="H313" s="27" t="inlineStr">
        <is>
          <t>Exclusive</t>
        </is>
      </c>
      <c r="I313" s="29" t="n">
        <v>10</v>
      </c>
      <c r="J313" s="27" t="inlineStr">
        <is>
          <t>Exclusive</t>
        </is>
      </c>
      <c r="K313" s="29" t="n">
        <v>20</v>
      </c>
      <c r="L313" s="29" t="n">
        <v>4</v>
      </c>
      <c r="M313" s="33" t="n">
        <v>1</v>
      </c>
      <c r="N313" s="27" t="inlineStr">
        <is>
          <t>Yes</t>
        </is>
      </c>
      <c r="O313" s="29" t="n">
        <v>0</v>
      </c>
      <c r="P313" s="30" t="n">
        <v>450</v>
      </c>
      <c r="Q313" s="31" t="inlineStr">
        <is>
          <t>In Stock</t>
        </is>
      </c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5" customHeight="1" s="85">
      <c r="A314" s="27" t="inlineStr">
        <is>
          <t>EASTERN ADIMALI KAPPI COFFEE POWDER 100GM</t>
        </is>
      </c>
      <c r="B314" s="27" t="n"/>
      <c r="C314" s="27" t="inlineStr">
        <is>
          <t>Beverages</t>
        </is>
      </c>
      <c r="D314" s="28" t="inlineStr">
        <is>
          <t>8901440003373</t>
        </is>
      </c>
      <c r="E314" s="27" t="n"/>
      <c r="F314" s="29" t="n">
        <v>0</v>
      </c>
      <c r="G314" s="29" t="n">
        <v>75</v>
      </c>
      <c r="H314" s="27" t="inlineStr">
        <is>
          <t>Exclusive</t>
        </is>
      </c>
      <c r="I314" s="29" t="n">
        <v>63</v>
      </c>
      <c r="J314" s="27" t="inlineStr">
        <is>
          <t>Exclusive</t>
        </is>
      </c>
      <c r="K314" s="29" t="n">
        <v>40</v>
      </c>
      <c r="L314" s="29" t="n">
        <v>0</v>
      </c>
      <c r="M314" s="33" t="n">
        <v>1</v>
      </c>
      <c r="N314" s="27" t="inlineStr">
        <is>
          <t>Yes</t>
        </is>
      </c>
      <c r="O314" s="29" t="n">
        <v>0</v>
      </c>
      <c r="P314" s="30" t="n">
        <v>450</v>
      </c>
      <c r="Q314" s="31" t="inlineStr">
        <is>
          <t>In Stock</t>
        </is>
      </c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5" customHeight="1" s="85">
      <c r="A315" s="27" t="inlineStr">
        <is>
          <t>EASTERN BIRYANI MASALA 100GM</t>
        </is>
      </c>
      <c r="B315" s="27" t="n"/>
      <c r="C315" s="27" t="inlineStr">
        <is>
          <t>Masalas &amp; Spices</t>
        </is>
      </c>
      <c r="D315" s="28" t="inlineStr">
        <is>
          <t>8901440013020</t>
        </is>
      </c>
      <c r="E315" s="27" t="n"/>
      <c r="F315" s="29" t="n">
        <v>0</v>
      </c>
      <c r="G315" s="29" t="n">
        <v>94</v>
      </c>
      <c r="H315" s="27" t="inlineStr">
        <is>
          <t>Inclusive</t>
        </is>
      </c>
      <c r="I315" s="29" t="n">
        <v>60</v>
      </c>
      <c r="J315" s="27" t="inlineStr">
        <is>
          <t>Inclusive</t>
        </is>
      </c>
      <c r="K315" s="29" t="n">
        <v>94</v>
      </c>
      <c r="L315" s="29" t="n">
        <v>0</v>
      </c>
      <c r="M315" s="33" t="n">
        <v>1</v>
      </c>
      <c r="N315" s="27" t="inlineStr">
        <is>
          <t>Yes</t>
        </is>
      </c>
      <c r="O315" s="29" t="n">
        <v>0</v>
      </c>
      <c r="P315" s="30" t="n">
        <v>450</v>
      </c>
      <c r="Q315" s="31" t="inlineStr">
        <is>
          <t>In Stock</t>
        </is>
      </c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5" customHeight="1" s="85">
      <c r="A316" s="27" t="inlineStr">
        <is>
          <t>EASTERN CHICKEN MASALA 100GM</t>
        </is>
      </c>
      <c r="B316" s="27" t="n"/>
      <c r="C316" s="27" t="inlineStr">
        <is>
          <t>Masalas &amp; Spices</t>
        </is>
      </c>
      <c r="D316" s="28" t="inlineStr">
        <is>
          <t>8901440013099</t>
        </is>
      </c>
      <c r="E316" s="27" t="n"/>
      <c r="F316" s="29" t="n">
        <v>0</v>
      </c>
      <c r="G316" s="29" t="n">
        <v>74</v>
      </c>
      <c r="H316" s="27" t="inlineStr">
        <is>
          <t>Exclusive</t>
        </is>
      </c>
      <c r="I316" s="29" t="n">
        <v>60</v>
      </c>
      <c r="J316" s="27" t="inlineStr">
        <is>
          <t>Exclusive</t>
        </is>
      </c>
      <c r="K316" s="29" t="n">
        <v>74</v>
      </c>
      <c r="L316" s="29" t="n">
        <v>4</v>
      </c>
      <c r="M316" s="33" t="n">
        <v>1</v>
      </c>
      <c r="N316" s="27" t="inlineStr">
        <is>
          <t>Yes</t>
        </is>
      </c>
      <c r="O316" s="29" t="n">
        <v>0</v>
      </c>
      <c r="P316" s="30" t="n">
        <v>450</v>
      </c>
      <c r="Q316" s="31" t="inlineStr">
        <is>
          <t>In Stock</t>
        </is>
      </c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5" customHeight="1" s="85">
      <c r="A317" s="27" t="inlineStr">
        <is>
          <t>EASTERN CHILLI POWDER 250GM</t>
        </is>
      </c>
      <c r="B317" s="27" t="n"/>
      <c r="C317" s="27" t="inlineStr">
        <is>
          <t>Masalas &amp; Spices</t>
        </is>
      </c>
      <c r="D317" s="28" t="inlineStr">
        <is>
          <t>8901440023395</t>
        </is>
      </c>
      <c r="E317" s="27" t="n"/>
      <c r="F317" s="29" t="n">
        <v>0</v>
      </c>
      <c r="G317" s="29" t="n">
        <v>125</v>
      </c>
      <c r="H317" s="27" t="inlineStr">
        <is>
          <t>Exclusive</t>
        </is>
      </c>
      <c r="I317" s="29" t="n">
        <v>60</v>
      </c>
      <c r="J317" s="27" t="inlineStr">
        <is>
          <t>Exclusive</t>
        </is>
      </c>
      <c r="K317" s="29" t="n">
        <v>125</v>
      </c>
      <c r="L317" s="29" t="n">
        <v>1</v>
      </c>
      <c r="M317" s="33" t="n">
        <v>1</v>
      </c>
      <c r="N317" s="27" t="inlineStr">
        <is>
          <t>Yes</t>
        </is>
      </c>
      <c r="O317" s="29" t="n">
        <v>0</v>
      </c>
      <c r="P317" s="30" t="n">
        <v>450</v>
      </c>
      <c r="Q317" s="31" t="inlineStr">
        <is>
          <t>In Stock</t>
        </is>
      </c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5" customHeight="1" s="85">
      <c r="A318" s="27" t="inlineStr">
        <is>
          <t>EASTERN CHILLY POWDER 100GM</t>
        </is>
      </c>
      <c r="B318" s="27" t="n"/>
      <c r="C318" s="27" t="inlineStr">
        <is>
          <t>Masalas &amp; Spices</t>
        </is>
      </c>
      <c r="D318" s="28" t="inlineStr">
        <is>
          <t>8901440023043</t>
        </is>
      </c>
      <c r="E318" s="27" t="n"/>
      <c r="F318" s="29" t="n">
        <v>0</v>
      </c>
      <c r="G318" s="29" t="n">
        <v>50</v>
      </c>
      <c r="H318" s="27" t="inlineStr">
        <is>
          <t>Inclusive</t>
        </is>
      </c>
      <c r="I318" s="29" t="n">
        <v>39</v>
      </c>
      <c r="J318" s="27" t="inlineStr">
        <is>
          <t>Inclusive</t>
        </is>
      </c>
      <c r="K318" s="29" t="n">
        <v>50</v>
      </c>
      <c r="L318" s="29" t="n">
        <v>5</v>
      </c>
      <c r="M318" s="33" t="n">
        <v>1</v>
      </c>
      <c r="N318" s="27" t="inlineStr">
        <is>
          <t>Yes</t>
        </is>
      </c>
      <c r="O318" s="29" t="n">
        <v>0</v>
      </c>
      <c r="P318" s="30" t="n">
        <v>450</v>
      </c>
      <c r="Q318" s="31" t="inlineStr">
        <is>
          <t>In Stock</t>
        </is>
      </c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5" customHeight="1" s="85">
      <c r="A319" s="27" t="inlineStr">
        <is>
          <t>EASTERN CORIANDER POWDER 100GM</t>
        </is>
      </c>
      <c r="B319" s="27" t="n"/>
      <c r="C319" s="27" t="inlineStr">
        <is>
          <t>Masalas &amp; Spices</t>
        </is>
      </c>
      <c r="D319" s="28" t="inlineStr">
        <is>
          <t>8901440023098</t>
        </is>
      </c>
      <c r="E319" s="27" t="n"/>
      <c r="F319" s="29" t="n">
        <v>0</v>
      </c>
      <c r="G319" s="29" t="n">
        <v>62</v>
      </c>
      <c r="H319" s="27" t="inlineStr">
        <is>
          <t>Exclusive</t>
        </is>
      </c>
      <c r="I319" s="29" t="n">
        <v>50</v>
      </c>
      <c r="J319" s="27" t="inlineStr">
        <is>
          <t>Exclusive</t>
        </is>
      </c>
      <c r="K319" s="29" t="n">
        <v>62</v>
      </c>
      <c r="L319" s="29" t="n">
        <v>19</v>
      </c>
      <c r="M319" s="33" t="n">
        <v>1</v>
      </c>
      <c r="N319" s="27" t="inlineStr">
        <is>
          <t>Yes</t>
        </is>
      </c>
      <c r="O319" s="29" t="n">
        <v>0</v>
      </c>
      <c r="P319" s="30" t="n">
        <v>450</v>
      </c>
      <c r="Q319" s="31" t="inlineStr">
        <is>
          <t>In Stock</t>
        </is>
      </c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5" customHeight="1" s="85">
      <c r="A320" s="27" t="inlineStr">
        <is>
          <t>EASTERN CORIANDER POWDER 260GM</t>
        </is>
      </c>
      <c r="B320" s="27" t="n"/>
      <c r="C320" s="27" t="inlineStr">
        <is>
          <t>Masalas &amp; Spices</t>
        </is>
      </c>
      <c r="D320" s="32" t="inlineStr">
        <is>
          <t>100135</t>
        </is>
      </c>
      <c r="E320" s="27" t="n"/>
      <c r="F320" s="29" t="n">
        <v>0</v>
      </c>
      <c r="G320" s="29" t="n">
        <v>86</v>
      </c>
      <c r="H320" s="27" t="inlineStr">
        <is>
          <t>Exclusive</t>
        </is>
      </c>
      <c r="I320" s="29" t="n">
        <v>45</v>
      </c>
      <c r="J320" s="27" t="inlineStr">
        <is>
          <t>Exclusive</t>
        </is>
      </c>
      <c r="K320" s="29" t="n">
        <v>0</v>
      </c>
      <c r="L320" s="29" t="n">
        <v>21</v>
      </c>
      <c r="M320" s="33" t="n">
        <v>1</v>
      </c>
      <c r="N320" s="27" t="inlineStr">
        <is>
          <t>Yes</t>
        </is>
      </c>
      <c r="O320" s="29" t="n">
        <v>0</v>
      </c>
      <c r="P320" s="30" t="n">
        <v>450</v>
      </c>
      <c r="Q320" s="31" t="inlineStr">
        <is>
          <t>In Stock</t>
        </is>
      </c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5" customHeight="1" s="85">
      <c r="A321" s="27" t="inlineStr">
        <is>
          <t>EASTERN DRY GINGER 100GM</t>
        </is>
      </c>
      <c r="B321" s="27" t="n"/>
      <c r="C321" s="27" t="inlineStr">
        <is>
          <t>Masalas &amp; Spices</t>
        </is>
      </c>
      <c r="D321" s="32" t="inlineStr">
        <is>
          <t>100136</t>
        </is>
      </c>
      <c r="E321" s="27" t="n"/>
      <c r="F321" s="29" t="n">
        <v>0</v>
      </c>
      <c r="G321" s="29" t="n">
        <v>110</v>
      </c>
      <c r="H321" s="27" t="inlineStr">
        <is>
          <t>Exclusive</t>
        </is>
      </c>
      <c r="I321" s="29" t="n">
        <v>90</v>
      </c>
      <c r="J321" s="27" t="inlineStr">
        <is>
          <t>Exclusive</t>
        </is>
      </c>
      <c r="K321" s="29" t="n">
        <v>110</v>
      </c>
      <c r="L321" s="29" t="n">
        <v>0</v>
      </c>
      <c r="M321" s="27" t="n"/>
      <c r="N321" s="27" t="inlineStr">
        <is>
          <t>Yes</t>
        </is>
      </c>
      <c r="O321" s="29" t="n">
        <v>0</v>
      </c>
      <c r="P321" s="30" t="n">
        <v>450</v>
      </c>
      <c r="Q321" s="31" t="inlineStr">
        <is>
          <t>In Stock</t>
        </is>
      </c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5" customHeight="1" s="85">
      <c r="A322" s="27" t="inlineStr">
        <is>
          <t>EASTERN FISH MASALA 100GM</t>
        </is>
      </c>
      <c r="B322" s="27" t="n"/>
      <c r="C322" s="27" t="inlineStr">
        <is>
          <t>Masalas &amp; Spices</t>
        </is>
      </c>
      <c r="D322" s="28" t="inlineStr">
        <is>
          <t>8901440013136</t>
        </is>
      </c>
      <c r="E322" s="27" t="n"/>
      <c r="F322" s="29" t="n">
        <v>0</v>
      </c>
      <c r="G322" s="29" t="n">
        <v>59</v>
      </c>
      <c r="H322" s="27" t="inlineStr">
        <is>
          <t>Exclusive</t>
        </is>
      </c>
      <c r="I322" s="29" t="n">
        <v>43</v>
      </c>
      <c r="J322" s="27" t="inlineStr">
        <is>
          <t>Exclusive</t>
        </is>
      </c>
      <c r="K322" s="29" t="n">
        <v>59</v>
      </c>
      <c r="L322" s="29" t="n">
        <v>0</v>
      </c>
      <c r="M322" s="33" t="n">
        <v>1</v>
      </c>
      <c r="N322" s="27" t="inlineStr">
        <is>
          <t>Yes</t>
        </is>
      </c>
      <c r="O322" s="29" t="n">
        <v>0</v>
      </c>
      <c r="P322" s="30" t="n">
        <v>450</v>
      </c>
      <c r="Q322" s="31" t="inlineStr">
        <is>
          <t>In Stock</t>
        </is>
      </c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5" customHeight="1" s="85">
      <c r="A323" s="27" t="inlineStr">
        <is>
          <t>EASTERN GARAM MASALA 50 GM</t>
        </is>
      </c>
      <c r="B323" s="27" t="n"/>
      <c r="C323" s="27" t="inlineStr">
        <is>
          <t>Masalas &amp; Spices</t>
        </is>
      </c>
      <c r="D323" s="28" t="inlineStr">
        <is>
          <t>8901440013372</t>
        </is>
      </c>
      <c r="E323" s="29" t="n">
        <v>30</v>
      </c>
      <c r="F323" s="29" t="n">
        <v>0</v>
      </c>
      <c r="G323" s="29" t="n">
        <v>50</v>
      </c>
      <c r="H323" s="27" t="inlineStr">
        <is>
          <t>Exclusive</t>
        </is>
      </c>
      <c r="I323" s="29" t="n">
        <v>45</v>
      </c>
      <c r="J323" s="27" t="inlineStr">
        <is>
          <t>Exclusive</t>
        </is>
      </c>
      <c r="K323" s="29" t="n">
        <v>50</v>
      </c>
      <c r="L323" s="29" t="n">
        <v>0</v>
      </c>
      <c r="M323" s="27" t="n"/>
      <c r="N323" s="27" t="inlineStr">
        <is>
          <t>Yes</t>
        </is>
      </c>
      <c r="O323" s="29" t="n">
        <v>0</v>
      </c>
      <c r="P323" s="30" t="n">
        <v>450</v>
      </c>
      <c r="Q323" s="31" t="inlineStr">
        <is>
          <t>In Stock</t>
        </is>
      </c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5" customHeight="1" s="85">
      <c r="A324" s="27" t="inlineStr">
        <is>
          <t>EASTERN GOTHAMBU PAYASAM MIX 200GM</t>
        </is>
      </c>
      <c r="B324" s="27" t="n"/>
      <c r="C324" s="27" t="inlineStr">
        <is>
          <t>Ready to Eat &amp; Mixes</t>
        </is>
      </c>
      <c r="D324" s="28" t="inlineStr">
        <is>
          <t>8901440211969</t>
        </is>
      </c>
      <c r="E324" s="27" t="n"/>
      <c r="F324" s="29" t="n">
        <v>0</v>
      </c>
      <c r="G324" s="29" t="n">
        <v>75</v>
      </c>
      <c r="H324" s="27" t="inlineStr">
        <is>
          <t>Exclusive</t>
        </is>
      </c>
      <c r="I324" s="29" t="n">
        <v>45</v>
      </c>
      <c r="J324" s="27" t="inlineStr">
        <is>
          <t>Exclusive</t>
        </is>
      </c>
      <c r="K324" s="29" t="n">
        <v>75</v>
      </c>
      <c r="L324" s="29" t="n">
        <v>0</v>
      </c>
      <c r="M324" s="33" t="n">
        <v>1</v>
      </c>
      <c r="N324" s="27" t="inlineStr">
        <is>
          <t>Yes</t>
        </is>
      </c>
      <c r="O324" s="29" t="n">
        <v>0</v>
      </c>
      <c r="P324" s="30" t="n">
        <v>450</v>
      </c>
      <c r="Q324" s="31" t="inlineStr">
        <is>
          <t>In Stock</t>
        </is>
      </c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5" customHeight="1" s="85">
      <c r="A325" s="27" t="inlineStr">
        <is>
          <t>EASTERN KASHMIRI CHILLI 250GM</t>
        </is>
      </c>
      <c r="B325" s="27" t="n"/>
      <c r="C325" s="27" t="inlineStr">
        <is>
          <t>Masalas &amp; Spices</t>
        </is>
      </c>
      <c r="D325" s="28" t="inlineStr">
        <is>
          <t>8901440023432</t>
        </is>
      </c>
      <c r="E325" s="27" t="n"/>
      <c r="F325" s="29" t="n">
        <v>0</v>
      </c>
      <c r="G325" s="29" t="n">
        <v>270</v>
      </c>
      <c r="H325" s="27" t="inlineStr">
        <is>
          <t>Exclusive</t>
        </is>
      </c>
      <c r="I325" s="29" t="n">
        <v>143</v>
      </c>
      <c r="J325" s="27" t="inlineStr">
        <is>
          <t>Exclusive</t>
        </is>
      </c>
      <c r="K325" s="29" t="n">
        <v>210</v>
      </c>
      <c r="L325" s="29" t="n">
        <v>0</v>
      </c>
      <c r="M325" s="33" t="n">
        <v>1</v>
      </c>
      <c r="N325" s="27" t="inlineStr">
        <is>
          <t>Yes</t>
        </is>
      </c>
      <c r="O325" s="29" t="n">
        <v>0</v>
      </c>
      <c r="P325" s="30" t="n">
        <v>450</v>
      </c>
      <c r="Q325" s="31" t="inlineStr">
        <is>
          <t>In Stock</t>
        </is>
      </c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5" customHeight="1" s="85">
      <c r="A326" s="27" t="inlineStr">
        <is>
          <t>EASTERN KASHMIRI CHILLI 500GM</t>
        </is>
      </c>
      <c r="B326" s="27" t="n"/>
      <c r="C326" s="27" t="inlineStr">
        <is>
          <t>Masalas &amp; Spices</t>
        </is>
      </c>
      <c r="D326" s="32" t="inlineStr">
        <is>
          <t>100137</t>
        </is>
      </c>
      <c r="E326" s="27" t="n"/>
      <c r="F326" s="29" t="n">
        <v>0</v>
      </c>
      <c r="G326" s="29" t="n">
        <v>530</v>
      </c>
      <c r="H326" s="27" t="inlineStr">
        <is>
          <t>Inclusive</t>
        </is>
      </c>
      <c r="I326" s="29" t="n">
        <v>280</v>
      </c>
      <c r="J326" s="27" t="inlineStr">
        <is>
          <t>Inclusive</t>
        </is>
      </c>
      <c r="K326" s="29" t="n">
        <v>0</v>
      </c>
      <c r="L326" s="29" t="n">
        <v>1</v>
      </c>
      <c r="M326" s="33" t="n">
        <v>1</v>
      </c>
      <c r="N326" s="27" t="inlineStr">
        <is>
          <t>Yes</t>
        </is>
      </c>
      <c r="O326" s="29" t="n">
        <v>0</v>
      </c>
      <c r="P326" s="30" t="n">
        <v>450</v>
      </c>
      <c r="Q326" s="31" t="inlineStr">
        <is>
          <t>In Stock</t>
        </is>
      </c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5" customHeight="1" s="85">
      <c r="A327" s="27" t="inlineStr">
        <is>
          <t>EASTERN KASHMIRI CHILLI POWDER 100GM</t>
        </is>
      </c>
      <c r="B327" s="27" t="n"/>
      <c r="C327" s="27" t="inlineStr">
        <is>
          <t>Masalas &amp; Spices</t>
        </is>
      </c>
      <c r="D327" s="28" t="inlineStr">
        <is>
          <t>8901440023210</t>
        </is>
      </c>
      <c r="E327" s="27" t="n"/>
      <c r="F327" s="29" t="n">
        <v>0</v>
      </c>
      <c r="G327" s="29" t="n">
        <v>120</v>
      </c>
      <c r="H327" s="27" t="inlineStr">
        <is>
          <t>Exclusive</t>
        </is>
      </c>
      <c r="I327" s="29" t="n">
        <v>98</v>
      </c>
      <c r="J327" s="27" t="inlineStr">
        <is>
          <t>Exclusive</t>
        </is>
      </c>
      <c r="K327" s="29" t="n">
        <v>120</v>
      </c>
      <c r="L327" s="29" t="n">
        <v>0</v>
      </c>
      <c r="M327" s="33" t="n">
        <v>1</v>
      </c>
      <c r="N327" s="27" t="inlineStr">
        <is>
          <t>Yes</t>
        </is>
      </c>
      <c r="O327" s="29" t="n">
        <v>0</v>
      </c>
      <c r="P327" s="30" t="n">
        <v>450</v>
      </c>
      <c r="Q327" s="31" t="inlineStr">
        <is>
          <t>In Stock</t>
        </is>
      </c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5" customHeight="1" s="85">
      <c r="A328" s="27" t="inlineStr">
        <is>
          <t>EASTERN MEAT MASALA 100GM</t>
        </is>
      </c>
      <c r="B328" s="27" t="n"/>
      <c r="C328" s="27" t="inlineStr">
        <is>
          <t>Masalas &amp; Spices</t>
        </is>
      </c>
      <c r="D328" s="28" t="inlineStr">
        <is>
          <t>8901440013280</t>
        </is>
      </c>
      <c r="E328" s="27" t="n"/>
      <c r="F328" s="29" t="n">
        <v>0</v>
      </c>
      <c r="G328" s="29" t="n">
        <v>69</v>
      </c>
      <c r="H328" s="27" t="inlineStr">
        <is>
          <t>Exclusive</t>
        </is>
      </c>
      <c r="I328" s="29" t="n">
        <v>43</v>
      </c>
      <c r="J328" s="27" t="inlineStr">
        <is>
          <t>Exclusive</t>
        </is>
      </c>
      <c r="K328" s="29" t="n">
        <v>62</v>
      </c>
      <c r="L328" s="29" t="n">
        <v>0</v>
      </c>
      <c r="M328" s="33" t="n">
        <v>1</v>
      </c>
      <c r="N328" s="27" t="inlineStr">
        <is>
          <t>Yes</t>
        </is>
      </c>
      <c r="O328" s="29" t="n">
        <v>0</v>
      </c>
      <c r="P328" s="30" t="n">
        <v>450</v>
      </c>
      <c r="Q328" s="31" t="inlineStr">
        <is>
          <t>In Stock</t>
        </is>
      </c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5" customHeight="1" s="85">
      <c r="A329" s="27" t="inlineStr">
        <is>
          <t>EASTERN PARIPPU PAYASAM MIX 200GM</t>
        </is>
      </c>
      <c r="B329" s="27" t="n"/>
      <c r="C329" s="27" t="inlineStr">
        <is>
          <t>Ready to Eat &amp; Mixes</t>
        </is>
      </c>
      <c r="D329" s="28" t="inlineStr">
        <is>
          <t>8901440224167</t>
        </is>
      </c>
      <c r="E329" s="27" t="n"/>
      <c r="F329" s="29" t="n">
        <v>0</v>
      </c>
      <c r="G329" s="29" t="n">
        <v>75</v>
      </c>
      <c r="H329" s="27" t="inlineStr">
        <is>
          <t>Exclusive</t>
        </is>
      </c>
      <c r="I329" s="29" t="n">
        <v>44</v>
      </c>
      <c r="J329" s="27" t="inlineStr">
        <is>
          <t>Exclusive</t>
        </is>
      </c>
      <c r="K329" s="29" t="n">
        <v>75</v>
      </c>
      <c r="L329" s="29" t="n">
        <v>1</v>
      </c>
      <c r="M329" s="33" t="n">
        <v>1</v>
      </c>
      <c r="N329" s="27" t="inlineStr">
        <is>
          <t>Yes</t>
        </is>
      </c>
      <c r="O329" s="29" t="n">
        <v>0</v>
      </c>
      <c r="P329" s="30" t="n">
        <v>450</v>
      </c>
      <c r="Q329" s="31" t="inlineStr">
        <is>
          <t>In Stock</t>
        </is>
      </c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5" customHeight="1" s="85">
      <c r="A330" s="27" t="inlineStr">
        <is>
          <t>EASTERN PEPPER POWDER 100 GM</t>
        </is>
      </c>
      <c r="B330" s="27" t="n"/>
      <c r="C330" s="27" t="inlineStr">
        <is>
          <t>Masalas &amp; Spices</t>
        </is>
      </c>
      <c r="D330" s="28" t="inlineStr">
        <is>
          <t>8901440023029</t>
        </is>
      </c>
      <c r="E330" s="27" t="n"/>
      <c r="F330" s="29" t="n">
        <v>0</v>
      </c>
      <c r="G330" s="29" t="n">
        <v>180</v>
      </c>
      <c r="H330" s="27" t="inlineStr">
        <is>
          <t>Inclusive</t>
        </is>
      </c>
      <c r="I330" s="29" t="n">
        <v>102</v>
      </c>
      <c r="J330" s="27" t="inlineStr">
        <is>
          <t>Inclusive</t>
        </is>
      </c>
      <c r="K330" s="29" t="n">
        <v>165</v>
      </c>
      <c r="L330" s="29" t="n">
        <v>3</v>
      </c>
      <c r="M330" s="33" t="n">
        <v>1</v>
      </c>
      <c r="N330" s="27" t="inlineStr">
        <is>
          <t>Yes</t>
        </is>
      </c>
      <c r="O330" s="29" t="n">
        <v>0</v>
      </c>
      <c r="P330" s="30" t="n">
        <v>450</v>
      </c>
      <c r="Q330" s="31" t="inlineStr">
        <is>
          <t>In Stock</t>
        </is>
      </c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5" customHeight="1" s="85">
      <c r="A331" s="27" t="inlineStr">
        <is>
          <t>EASTERN PEPPER POWDER 50GM</t>
        </is>
      </c>
      <c r="B331" s="27" t="n"/>
      <c r="C331" s="27" t="inlineStr">
        <is>
          <t>Masalas &amp; Spices</t>
        </is>
      </c>
      <c r="D331" s="28" t="inlineStr">
        <is>
          <t>8901440023012</t>
        </is>
      </c>
      <c r="E331" s="27" t="n"/>
      <c r="F331" s="29" t="n">
        <v>0</v>
      </c>
      <c r="G331" s="29" t="n">
        <v>85</v>
      </c>
      <c r="H331" s="27" t="inlineStr">
        <is>
          <t>Exclusive</t>
        </is>
      </c>
      <c r="I331" s="29" t="n">
        <v>50</v>
      </c>
      <c r="J331" s="27" t="inlineStr">
        <is>
          <t>Exclusive</t>
        </is>
      </c>
      <c r="K331" s="29" t="n">
        <v>85</v>
      </c>
      <c r="L331" s="29" t="n">
        <v>6</v>
      </c>
      <c r="M331" s="33" t="n">
        <v>1</v>
      </c>
      <c r="N331" s="27" t="inlineStr">
        <is>
          <t>Yes</t>
        </is>
      </c>
      <c r="O331" s="29" t="n">
        <v>0</v>
      </c>
      <c r="P331" s="30" t="n">
        <v>450</v>
      </c>
      <c r="Q331" s="31" t="inlineStr">
        <is>
          <t>In Stock</t>
        </is>
      </c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5" customHeight="1" s="85">
      <c r="A332" s="27" t="inlineStr">
        <is>
          <t>EASTERN PICKLE POWDER 100GM</t>
        </is>
      </c>
      <c r="B332" s="27" t="n"/>
      <c r="C332" s="27" t="inlineStr">
        <is>
          <t>Masalas &amp; Spices</t>
        </is>
      </c>
      <c r="D332" s="28" t="inlineStr">
        <is>
          <t>8901440013150</t>
        </is>
      </c>
      <c r="E332" s="27" t="n"/>
      <c r="F332" s="29" t="n">
        <v>0</v>
      </c>
      <c r="G332" s="29" t="n">
        <v>58</v>
      </c>
      <c r="H332" s="27" t="inlineStr">
        <is>
          <t>Exclusive</t>
        </is>
      </c>
      <c r="I332" s="29" t="n">
        <v>44</v>
      </c>
      <c r="J332" s="27" t="inlineStr">
        <is>
          <t>Exclusive</t>
        </is>
      </c>
      <c r="K332" s="29" t="n">
        <v>58</v>
      </c>
      <c r="L332" s="29" t="n">
        <v>0</v>
      </c>
      <c r="M332" s="33" t="n">
        <v>1</v>
      </c>
      <c r="N332" s="27" t="inlineStr">
        <is>
          <t>Yes</t>
        </is>
      </c>
      <c r="O332" s="29" t="n">
        <v>0</v>
      </c>
      <c r="P332" s="30" t="n">
        <v>450</v>
      </c>
      <c r="Q332" s="31" t="inlineStr">
        <is>
          <t>In Stock</t>
        </is>
      </c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5" customHeight="1" s="85">
      <c r="A333" s="27" t="inlineStr">
        <is>
          <t>EASTERN RASAM POWER 100GM</t>
        </is>
      </c>
      <c r="B333" s="27" t="n"/>
      <c r="C333" s="27" t="inlineStr">
        <is>
          <t>Masalas &amp; Spices</t>
        </is>
      </c>
      <c r="D333" s="28" t="inlineStr">
        <is>
          <t>8901440013068</t>
        </is>
      </c>
      <c r="E333" s="27" t="n"/>
      <c r="F333" s="29" t="n">
        <v>0</v>
      </c>
      <c r="G333" s="29" t="n">
        <v>75</v>
      </c>
      <c r="H333" s="27" t="inlineStr">
        <is>
          <t>Exclusive</t>
        </is>
      </c>
      <c r="I333" s="29" t="n">
        <v>58</v>
      </c>
      <c r="J333" s="27" t="inlineStr">
        <is>
          <t>Exclusive</t>
        </is>
      </c>
      <c r="K333" s="29" t="n">
        <v>75</v>
      </c>
      <c r="L333" s="29" t="n">
        <v>0</v>
      </c>
      <c r="M333" s="33" t="n">
        <v>1</v>
      </c>
      <c r="N333" s="27" t="inlineStr">
        <is>
          <t>Yes</t>
        </is>
      </c>
      <c r="O333" s="29" t="n">
        <v>0</v>
      </c>
      <c r="P333" s="30" t="n">
        <v>450</v>
      </c>
      <c r="Q333" s="31" t="inlineStr">
        <is>
          <t>In Stock</t>
        </is>
      </c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5" customHeight="1" s="85">
      <c r="A334" s="27" t="inlineStr">
        <is>
          <t>EASTERN SABJI MASALA 100GM</t>
        </is>
      </c>
      <c r="B334" s="27" t="n"/>
      <c r="C334" s="27" t="inlineStr">
        <is>
          <t>Masalas &amp; Spices</t>
        </is>
      </c>
      <c r="D334" s="28" t="inlineStr">
        <is>
          <t>8901440219026</t>
        </is>
      </c>
      <c r="E334" s="27" t="n"/>
      <c r="F334" s="29" t="n">
        <v>0</v>
      </c>
      <c r="G334" s="29" t="n">
        <v>55</v>
      </c>
      <c r="H334" s="27" t="inlineStr">
        <is>
          <t>Inclusive</t>
        </is>
      </c>
      <c r="I334" s="29" t="n">
        <v>33</v>
      </c>
      <c r="J334" s="27" t="inlineStr">
        <is>
          <t>Inclusive</t>
        </is>
      </c>
      <c r="K334" s="29" t="n">
        <v>55</v>
      </c>
      <c r="L334" s="29" t="n">
        <v>0</v>
      </c>
      <c r="M334" s="33" t="n">
        <v>1</v>
      </c>
      <c r="N334" s="27" t="inlineStr">
        <is>
          <t>Yes</t>
        </is>
      </c>
      <c r="O334" s="29" t="n">
        <v>0</v>
      </c>
      <c r="P334" s="30" t="n">
        <v>450</v>
      </c>
      <c r="Q334" s="31" t="inlineStr">
        <is>
          <t>In Stock</t>
        </is>
      </c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5" customHeight="1" s="85">
      <c r="A335" s="27" t="inlineStr">
        <is>
          <t>EASTERN SAMBAR POWDER 100GM</t>
        </is>
      </c>
      <c r="B335" s="27" t="n"/>
      <c r="C335" s="27" t="inlineStr">
        <is>
          <t>Masalas &amp; Spices</t>
        </is>
      </c>
      <c r="D335" s="28" t="inlineStr">
        <is>
          <t>8901440013044</t>
        </is>
      </c>
      <c r="E335" s="27" t="n"/>
      <c r="F335" s="29" t="n">
        <v>0</v>
      </c>
      <c r="G335" s="29" t="n">
        <v>72</v>
      </c>
      <c r="H335" s="27" t="inlineStr">
        <is>
          <t>Exclusive</t>
        </is>
      </c>
      <c r="I335" s="29" t="n">
        <v>60</v>
      </c>
      <c r="J335" s="27" t="inlineStr">
        <is>
          <t>Exclusive</t>
        </is>
      </c>
      <c r="K335" s="29" t="n">
        <v>72</v>
      </c>
      <c r="L335" s="29" t="n">
        <v>0</v>
      </c>
      <c r="M335" s="33" t="n">
        <v>1</v>
      </c>
      <c r="N335" s="27" t="inlineStr">
        <is>
          <t>Yes</t>
        </is>
      </c>
      <c r="O335" s="29" t="n">
        <v>0</v>
      </c>
      <c r="P335" s="30" t="n">
        <v>450</v>
      </c>
      <c r="Q335" s="31" t="inlineStr">
        <is>
          <t>In Stock</t>
        </is>
      </c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5" customHeight="1" s="85">
      <c r="A336" s="27" t="inlineStr">
        <is>
          <t>EASTERN SUPER GARAM MASALA 100GM</t>
        </is>
      </c>
      <c r="B336" s="27" t="n"/>
      <c r="C336" s="27" t="inlineStr">
        <is>
          <t>Masalas &amp; Spices</t>
        </is>
      </c>
      <c r="D336" s="28" t="inlineStr">
        <is>
          <t>8901440207535</t>
        </is>
      </c>
      <c r="E336" s="27" t="n"/>
      <c r="F336" s="29" t="n">
        <v>0</v>
      </c>
      <c r="G336" s="29" t="n">
        <v>64</v>
      </c>
      <c r="H336" s="27" t="inlineStr">
        <is>
          <t>Exclusive</t>
        </is>
      </c>
      <c r="I336" s="29" t="n">
        <v>46</v>
      </c>
      <c r="J336" s="27" t="inlineStr">
        <is>
          <t>Exclusive</t>
        </is>
      </c>
      <c r="K336" s="29" t="n">
        <v>60</v>
      </c>
      <c r="L336" s="29" t="n">
        <v>0</v>
      </c>
      <c r="M336" s="33" t="n">
        <v>1</v>
      </c>
      <c r="N336" s="27" t="inlineStr">
        <is>
          <t>Yes</t>
        </is>
      </c>
      <c r="O336" s="29" t="n">
        <v>0</v>
      </c>
      <c r="P336" s="30" t="n">
        <v>450</v>
      </c>
      <c r="Q336" s="31" t="inlineStr">
        <is>
          <t>In Stock</t>
        </is>
      </c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5" customHeight="1" s="85">
      <c r="A337" s="27" t="inlineStr">
        <is>
          <t>EASTERN TURMERIC POWDER 100 GM</t>
        </is>
      </c>
      <c r="B337" s="27" t="n"/>
      <c r="C337" s="27" t="inlineStr">
        <is>
          <t>Masalas &amp; Spices</t>
        </is>
      </c>
      <c r="D337" s="28" t="inlineStr">
        <is>
          <t>8901440023142</t>
        </is>
      </c>
      <c r="E337" s="29" t="n">
        <v>30</v>
      </c>
      <c r="F337" s="29" t="n">
        <v>0</v>
      </c>
      <c r="G337" s="29" t="n">
        <v>50</v>
      </c>
      <c r="H337" s="27" t="inlineStr">
        <is>
          <t>Inclusive</t>
        </is>
      </c>
      <c r="I337" s="29" t="n">
        <v>38</v>
      </c>
      <c r="J337" s="27" t="inlineStr">
        <is>
          <t>Inclusive</t>
        </is>
      </c>
      <c r="K337" s="29" t="n">
        <v>50</v>
      </c>
      <c r="L337" s="29" t="n">
        <v>13</v>
      </c>
      <c r="M337" s="33" t="n">
        <v>1</v>
      </c>
      <c r="N337" s="27" t="inlineStr">
        <is>
          <t>Yes</t>
        </is>
      </c>
      <c r="O337" s="29" t="n">
        <v>0</v>
      </c>
      <c r="P337" s="30" t="n">
        <v>450</v>
      </c>
      <c r="Q337" s="31" t="inlineStr">
        <is>
          <t>In Stock</t>
        </is>
      </c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5" customHeight="1" s="85">
      <c r="A338" s="27" t="inlineStr">
        <is>
          <t>EASY AND FRESH COCONUT CHUTNEY 100GM</t>
        </is>
      </c>
      <c r="B338" s="27" t="n"/>
      <c r="C338" s="27" t="inlineStr">
        <is>
          <t>Ready to Eat &amp; Mixes</t>
        </is>
      </c>
      <c r="D338" s="28" t="inlineStr">
        <is>
          <t>8906088056033</t>
        </is>
      </c>
      <c r="E338" s="27" t="n"/>
      <c r="F338" s="29" t="n">
        <v>0</v>
      </c>
      <c r="G338" s="29" t="n">
        <v>89</v>
      </c>
      <c r="H338" s="27" t="inlineStr">
        <is>
          <t>Exclusive</t>
        </is>
      </c>
      <c r="I338" s="29" t="n">
        <v>65</v>
      </c>
      <c r="J338" s="27" t="inlineStr">
        <is>
          <t>Exclusive</t>
        </is>
      </c>
      <c r="K338" s="29" t="n">
        <v>89</v>
      </c>
      <c r="L338" s="29" t="n">
        <v>1</v>
      </c>
      <c r="M338" s="33" t="n">
        <v>1</v>
      </c>
      <c r="N338" s="27" t="inlineStr">
        <is>
          <t>Yes</t>
        </is>
      </c>
      <c r="O338" s="29" t="n">
        <v>0</v>
      </c>
      <c r="P338" s="30" t="n">
        <v>450</v>
      </c>
      <c r="Q338" s="31" t="inlineStr">
        <is>
          <t>In Stock</t>
        </is>
      </c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5" customHeight="1" s="85">
      <c r="A339" s="27" t="inlineStr">
        <is>
          <t>EASY AND FRESH COCONUT CHUTNEY POWDER</t>
        </is>
      </c>
      <c r="B339" s="27" t="n"/>
      <c r="C339" s="27" t="inlineStr">
        <is>
          <t>Ready to Eat &amp; Mixes</t>
        </is>
      </c>
      <c r="D339" s="28" t="inlineStr">
        <is>
          <t>8908023863027</t>
        </is>
      </c>
      <c r="E339" s="27" t="n"/>
      <c r="F339" s="29" t="n">
        <v>0</v>
      </c>
      <c r="G339" s="29" t="n">
        <v>95</v>
      </c>
      <c r="H339" s="27" t="inlineStr">
        <is>
          <t>Exclusive</t>
        </is>
      </c>
      <c r="I339" s="29" t="n">
        <v>75</v>
      </c>
      <c r="J339" s="27" t="inlineStr">
        <is>
          <t>Exclusive</t>
        </is>
      </c>
      <c r="K339" s="29" t="n">
        <v>95</v>
      </c>
      <c r="L339" s="29" t="n">
        <v>0</v>
      </c>
      <c r="M339" s="33" t="n">
        <v>1</v>
      </c>
      <c r="N339" s="27" t="inlineStr">
        <is>
          <t>Yes</t>
        </is>
      </c>
      <c r="O339" s="29" t="n">
        <v>0</v>
      </c>
      <c r="P339" s="30" t="n">
        <v>450</v>
      </c>
      <c r="Q339" s="31" t="inlineStr">
        <is>
          <t>In Stock</t>
        </is>
      </c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5" customHeight="1" s="85">
      <c r="A340" s="27" t="inlineStr">
        <is>
          <t>EGG CURRY (1 EGG)</t>
        </is>
      </c>
      <c r="B340" s="27" t="n"/>
      <c r="C340" s="27" t="inlineStr">
        <is>
          <t>Ready to Eat &amp; Mixes</t>
        </is>
      </c>
      <c r="D340" s="32" t="inlineStr">
        <is>
          <t>100138</t>
        </is>
      </c>
      <c r="E340" s="27" t="n"/>
      <c r="F340" s="29" t="n">
        <v>0</v>
      </c>
      <c r="G340" s="29" t="n">
        <v>25</v>
      </c>
      <c r="H340" s="27" t="inlineStr">
        <is>
          <t>Exclusive</t>
        </is>
      </c>
      <c r="I340" s="29" t="n">
        <v>20</v>
      </c>
      <c r="J340" s="27" t="inlineStr">
        <is>
          <t>Exclusive</t>
        </is>
      </c>
      <c r="K340" s="29" t="n">
        <v>25</v>
      </c>
      <c r="L340" s="29" t="n">
        <v>0</v>
      </c>
      <c r="M340" s="33" t="n">
        <v>1</v>
      </c>
      <c r="N340" s="27" t="inlineStr">
        <is>
          <t>Yes</t>
        </is>
      </c>
      <c r="O340" s="29" t="n">
        <v>0</v>
      </c>
      <c r="P340" s="30" t="n">
        <v>450</v>
      </c>
      <c r="Q340" s="31" t="inlineStr">
        <is>
          <t>In Stock</t>
        </is>
      </c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5" customHeight="1" s="85">
      <c r="A341" s="27" t="inlineStr">
        <is>
          <t>ELADI 10PC</t>
        </is>
      </c>
      <c r="B341" s="27" t="n"/>
      <c r="C341" s="27" t="inlineStr">
        <is>
          <t>Healthcare Items</t>
        </is>
      </c>
      <c r="D341" s="28" t="inlineStr">
        <is>
          <t>8904108060305</t>
        </is>
      </c>
      <c r="E341" s="27" t="n"/>
      <c r="F341" s="29" t="n">
        <v>0</v>
      </c>
      <c r="G341" s="29" t="n">
        <v>10</v>
      </c>
      <c r="H341" s="27" t="inlineStr">
        <is>
          <t>Exclusive</t>
        </is>
      </c>
      <c r="I341" s="29" t="n">
        <v>6</v>
      </c>
      <c r="J341" s="27" t="inlineStr">
        <is>
          <t>Exclusive</t>
        </is>
      </c>
      <c r="K341" s="29" t="n">
        <v>10</v>
      </c>
      <c r="L341" s="29" t="n">
        <v>0</v>
      </c>
      <c r="M341" s="27" t="n"/>
      <c r="N341" s="27" t="inlineStr">
        <is>
          <t>Yes</t>
        </is>
      </c>
      <c r="O341" s="29" t="n">
        <v>0</v>
      </c>
      <c r="P341" s="30" t="n">
        <v>450</v>
      </c>
      <c r="Q341" s="31" t="inlineStr">
        <is>
          <t>In Stock</t>
        </is>
      </c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5" customHeight="1" s="85">
      <c r="A342" s="27" t="inlineStr">
        <is>
          <t>ELADI BOTTLE</t>
        </is>
      </c>
      <c r="B342" s="27" t="n"/>
      <c r="C342" s="27" t="inlineStr">
        <is>
          <t>Healthcare Items</t>
        </is>
      </c>
      <c r="D342" s="28" t="inlineStr">
        <is>
          <t>8904108060411</t>
        </is>
      </c>
      <c r="E342" s="27" t="n"/>
      <c r="F342" s="29" t="n">
        <v>0</v>
      </c>
      <c r="G342" s="29" t="n">
        <v>250</v>
      </c>
      <c r="H342" s="27" t="inlineStr">
        <is>
          <t>Exclusive</t>
        </is>
      </c>
      <c r="I342" s="29" t="n">
        <v>200</v>
      </c>
      <c r="J342" s="27" t="inlineStr">
        <is>
          <t>Exclusive</t>
        </is>
      </c>
      <c r="K342" s="29" t="n">
        <v>250</v>
      </c>
      <c r="L342" s="29" t="n">
        <v>4</v>
      </c>
      <c r="M342" s="33" t="n">
        <v>1</v>
      </c>
      <c r="N342" s="27" t="inlineStr">
        <is>
          <t>Yes</t>
        </is>
      </c>
      <c r="O342" s="29" t="n">
        <v>0</v>
      </c>
      <c r="P342" s="30" t="n">
        <v>450</v>
      </c>
      <c r="Q342" s="31" t="inlineStr">
        <is>
          <t>In Stock</t>
        </is>
      </c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5" customHeight="1" s="85">
      <c r="A343" s="27" t="inlineStr">
        <is>
          <t>ELADI COUGH SYRUP 100ML</t>
        </is>
      </c>
      <c r="B343" s="27" t="n"/>
      <c r="C343" s="27" t="inlineStr">
        <is>
          <t>Healthcare Items</t>
        </is>
      </c>
      <c r="D343" s="32" t="inlineStr">
        <is>
          <t>100140</t>
        </is>
      </c>
      <c r="E343" s="27" t="n"/>
      <c r="F343" s="29" t="n">
        <v>0</v>
      </c>
      <c r="G343" s="29" t="n">
        <v>85</v>
      </c>
      <c r="H343" s="27" t="inlineStr">
        <is>
          <t>Inclusive</t>
        </is>
      </c>
      <c r="I343" s="29" t="n">
        <v>66</v>
      </c>
      <c r="J343" s="27" t="inlineStr">
        <is>
          <t>Inclusive</t>
        </is>
      </c>
      <c r="K343" s="29" t="n">
        <v>0</v>
      </c>
      <c r="L343" s="29" t="n">
        <v>0</v>
      </c>
      <c r="M343" s="33" t="n">
        <v>1</v>
      </c>
      <c r="N343" s="27" t="inlineStr">
        <is>
          <t>Yes</t>
        </is>
      </c>
      <c r="O343" s="29" t="n">
        <v>0</v>
      </c>
      <c r="P343" s="30" t="n">
        <v>450</v>
      </c>
      <c r="Q343" s="31" t="inlineStr">
        <is>
          <t>In Stock</t>
        </is>
      </c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5" customHeight="1" s="85">
      <c r="A344" s="27" t="inlineStr">
        <is>
          <t>ELADI KOTTAM CHUKADI KUZHAMBU 100ML</t>
        </is>
      </c>
      <c r="B344" s="27" t="n"/>
      <c r="C344" s="27" t="inlineStr">
        <is>
          <t>Healthcare Items</t>
        </is>
      </c>
      <c r="D344" s="28" t="inlineStr">
        <is>
          <t>8904108050825</t>
        </is>
      </c>
      <c r="E344" s="27" t="n"/>
      <c r="F344" s="29" t="n">
        <v>0</v>
      </c>
      <c r="G344" s="29" t="n">
        <v>90</v>
      </c>
      <c r="H344" s="27" t="inlineStr">
        <is>
          <t>Inclusive</t>
        </is>
      </c>
      <c r="I344" s="29" t="n">
        <v>76</v>
      </c>
      <c r="J344" s="27" t="inlineStr">
        <is>
          <t>Inclusive</t>
        </is>
      </c>
      <c r="K344" s="29" t="n">
        <v>90</v>
      </c>
      <c r="L344" s="29" t="n">
        <v>0</v>
      </c>
      <c r="M344" s="27" t="n"/>
      <c r="N344" s="27" t="inlineStr">
        <is>
          <t>No</t>
        </is>
      </c>
      <c r="O344" s="29" t="n">
        <v>0</v>
      </c>
      <c r="P344" s="30" t="n">
        <v>450</v>
      </c>
      <c r="Q344" s="31" t="inlineStr">
        <is>
          <t>In Stock</t>
        </is>
      </c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5" customHeight="1" s="85">
      <c r="A345" s="27" t="inlineStr">
        <is>
          <t>ELADI TOFFEE TABLET GREEN/YELLOW</t>
        </is>
      </c>
      <c r="B345" s="27" t="n"/>
      <c r="C345" s="27" t="inlineStr">
        <is>
          <t>Healthcare Items</t>
        </is>
      </c>
      <c r="D345" s="28" t="inlineStr">
        <is>
          <t>8904108060497</t>
        </is>
      </c>
      <c r="E345" s="27" t="n"/>
      <c r="F345" s="29" t="n">
        <v>0</v>
      </c>
      <c r="G345" s="29" t="n">
        <v>1</v>
      </c>
      <c r="H345" s="27" t="inlineStr">
        <is>
          <t>Exclusive</t>
        </is>
      </c>
      <c r="I345" s="29" t="n">
        <v>1</v>
      </c>
      <c r="J345" s="27" t="inlineStr">
        <is>
          <t>Exclusive</t>
        </is>
      </c>
      <c r="K345" s="29" t="n">
        <v>1</v>
      </c>
      <c r="L345" s="29" t="n">
        <v>0</v>
      </c>
      <c r="M345" s="33" t="n">
        <v>1</v>
      </c>
      <c r="N345" s="27" t="inlineStr">
        <is>
          <t>Yes</t>
        </is>
      </c>
      <c r="O345" s="29" t="n">
        <v>0</v>
      </c>
      <c r="P345" s="30" t="n">
        <v>450</v>
      </c>
      <c r="Q345" s="31" t="inlineStr">
        <is>
          <t>In Stock</t>
        </is>
      </c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5" customHeight="1" s="85">
      <c r="A346" s="27" t="inlineStr">
        <is>
          <t>ELAKKA GOLDEN ELAICHI 50GM</t>
        </is>
      </c>
      <c r="B346" s="27" t="n"/>
      <c r="C346" s="27" t="inlineStr">
        <is>
          <t>Masalas &amp; Spices</t>
        </is>
      </c>
      <c r="D346" s="28" t="inlineStr">
        <is>
          <t>998189982666</t>
        </is>
      </c>
      <c r="E346" s="27" t="n"/>
      <c r="F346" s="29" t="n">
        <v>0</v>
      </c>
      <c r="G346" s="29" t="n">
        <v>192</v>
      </c>
      <c r="H346" s="27" t="inlineStr">
        <is>
          <t>Exclusive</t>
        </is>
      </c>
      <c r="I346" s="29" t="n">
        <v>160</v>
      </c>
      <c r="J346" s="27" t="inlineStr">
        <is>
          <t>Exclusive</t>
        </is>
      </c>
      <c r="K346" s="29" t="n">
        <v>250</v>
      </c>
      <c r="L346" s="29" t="n">
        <v>183</v>
      </c>
      <c r="M346" s="33" t="n">
        <v>1</v>
      </c>
      <c r="N346" s="27" t="inlineStr">
        <is>
          <t>Yes</t>
        </is>
      </c>
      <c r="O346" s="29" t="n">
        <v>0</v>
      </c>
      <c r="P346" s="30" t="n">
        <v>450</v>
      </c>
      <c r="Q346" s="31" t="inlineStr">
        <is>
          <t>In Stock</t>
        </is>
      </c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5" customHeight="1" s="85">
      <c r="A347" s="27" t="inlineStr">
        <is>
          <t>ELITE BANANA PUDDING 250</t>
        </is>
      </c>
      <c r="B347" s="27" t="n"/>
      <c r="C347" s="27" t="inlineStr">
        <is>
          <t>Snacks</t>
        </is>
      </c>
      <c r="D347" s="28" t="inlineStr">
        <is>
          <t>8906009993386</t>
        </is>
      </c>
      <c r="E347" s="27" t="n"/>
      <c r="F347" s="29" t="n">
        <v>0</v>
      </c>
      <c r="G347" s="29" t="n">
        <v>150</v>
      </c>
      <c r="H347" s="27" t="inlineStr">
        <is>
          <t>Inclusive</t>
        </is>
      </c>
      <c r="I347" s="29" t="n">
        <v>142</v>
      </c>
      <c r="J347" s="27" t="inlineStr">
        <is>
          <t>Inclusive</t>
        </is>
      </c>
      <c r="K347" s="29" t="n">
        <v>150</v>
      </c>
      <c r="L347" s="29" t="n">
        <v>3</v>
      </c>
      <c r="M347" s="33" t="n">
        <v>1</v>
      </c>
      <c r="N347" s="27" t="inlineStr">
        <is>
          <t>Yes</t>
        </is>
      </c>
      <c r="O347" s="29" t="n">
        <v>0</v>
      </c>
      <c r="P347" s="30" t="n">
        <v>450</v>
      </c>
      <c r="Q347" s="31" t="inlineStr">
        <is>
          <t>In Stock</t>
        </is>
      </c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5" customHeight="1" s="85">
      <c r="A348" s="27" t="inlineStr">
        <is>
          <t>ELITE BANANA PUDDING 500GM</t>
        </is>
      </c>
      <c r="B348" s="27" t="n"/>
      <c r="C348" s="27" t="inlineStr">
        <is>
          <t>Snacks</t>
        </is>
      </c>
      <c r="D348" s="28" t="inlineStr">
        <is>
          <t>8906009993379</t>
        </is>
      </c>
      <c r="E348" s="27" t="n"/>
      <c r="F348" s="29" t="n">
        <v>0</v>
      </c>
      <c r="G348" s="29" t="n">
        <v>260</v>
      </c>
      <c r="H348" s="27" t="inlineStr">
        <is>
          <t>Exclusive</t>
        </is>
      </c>
      <c r="I348" s="29" t="n">
        <v>218</v>
      </c>
      <c r="J348" s="27" t="inlineStr">
        <is>
          <t>Exclusive</t>
        </is>
      </c>
      <c r="K348" s="29" t="n">
        <v>270</v>
      </c>
      <c r="L348" s="29" t="n">
        <v>1</v>
      </c>
      <c r="M348" s="33" t="n">
        <v>1</v>
      </c>
      <c r="N348" s="27" t="inlineStr">
        <is>
          <t>Yes</t>
        </is>
      </c>
      <c r="O348" s="29" t="n">
        <v>0</v>
      </c>
      <c r="P348" s="30" t="n">
        <v>450</v>
      </c>
      <c r="Q348" s="31" t="inlineStr">
        <is>
          <t>In Stock</t>
        </is>
      </c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5" customHeight="1" s="85">
      <c r="A349" s="27" t="inlineStr">
        <is>
          <t>ELITE CARROT PUDDING 250GM</t>
        </is>
      </c>
      <c r="B349" s="27" t="n"/>
      <c r="C349" s="27" t="inlineStr">
        <is>
          <t>Snacks</t>
        </is>
      </c>
      <c r="D349" s="28" t="inlineStr">
        <is>
          <t>8906009992952</t>
        </is>
      </c>
      <c r="E349" s="27" t="n"/>
      <c r="F349" s="29" t="n">
        <v>0</v>
      </c>
      <c r="G349" s="29" t="n">
        <v>150</v>
      </c>
      <c r="H349" s="27" t="inlineStr">
        <is>
          <t>Exclusive</t>
        </is>
      </c>
      <c r="I349" s="29" t="n">
        <v>130</v>
      </c>
      <c r="J349" s="27" t="inlineStr">
        <is>
          <t>Exclusive</t>
        </is>
      </c>
      <c r="K349" s="29" t="n">
        <v>150</v>
      </c>
      <c r="L349" s="29" t="n">
        <v>3</v>
      </c>
      <c r="M349" s="33" t="n">
        <v>1</v>
      </c>
      <c r="N349" s="27" t="inlineStr">
        <is>
          <t>Yes</t>
        </is>
      </c>
      <c r="O349" s="29" t="n">
        <v>0</v>
      </c>
      <c r="P349" s="30" t="n">
        <v>450</v>
      </c>
      <c r="Q349" s="31" t="inlineStr">
        <is>
          <t>In Stock</t>
        </is>
      </c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5" customHeight="1" s="85">
      <c r="A350" s="27" t="inlineStr">
        <is>
          <t>ELITE CHOCKO BROWNIE 45GM</t>
        </is>
      </c>
      <c r="B350" s="27" t="n"/>
      <c r="C350" s="27" t="inlineStr">
        <is>
          <t>Snacks</t>
        </is>
      </c>
      <c r="D350" s="32" t="inlineStr">
        <is>
          <t>100142</t>
        </is>
      </c>
      <c r="E350" s="27" t="n"/>
      <c r="F350" s="29" t="n">
        <v>0</v>
      </c>
      <c r="G350" s="29" t="n">
        <v>20</v>
      </c>
      <c r="H350" s="27" t="inlineStr">
        <is>
          <t>Inclusive</t>
        </is>
      </c>
      <c r="I350" s="29" t="n">
        <v>18</v>
      </c>
      <c r="J350" s="27" t="inlineStr">
        <is>
          <t>Inclusive</t>
        </is>
      </c>
      <c r="K350" s="29" t="n">
        <v>20</v>
      </c>
      <c r="L350" s="29" t="n">
        <v>7</v>
      </c>
      <c r="M350" s="33" t="n">
        <v>1</v>
      </c>
      <c r="N350" s="27" t="inlineStr">
        <is>
          <t>Yes</t>
        </is>
      </c>
      <c r="O350" s="29" t="n">
        <v>0</v>
      </c>
      <c r="P350" s="30" t="n">
        <v>450</v>
      </c>
      <c r="Q350" s="31" t="inlineStr">
        <is>
          <t>In Stock</t>
        </is>
      </c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5" customHeight="1" s="85">
      <c r="A351" s="27" t="inlineStr">
        <is>
          <t>ELITE DATES PUDDING 250GM</t>
        </is>
      </c>
      <c r="B351" s="27" t="n"/>
      <c r="C351" s="27" t="inlineStr">
        <is>
          <t>Snacks</t>
        </is>
      </c>
      <c r="D351" s="28" t="inlineStr">
        <is>
          <t>8906009992945</t>
        </is>
      </c>
      <c r="E351" s="27" t="n"/>
      <c r="F351" s="29" t="n">
        <v>0</v>
      </c>
      <c r="G351" s="29" t="n">
        <v>150</v>
      </c>
      <c r="H351" s="27" t="inlineStr">
        <is>
          <t>Inclusive</t>
        </is>
      </c>
      <c r="I351" s="29" t="n">
        <v>130</v>
      </c>
      <c r="J351" s="27" t="inlineStr">
        <is>
          <t>Inclusive</t>
        </is>
      </c>
      <c r="K351" s="29" t="n">
        <v>150</v>
      </c>
      <c r="L351" s="29" t="n">
        <v>6</v>
      </c>
      <c r="M351" s="33" t="n">
        <v>1</v>
      </c>
      <c r="N351" s="27" t="inlineStr">
        <is>
          <t>Yes</t>
        </is>
      </c>
      <c r="O351" s="29" t="n">
        <v>0</v>
      </c>
      <c r="P351" s="30" t="n">
        <v>450</v>
      </c>
      <c r="Q351" s="31" t="inlineStr">
        <is>
          <t>In Stock</t>
        </is>
      </c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5" customHeight="1" s="85">
      <c r="A352" s="27" t="inlineStr">
        <is>
          <t>ELITE DATES PUDDING 500GM</t>
        </is>
      </c>
      <c r="B352" s="27" t="n"/>
      <c r="C352" s="27" t="inlineStr">
        <is>
          <t>Snacks</t>
        </is>
      </c>
      <c r="D352" s="28" t="inlineStr">
        <is>
          <t>8906009992518</t>
        </is>
      </c>
      <c r="E352" s="27" t="n"/>
      <c r="F352" s="29" t="n">
        <v>0</v>
      </c>
      <c r="G352" s="29" t="n">
        <v>270</v>
      </c>
      <c r="H352" s="27" t="inlineStr">
        <is>
          <t>Exclusive</t>
        </is>
      </c>
      <c r="I352" s="29" t="n">
        <v>220</v>
      </c>
      <c r="J352" s="27" t="inlineStr">
        <is>
          <t>Exclusive</t>
        </is>
      </c>
      <c r="K352" s="29" t="n">
        <v>270</v>
      </c>
      <c r="L352" s="29" t="n">
        <v>0</v>
      </c>
      <c r="M352" s="33" t="n">
        <v>1</v>
      </c>
      <c r="N352" s="27" t="inlineStr">
        <is>
          <t>Yes</t>
        </is>
      </c>
      <c r="O352" s="29" t="n">
        <v>0</v>
      </c>
      <c r="P352" s="30" t="n">
        <v>450</v>
      </c>
      <c r="Q352" s="31" t="inlineStr">
        <is>
          <t>In Stock</t>
        </is>
      </c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5" customHeight="1" s="85">
      <c r="A353" s="27" t="inlineStr">
        <is>
          <t>ELITE JACKFRUIT CAKE 500GM</t>
        </is>
      </c>
      <c r="B353" s="27" t="n"/>
      <c r="C353" s="27" t="inlineStr">
        <is>
          <t>Snacks</t>
        </is>
      </c>
      <c r="D353" s="32" t="inlineStr">
        <is>
          <t>100143</t>
        </is>
      </c>
      <c r="E353" s="27" t="n"/>
      <c r="F353" s="29" t="n">
        <v>0</v>
      </c>
      <c r="G353" s="29" t="n">
        <v>260</v>
      </c>
      <c r="H353" s="27" t="inlineStr">
        <is>
          <t>Exclusive</t>
        </is>
      </c>
      <c r="I353" s="29" t="n">
        <v>230</v>
      </c>
      <c r="J353" s="27" t="inlineStr">
        <is>
          <t>Exclusive</t>
        </is>
      </c>
      <c r="K353" s="29" t="n">
        <v>260</v>
      </c>
      <c r="L353" s="29" t="n">
        <v>0</v>
      </c>
      <c r="M353" s="27" t="n"/>
      <c r="N353" s="27" t="inlineStr">
        <is>
          <t>Yes</t>
        </is>
      </c>
      <c r="O353" s="29" t="n">
        <v>0</v>
      </c>
      <c r="P353" s="30" t="n">
        <v>450</v>
      </c>
      <c r="Q353" s="31" t="inlineStr">
        <is>
          <t>In Stock</t>
        </is>
      </c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5" customHeight="1" s="85">
      <c r="A354" s="27" t="inlineStr">
        <is>
          <t>ELITE JACKFRUIT PUDDING 250GM</t>
        </is>
      </c>
      <c r="B354" s="27" t="n"/>
      <c r="C354" s="27" t="inlineStr">
        <is>
          <t>Snacks</t>
        </is>
      </c>
      <c r="D354" s="28" t="inlineStr">
        <is>
          <t>8906009992808</t>
        </is>
      </c>
      <c r="E354" s="27" t="n"/>
      <c r="F354" s="29" t="n">
        <v>0</v>
      </c>
      <c r="G354" s="29" t="n">
        <v>150</v>
      </c>
      <c r="H354" s="27" t="inlineStr">
        <is>
          <t>Exclusive</t>
        </is>
      </c>
      <c r="I354" s="29" t="n">
        <v>130</v>
      </c>
      <c r="J354" s="27" t="inlineStr">
        <is>
          <t>Exclusive</t>
        </is>
      </c>
      <c r="K354" s="29" t="n">
        <v>150</v>
      </c>
      <c r="L354" s="29" t="n">
        <v>5</v>
      </c>
      <c r="M354" s="33" t="n">
        <v>1</v>
      </c>
      <c r="N354" s="27" t="inlineStr">
        <is>
          <t>Yes</t>
        </is>
      </c>
      <c r="O354" s="29" t="n">
        <v>0</v>
      </c>
      <c r="P354" s="30" t="n">
        <v>450</v>
      </c>
      <c r="Q354" s="31" t="inlineStr">
        <is>
          <t>In Stock</t>
        </is>
      </c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5" customHeight="1" s="85">
      <c r="A355" s="27" t="inlineStr">
        <is>
          <t>ELITE JACKFRUIT PUDDING 500GM</t>
        </is>
      </c>
      <c r="B355" s="27" t="n"/>
      <c r="C355" s="27" t="inlineStr">
        <is>
          <t>Snacks</t>
        </is>
      </c>
      <c r="D355" s="32" t="inlineStr">
        <is>
          <t>100144</t>
        </is>
      </c>
      <c r="E355" s="27" t="n"/>
      <c r="F355" s="29" t="n">
        <v>0</v>
      </c>
      <c r="G355" s="29" t="n">
        <v>260</v>
      </c>
      <c r="H355" s="27" t="inlineStr">
        <is>
          <t>Inclusive</t>
        </is>
      </c>
      <c r="I355" s="29" t="n">
        <v>220</v>
      </c>
      <c r="J355" s="27" t="inlineStr">
        <is>
          <t>Inclusive</t>
        </is>
      </c>
      <c r="K355" s="29" t="n">
        <v>260</v>
      </c>
      <c r="L355" s="29" t="n">
        <v>5</v>
      </c>
      <c r="M355" s="27" t="n"/>
      <c r="N355" s="27" t="inlineStr">
        <is>
          <t>No</t>
        </is>
      </c>
      <c r="O355" s="29" t="n">
        <v>0</v>
      </c>
      <c r="P355" s="30" t="n">
        <v>450</v>
      </c>
      <c r="Q355" s="31" t="inlineStr">
        <is>
          <t>In Stock</t>
        </is>
      </c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5" customHeight="1" s="85">
      <c r="A356" s="27" t="inlineStr">
        <is>
          <t>ELITE PINAPLE PUDDING 500GM</t>
        </is>
      </c>
      <c r="B356" s="27" t="n"/>
      <c r="C356" s="27" t="inlineStr">
        <is>
          <t>Snacks</t>
        </is>
      </c>
      <c r="D356" s="28" t="inlineStr">
        <is>
          <t>8906009994031</t>
        </is>
      </c>
      <c r="E356" s="27" t="n"/>
      <c r="F356" s="29" t="n">
        <v>0</v>
      </c>
      <c r="G356" s="29" t="n">
        <v>270</v>
      </c>
      <c r="H356" s="27" t="inlineStr">
        <is>
          <t>Exclusive</t>
        </is>
      </c>
      <c r="I356" s="29" t="n">
        <v>220</v>
      </c>
      <c r="J356" s="27" t="inlineStr">
        <is>
          <t>Exclusive</t>
        </is>
      </c>
      <c r="K356" s="29" t="n">
        <v>270</v>
      </c>
      <c r="L356" s="29" t="n">
        <v>0</v>
      </c>
      <c r="M356" s="33" t="n">
        <v>1</v>
      </c>
      <c r="N356" s="27" t="inlineStr">
        <is>
          <t>Yes</t>
        </is>
      </c>
      <c r="O356" s="29" t="n">
        <v>0</v>
      </c>
      <c r="P356" s="30" t="n">
        <v>450</v>
      </c>
      <c r="Q356" s="31" t="inlineStr">
        <is>
          <t>In Stock</t>
        </is>
      </c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5" customHeight="1" s="85">
      <c r="A357" s="27" t="inlineStr">
        <is>
          <t>ELITE PINEAPPLE PUDDING 250GM</t>
        </is>
      </c>
      <c r="B357" s="27" t="n"/>
      <c r="C357" s="27" t="inlineStr">
        <is>
          <t>Snacks</t>
        </is>
      </c>
      <c r="D357" s="28" t="inlineStr">
        <is>
          <t>8906009994048</t>
        </is>
      </c>
      <c r="E357" s="27" t="n"/>
      <c r="F357" s="29" t="n">
        <v>0</v>
      </c>
      <c r="G357" s="29" t="n">
        <v>150</v>
      </c>
      <c r="H357" s="27" t="inlineStr">
        <is>
          <t>Exclusive</t>
        </is>
      </c>
      <c r="I357" s="29" t="n">
        <v>117</v>
      </c>
      <c r="J357" s="27" t="inlineStr">
        <is>
          <t>Exclusive</t>
        </is>
      </c>
      <c r="K357" s="29" t="n">
        <v>150</v>
      </c>
      <c r="L357" s="29" t="n">
        <v>0</v>
      </c>
      <c r="M357" s="33" t="n">
        <v>1</v>
      </c>
      <c r="N357" s="27" t="inlineStr">
        <is>
          <t>Yes</t>
        </is>
      </c>
      <c r="O357" s="29" t="n">
        <v>0</v>
      </c>
      <c r="P357" s="30" t="n">
        <v>450</v>
      </c>
      <c r="Q357" s="31" t="inlineStr">
        <is>
          <t>In Stock</t>
        </is>
      </c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5" customHeight="1" s="85">
      <c r="A358" s="27" t="inlineStr">
        <is>
          <t>ELITE PINEAPPLE PUDDING 500GM</t>
        </is>
      </c>
      <c r="B358" s="27" t="n"/>
      <c r="C358" s="27" t="inlineStr">
        <is>
          <t>Snacks</t>
        </is>
      </c>
      <c r="D358" s="32" t="inlineStr">
        <is>
          <t>100145</t>
        </is>
      </c>
      <c r="E358" s="27" t="n"/>
      <c r="F358" s="29" t="n">
        <v>0</v>
      </c>
      <c r="G358" s="29" t="n">
        <v>260</v>
      </c>
      <c r="H358" s="27" t="inlineStr">
        <is>
          <t>Inclusive</t>
        </is>
      </c>
      <c r="I358" s="29" t="n">
        <v>220</v>
      </c>
      <c r="J358" s="27" t="inlineStr">
        <is>
          <t>Inclusive</t>
        </is>
      </c>
      <c r="K358" s="29" t="n">
        <v>260</v>
      </c>
      <c r="L358" s="29" t="n">
        <v>5</v>
      </c>
      <c r="M358" s="27" t="n"/>
      <c r="N358" s="27" t="inlineStr">
        <is>
          <t>No</t>
        </is>
      </c>
      <c r="O358" s="29" t="n">
        <v>0</v>
      </c>
      <c r="P358" s="30" t="n">
        <v>450</v>
      </c>
      <c r="Q358" s="31" t="inlineStr">
        <is>
          <t>In Stock</t>
        </is>
      </c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5" customHeight="1" s="85">
      <c r="A359" s="27" t="inlineStr">
        <is>
          <t>ELITE PLUM DELIGHT 330GM</t>
        </is>
      </c>
      <c r="B359" s="27" t="n"/>
      <c r="C359" s="27" t="inlineStr">
        <is>
          <t>Snacks</t>
        </is>
      </c>
      <c r="D359" s="28" t="inlineStr">
        <is>
          <t>8906009990057</t>
        </is>
      </c>
      <c r="E359" s="27" t="n"/>
      <c r="F359" s="29" t="n">
        <v>0</v>
      </c>
      <c r="G359" s="29" t="n">
        <v>160</v>
      </c>
      <c r="H359" s="27" t="inlineStr">
        <is>
          <t>Exclusive</t>
        </is>
      </c>
      <c r="I359" s="29" t="n">
        <v>127</v>
      </c>
      <c r="J359" s="27" t="inlineStr">
        <is>
          <t>Exclusive</t>
        </is>
      </c>
      <c r="K359" s="29" t="n">
        <v>160</v>
      </c>
      <c r="L359" s="29" t="n">
        <v>0</v>
      </c>
      <c r="M359" s="33" t="n">
        <v>1</v>
      </c>
      <c r="N359" s="27" t="inlineStr">
        <is>
          <t>Yes</t>
        </is>
      </c>
      <c r="O359" s="29" t="n">
        <v>0</v>
      </c>
      <c r="P359" s="30" t="n">
        <v>450</v>
      </c>
      <c r="Q359" s="31" t="inlineStr">
        <is>
          <t>In Stock</t>
        </is>
      </c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5" customHeight="1" s="85">
      <c r="A360" s="27" t="inlineStr">
        <is>
          <t>ELITE PLUM DELIGHT 650GM</t>
        </is>
      </c>
      <c r="B360" s="27" t="n"/>
      <c r="C360" s="27" t="inlineStr">
        <is>
          <t>Snacks</t>
        </is>
      </c>
      <c r="D360" s="32" t="inlineStr">
        <is>
          <t>100146</t>
        </is>
      </c>
      <c r="E360" s="27" t="n"/>
      <c r="F360" s="29" t="n">
        <v>0</v>
      </c>
      <c r="G360" s="29" t="n">
        <v>300</v>
      </c>
      <c r="H360" s="27" t="inlineStr">
        <is>
          <t>Exclusive</t>
        </is>
      </c>
      <c r="I360" s="29" t="n">
        <v>215</v>
      </c>
      <c r="J360" s="27" t="inlineStr">
        <is>
          <t>Exclusive</t>
        </is>
      </c>
      <c r="K360" s="29" t="n">
        <v>300</v>
      </c>
      <c r="L360" s="29" t="n">
        <v>0</v>
      </c>
      <c r="M360" s="33" t="n">
        <v>1</v>
      </c>
      <c r="N360" s="27" t="inlineStr">
        <is>
          <t>Yes</t>
        </is>
      </c>
      <c r="O360" s="29" t="n">
        <v>0</v>
      </c>
      <c r="P360" s="30" t="n">
        <v>450</v>
      </c>
      <c r="Q360" s="31" t="inlineStr">
        <is>
          <t>In Stock</t>
        </is>
      </c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5" customHeight="1" s="85">
      <c r="A361" s="27" t="inlineStr">
        <is>
          <t>ELITE PLUM SURPRISE 680GM</t>
        </is>
      </c>
      <c r="B361" s="27" t="n"/>
      <c r="C361" s="27" t="inlineStr">
        <is>
          <t>Snacks</t>
        </is>
      </c>
      <c r="D361" s="28" t="inlineStr">
        <is>
          <t>8906009990125</t>
        </is>
      </c>
      <c r="E361" s="27" t="n"/>
      <c r="F361" s="29" t="n">
        <v>0</v>
      </c>
      <c r="G361" s="29" t="n">
        <v>400</v>
      </c>
      <c r="H361" s="27" t="inlineStr">
        <is>
          <t>Exclusive</t>
        </is>
      </c>
      <c r="I361" s="29" t="n">
        <v>298</v>
      </c>
      <c r="J361" s="27" t="inlineStr">
        <is>
          <t>Exclusive</t>
        </is>
      </c>
      <c r="K361" s="29" t="n">
        <v>400</v>
      </c>
      <c r="L361" s="29" t="n">
        <v>0</v>
      </c>
      <c r="M361" s="33" t="n">
        <v>1</v>
      </c>
      <c r="N361" s="27" t="inlineStr">
        <is>
          <t>Yes</t>
        </is>
      </c>
      <c r="O361" s="29" t="n">
        <v>0</v>
      </c>
      <c r="P361" s="30" t="n">
        <v>450</v>
      </c>
      <c r="Q361" s="31" t="inlineStr">
        <is>
          <t>In Stock</t>
        </is>
      </c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5" customHeight="1" s="85">
      <c r="A362" s="27" t="inlineStr">
        <is>
          <t>ELITE PLUM SURPRIZE 330GM</t>
        </is>
      </c>
      <c r="B362" s="27" t="n"/>
      <c r="C362" s="27" t="inlineStr">
        <is>
          <t>Snacks</t>
        </is>
      </c>
      <c r="D362" s="28" t="inlineStr">
        <is>
          <t>8906009990118</t>
        </is>
      </c>
      <c r="E362" s="27" t="n"/>
      <c r="F362" s="29" t="n">
        <v>0</v>
      </c>
      <c r="G362" s="29" t="n">
        <v>210</v>
      </c>
      <c r="H362" s="27" t="inlineStr">
        <is>
          <t>Inclusive</t>
        </is>
      </c>
      <c r="I362" s="29" t="n">
        <v>165</v>
      </c>
      <c r="J362" s="27" t="inlineStr">
        <is>
          <t>Inclusive</t>
        </is>
      </c>
      <c r="K362" s="29" t="n">
        <v>210</v>
      </c>
      <c r="L362" s="29" t="n">
        <v>0</v>
      </c>
      <c r="M362" s="33" t="n">
        <v>1</v>
      </c>
      <c r="N362" s="27" t="inlineStr">
        <is>
          <t>Yes</t>
        </is>
      </c>
      <c r="O362" s="29" t="n">
        <v>0</v>
      </c>
      <c r="P362" s="30" t="n">
        <v>450</v>
      </c>
      <c r="Q362" s="31" t="inlineStr">
        <is>
          <t>In Stock</t>
        </is>
      </c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5" customHeight="1" s="85">
      <c r="A363" s="27" t="inlineStr">
        <is>
          <t>ELITE VEG PLUM CAKE 330</t>
        </is>
      </c>
      <c r="B363" s="27" t="n"/>
      <c r="C363" s="27" t="inlineStr">
        <is>
          <t>Snacks</t>
        </is>
      </c>
      <c r="D363" s="32" t="inlineStr">
        <is>
          <t>100147</t>
        </is>
      </c>
      <c r="E363" s="27" t="n"/>
      <c r="F363" s="29" t="n">
        <v>0</v>
      </c>
      <c r="G363" s="29" t="n">
        <v>200</v>
      </c>
      <c r="H363" s="27" t="inlineStr">
        <is>
          <t>Inclusive</t>
        </is>
      </c>
      <c r="I363" s="29" t="n">
        <v>146</v>
      </c>
      <c r="J363" s="27" t="inlineStr">
        <is>
          <t>Inclusive</t>
        </is>
      </c>
      <c r="K363" s="29" t="n">
        <v>200</v>
      </c>
      <c r="L363" s="29" t="n">
        <v>10</v>
      </c>
      <c r="M363" s="33" t="n">
        <v>1</v>
      </c>
      <c r="N363" s="27" t="inlineStr">
        <is>
          <t>Yes</t>
        </is>
      </c>
      <c r="O363" s="29" t="n">
        <v>0</v>
      </c>
      <c r="P363" s="30" t="n">
        <v>450</v>
      </c>
      <c r="Q363" s="31" t="inlineStr">
        <is>
          <t>In Stock</t>
        </is>
      </c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5" customHeight="1" s="85">
      <c r="A364" s="27" t="inlineStr">
        <is>
          <t>EMMANUEL SONG BOOK</t>
        </is>
      </c>
      <c r="B364" s="27" t="n"/>
      <c r="C364" s="27" t="inlineStr">
        <is>
          <t>Books &amp; Bibles</t>
        </is>
      </c>
      <c r="D364" s="32" t="inlineStr">
        <is>
          <t>100148</t>
        </is>
      </c>
      <c r="E364" s="27" t="n"/>
      <c r="F364" s="29" t="n">
        <v>0</v>
      </c>
      <c r="G364" s="29" t="n">
        <v>100</v>
      </c>
      <c r="H364" s="27" t="inlineStr">
        <is>
          <t>Exclusive</t>
        </is>
      </c>
      <c r="I364" s="29" t="n">
        <v>75</v>
      </c>
      <c r="J364" s="27" t="inlineStr">
        <is>
          <t>Exclusive</t>
        </is>
      </c>
      <c r="K364" s="29" t="n">
        <v>100</v>
      </c>
      <c r="L364" s="29" t="n">
        <v>4</v>
      </c>
      <c r="M364" s="27" t="n"/>
      <c r="N364" s="27" t="inlineStr">
        <is>
          <t>Yes</t>
        </is>
      </c>
      <c r="O364" s="29" t="n">
        <v>0</v>
      </c>
      <c r="P364" s="30" t="n">
        <v>450</v>
      </c>
      <c r="Q364" s="31" t="inlineStr">
        <is>
          <t>In Stock</t>
        </is>
      </c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5" customHeight="1" s="85">
      <c r="A365" s="27" t="inlineStr">
        <is>
          <t>EMPEROR'S NEW CLOTHES CHILDREN</t>
        </is>
      </c>
      <c r="B365" s="27" t="n"/>
      <c r="C365" s="27" t="inlineStr">
        <is>
          <t>Books &amp; Bibles</t>
        </is>
      </c>
      <c r="D365" s="32" t="inlineStr">
        <is>
          <t>100149</t>
        </is>
      </c>
      <c r="E365" s="27" t="n"/>
      <c r="F365" s="29" t="n">
        <v>0</v>
      </c>
      <c r="G365" s="29" t="n">
        <v>220</v>
      </c>
      <c r="H365" s="27" t="inlineStr">
        <is>
          <t>Exclusive</t>
        </is>
      </c>
      <c r="I365" s="29" t="n">
        <v>100</v>
      </c>
      <c r="J365" s="27" t="inlineStr">
        <is>
          <t>Exclusive</t>
        </is>
      </c>
      <c r="K365" s="29" t="n">
        <v>220</v>
      </c>
      <c r="L365" s="29" t="n">
        <v>4</v>
      </c>
      <c r="M365" s="33" t="n">
        <v>1</v>
      </c>
      <c r="N365" s="27" t="inlineStr">
        <is>
          <t>Yes</t>
        </is>
      </c>
      <c r="O365" s="29" t="n">
        <v>0</v>
      </c>
      <c r="P365" s="30" t="n">
        <v>450</v>
      </c>
      <c r="Q365" s="31" t="inlineStr">
        <is>
          <t>In Stock</t>
        </is>
      </c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5" customHeight="1" s="85">
      <c r="A366" s="27" t="inlineStr">
        <is>
          <t>ENGLISH ESV BIBLE</t>
        </is>
      </c>
      <c r="B366" s="27" t="n"/>
      <c r="C366" s="27" t="inlineStr">
        <is>
          <t>Books &amp; Bibles</t>
        </is>
      </c>
      <c r="D366" s="28" t="inlineStr">
        <is>
          <t>9788122138658</t>
        </is>
      </c>
      <c r="E366" s="27" t="n"/>
      <c r="F366" s="29" t="n">
        <v>0</v>
      </c>
      <c r="G366" s="29" t="n">
        <v>600</v>
      </c>
      <c r="H366" s="27" t="inlineStr">
        <is>
          <t>Exclusive</t>
        </is>
      </c>
      <c r="I366" s="29" t="n">
        <v>450</v>
      </c>
      <c r="J366" s="27" t="inlineStr">
        <is>
          <t>Exclusive</t>
        </is>
      </c>
      <c r="K366" s="29" t="n">
        <v>600</v>
      </c>
      <c r="L366" s="29" t="n">
        <v>4</v>
      </c>
      <c r="M366" s="33" t="n">
        <v>1</v>
      </c>
      <c r="N366" s="27" t="inlineStr">
        <is>
          <t>Yes</t>
        </is>
      </c>
      <c r="O366" s="29" t="n">
        <v>0</v>
      </c>
      <c r="P366" s="30" t="n">
        <v>450</v>
      </c>
      <c r="Q366" s="31" t="inlineStr">
        <is>
          <t>In Stock</t>
        </is>
      </c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5" customHeight="1" s="85">
      <c r="A367" s="27" t="inlineStr">
        <is>
          <t>ENGLISH/HINDI CHILDREN BIBLES</t>
        </is>
      </c>
      <c r="B367" s="27" t="n"/>
      <c r="C367" s="27" t="inlineStr">
        <is>
          <t>Books &amp; Bibles</t>
        </is>
      </c>
      <c r="D367" s="28" t="inlineStr">
        <is>
          <t>483425501132</t>
        </is>
      </c>
      <c r="E367" s="27" t="n"/>
      <c r="F367" s="29" t="n">
        <v>0</v>
      </c>
      <c r="G367" s="29" t="n">
        <v>400</v>
      </c>
      <c r="H367" s="27" t="inlineStr">
        <is>
          <t>Exclusive</t>
        </is>
      </c>
      <c r="I367" s="29" t="n">
        <v>190</v>
      </c>
      <c r="J367" s="27" t="inlineStr">
        <is>
          <t>Exclusive</t>
        </is>
      </c>
      <c r="K367" s="29" t="n">
        <v>400</v>
      </c>
      <c r="L367" s="29" t="n">
        <v>1</v>
      </c>
      <c r="M367" s="33" t="n">
        <v>1</v>
      </c>
      <c r="N367" s="27" t="inlineStr">
        <is>
          <t>Yes</t>
        </is>
      </c>
      <c r="O367" s="29" t="n">
        <v>0</v>
      </c>
      <c r="P367" s="30" t="n">
        <v>450</v>
      </c>
      <c r="Q367" s="31" t="inlineStr">
        <is>
          <t>In Stock</t>
        </is>
      </c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5" customHeight="1" s="85">
      <c r="A368" s="27" t="inlineStr">
        <is>
          <t>ENVELOPE 20</t>
        </is>
      </c>
      <c r="B368" s="27" t="n"/>
      <c r="C368" s="27" t="inlineStr">
        <is>
          <t>Stationery</t>
        </is>
      </c>
      <c r="D368" s="32" t="inlineStr">
        <is>
          <t>100150</t>
        </is>
      </c>
      <c r="E368" s="27" t="n"/>
      <c r="F368" s="29" t="n">
        <v>0</v>
      </c>
      <c r="G368" s="29" t="n">
        <v>10</v>
      </c>
      <c r="H368" s="27" t="inlineStr">
        <is>
          <t>Exclusive</t>
        </is>
      </c>
      <c r="I368" s="29" t="n">
        <v>8</v>
      </c>
      <c r="J368" s="27" t="inlineStr">
        <is>
          <t>Exclusive</t>
        </is>
      </c>
      <c r="K368" s="29" t="n">
        <v>10</v>
      </c>
      <c r="L368" s="29" t="n">
        <v>8</v>
      </c>
      <c r="M368" s="33" t="n">
        <v>1</v>
      </c>
      <c r="N368" s="27" t="inlineStr">
        <is>
          <t>No</t>
        </is>
      </c>
      <c r="O368" s="29" t="n">
        <v>0</v>
      </c>
      <c r="P368" s="30" t="n">
        <v>450</v>
      </c>
      <c r="Q368" s="31" t="inlineStr">
        <is>
          <t>In Stock</t>
        </is>
      </c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5" customHeight="1" s="85">
      <c r="A369" s="27" t="inlineStr">
        <is>
          <t>ERACER 3</t>
        </is>
      </c>
      <c r="B369" s="27" t="n"/>
      <c r="C369" s="27" t="inlineStr">
        <is>
          <t>Stationery</t>
        </is>
      </c>
      <c r="D369" s="32" t="inlineStr">
        <is>
          <t>100151</t>
        </is>
      </c>
      <c r="E369" s="27" t="n"/>
      <c r="F369" s="29" t="n">
        <v>0</v>
      </c>
      <c r="G369" s="29" t="n">
        <v>3</v>
      </c>
      <c r="H369" s="27" t="inlineStr">
        <is>
          <t>Exclusive</t>
        </is>
      </c>
      <c r="I369" s="29" t="n">
        <v>1</v>
      </c>
      <c r="J369" s="27" t="inlineStr">
        <is>
          <t>Exclusive</t>
        </is>
      </c>
      <c r="K369" s="29" t="n">
        <v>3</v>
      </c>
      <c r="L369" s="29" t="n">
        <v>7</v>
      </c>
      <c r="M369" s="33" t="n">
        <v>1</v>
      </c>
      <c r="N369" s="27" t="inlineStr">
        <is>
          <t>No</t>
        </is>
      </c>
      <c r="O369" s="29" t="n">
        <v>0</v>
      </c>
      <c r="P369" s="30" t="n">
        <v>450</v>
      </c>
      <c r="Q369" s="31" t="inlineStr">
        <is>
          <t>In Stock</t>
        </is>
      </c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5" customHeight="1" s="85">
      <c r="A370" s="27" t="inlineStr">
        <is>
          <t>ESV STUDY BIBLE HARD BOUND</t>
        </is>
      </c>
      <c r="B370" s="27" t="n"/>
      <c r="C370" s="27" t="inlineStr">
        <is>
          <t>Books &amp; Bibles</t>
        </is>
      </c>
      <c r="D370" s="28" t="inlineStr">
        <is>
          <t>772922822912</t>
        </is>
      </c>
      <c r="E370" s="27" t="n"/>
      <c r="F370" s="29" t="n">
        <v>0</v>
      </c>
      <c r="G370" s="29" t="n">
        <v>2200</v>
      </c>
      <c r="H370" s="27" t="inlineStr">
        <is>
          <t>Exclusive</t>
        </is>
      </c>
      <c r="I370" s="29" t="n">
        <v>1800</v>
      </c>
      <c r="J370" s="27" t="inlineStr">
        <is>
          <t>Exclusive</t>
        </is>
      </c>
      <c r="K370" s="29" t="n">
        <v>2500</v>
      </c>
      <c r="L370" s="29" t="n">
        <v>0</v>
      </c>
      <c r="M370" s="27" t="n"/>
      <c r="N370" s="27" t="inlineStr">
        <is>
          <t>Yes</t>
        </is>
      </c>
      <c r="O370" s="29" t="n">
        <v>0</v>
      </c>
      <c r="P370" s="30" t="n">
        <v>450</v>
      </c>
      <c r="Q370" s="31" t="inlineStr">
        <is>
          <t>In Stock</t>
        </is>
      </c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5" customHeight="1" s="85">
      <c r="A371" s="27" t="inlineStr">
        <is>
          <t>EXAM BOARD</t>
        </is>
      </c>
      <c r="B371" s="27" t="n"/>
      <c r="C371" s="27" t="inlineStr">
        <is>
          <t>Stationery</t>
        </is>
      </c>
      <c r="D371" s="32" t="inlineStr">
        <is>
          <t>100152</t>
        </is>
      </c>
      <c r="E371" s="27" t="n"/>
      <c r="F371" s="29" t="n">
        <v>0</v>
      </c>
      <c r="G371" s="29" t="n">
        <v>70</v>
      </c>
      <c r="H371" s="27" t="inlineStr">
        <is>
          <t>Exclusive</t>
        </is>
      </c>
      <c r="I371" s="29" t="n">
        <v>50</v>
      </c>
      <c r="J371" s="27" t="inlineStr">
        <is>
          <t>Exclusive</t>
        </is>
      </c>
      <c r="K371" s="29" t="n">
        <v>75</v>
      </c>
      <c r="L371" s="29" t="n">
        <v>0</v>
      </c>
      <c r="M371" s="33" t="n">
        <v>1</v>
      </c>
      <c r="N371" s="27" t="inlineStr">
        <is>
          <t>Yes</t>
        </is>
      </c>
      <c r="O371" s="29" t="n">
        <v>0</v>
      </c>
      <c r="P371" s="30" t="n">
        <v>450</v>
      </c>
      <c r="Q371" s="31" t="inlineStr">
        <is>
          <t>In Stock</t>
        </is>
      </c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5" customHeight="1" s="85">
      <c r="A372" s="27" t="inlineStr">
        <is>
          <t>EXO RUB WASH</t>
        </is>
      </c>
      <c r="B372" s="27" t="n"/>
      <c r="C372" s="27" t="inlineStr">
        <is>
          <t>Household &amp; Cleaning</t>
        </is>
      </c>
      <c r="D372" s="28" t="inlineStr">
        <is>
          <t>671780443440</t>
        </is>
      </c>
      <c r="E372" s="27" t="n"/>
      <c r="F372" s="29" t="n">
        <v>0</v>
      </c>
      <c r="G372" s="29" t="n">
        <v>25</v>
      </c>
      <c r="H372" s="27" t="inlineStr">
        <is>
          <t>Exclusive</t>
        </is>
      </c>
      <c r="I372" s="29" t="n">
        <v>15</v>
      </c>
      <c r="J372" s="27" t="inlineStr">
        <is>
          <t>Exclusive</t>
        </is>
      </c>
      <c r="K372" s="29" t="n">
        <v>25</v>
      </c>
      <c r="L372" s="29" t="n">
        <v>6</v>
      </c>
      <c r="M372" s="33" t="n">
        <v>1</v>
      </c>
      <c r="N372" s="27" t="inlineStr">
        <is>
          <t>Yes</t>
        </is>
      </c>
      <c r="O372" s="29" t="n">
        <v>0</v>
      </c>
      <c r="P372" s="30" t="n">
        <v>450</v>
      </c>
      <c r="Q372" s="31" t="inlineStr">
        <is>
          <t>In Stock</t>
        </is>
      </c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5" customHeight="1" s="85">
      <c r="A373" s="27" t="inlineStr">
        <is>
          <t>FANCY CORD 100MTR</t>
        </is>
      </c>
      <c r="B373" s="27" t="n"/>
      <c r="C373" s="27" t="inlineStr">
        <is>
          <t>Stationery</t>
        </is>
      </c>
      <c r="D373" s="32" t="inlineStr">
        <is>
          <t>100153</t>
        </is>
      </c>
      <c r="E373" s="27" t="n"/>
      <c r="F373" s="29" t="n">
        <v>0</v>
      </c>
      <c r="G373" s="29" t="n">
        <v>220</v>
      </c>
      <c r="H373" s="27" t="inlineStr">
        <is>
          <t>Inclusive</t>
        </is>
      </c>
      <c r="I373" s="29" t="n">
        <v>200</v>
      </c>
      <c r="J373" s="27" t="inlineStr">
        <is>
          <t>Inclusive</t>
        </is>
      </c>
      <c r="K373" s="29" t="n">
        <v>235</v>
      </c>
      <c r="L373" s="29" t="n">
        <v>3</v>
      </c>
      <c r="M373" s="33" t="n">
        <v>1</v>
      </c>
      <c r="N373" s="27" t="inlineStr">
        <is>
          <t>No</t>
        </is>
      </c>
      <c r="O373" s="29" t="n">
        <v>0</v>
      </c>
      <c r="P373" s="30" t="n">
        <v>450</v>
      </c>
      <c r="Q373" s="31" t="inlineStr">
        <is>
          <t>In Stock</t>
        </is>
      </c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5" customHeight="1" s="85">
      <c r="A374" s="27" t="inlineStr">
        <is>
          <t>FEVI GUM 5</t>
        </is>
      </c>
      <c r="B374" s="27" t="n"/>
      <c r="C374" s="27" t="inlineStr">
        <is>
          <t>Stationery</t>
        </is>
      </c>
      <c r="D374" s="32" t="inlineStr">
        <is>
          <t>100154</t>
        </is>
      </c>
      <c r="E374" s="27" t="n"/>
      <c r="F374" s="29" t="n">
        <v>0</v>
      </c>
      <c r="G374" s="29" t="n">
        <v>5</v>
      </c>
      <c r="H374" s="27" t="inlineStr">
        <is>
          <t>Exclusive</t>
        </is>
      </c>
      <c r="I374" s="29" t="n">
        <v>3</v>
      </c>
      <c r="J374" s="27" t="inlineStr">
        <is>
          <t>Exclusive</t>
        </is>
      </c>
      <c r="K374" s="29" t="n">
        <v>5</v>
      </c>
      <c r="L374" s="29" t="n">
        <v>0</v>
      </c>
      <c r="M374" s="33" t="n">
        <v>1</v>
      </c>
      <c r="N374" s="27" t="inlineStr">
        <is>
          <t>No</t>
        </is>
      </c>
      <c r="O374" s="29" t="n">
        <v>0</v>
      </c>
      <c r="P374" s="30" t="n">
        <v>450</v>
      </c>
      <c r="Q374" s="31" t="inlineStr">
        <is>
          <t>In Stock</t>
        </is>
      </c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5" customHeight="1" s="85">
      <c r="A375" s="27" t="inlineStr">
        <is>
          <t>FEVIQWIK</t>
        </is>
      </c>
      <c r="B375" s="27" t="n"/>
      <c r="C375" s="27" t="inlineStr">
        <is>
          <t>Stationery</t>
        </is>
      </c>
      <c r="D375" s="32" t="inlineStr">
        <is>
          <t>100155</t>
        </is>
      </c>
      <c r="E375" s="27" t="n"/>
      <c r="F375" s="29" t="n">
        <v>0</v>
      </c>
      <c r="G375" s="29" t="n">
        <v>5</v>
      </c>
      <c r="H375" s="27" t="inlineStr">
        <is>
          <t>Exclusive</t>
        </is>
      </c>
      <c r="I375" s="29" t="n">
        <v>4</v>
      </c>
      <c r="J375" s="27" t="inlineStr">
        <is>
          <t>Exclusive</t>
        </is>
      </c>
      <c r="K375" s="29" t="n">
        <v>5</v>
      </c>
      <c r="L375" s="29" t="n">
        <v>38</v>
      </c>
      <c r="M375" s="33" t="n">
        <v>1</v>
      </c>
      <c r="N375" s="27" t="inlineStr">
        <is>
          <t>No</t>
        </is>
      </c>
      <c r="O375" s="29" t="n">
        <v>0</v>
      </c>
      <c r="P375" s="30" t="n">
        <v>450</v>
      </c>
      <c r="Q375" s="31" t="inlineStr">
        <is>
          <t>In Stock</t>
        </is>
      </c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5" customHeight="1" s="85">
      <c r="A376" s="27" t="inlineStr">
        <is>
          <t>FIESTA PLUM CAKE 350 GM</t>
        </is>
      </c>
      <c r="B376" s="27" t="n"/>
      <c r="C376" s="27" t="inlineStr">
        <is>
          <t>Snacks</t>
        </is>
      </c>
      <c r="D376" s="32" t="inlineStr">
        <is>
          <t>100156</t>
        </is>
      </c>
      <c r="E376" s="27" t="n"/>
      <c r="F376" s="29" t="n">
        <v>0</v>
      </c>
      <c r="G376" s="29" t="n">
        <v>175</v>
      </c>
      <c r="H376" s="27" t="inlineStr">
        <is>
          <t>Inclusive</t>
        </is>
      </c>
      <c r="I376" s="29" t="n">
        <v>110</v>
      </c>
      <c r="J376" s="27" t="inlineStr">
        <is>
          <t>Inclusive</t>
        </is>
      </c>
      <c r="K376" s="29" t="n">
        <v>175</v>
      </c>
      <c r="L376" s="29" t="n">
        <v>1</v>
      </c>
      <c r="M376" s="27" t="n"/>
      <c r="N376" s="27" t="inlineStr">
        <is>
          <t>No</t>
        </is>
      </c>
      <c r="O376" s="29" t="n">
        <v>0</v>
      </c>
      <c r="P376" s="30" t="n">
        <v>450</v>
      </c>
      <c r="Q376" s="31" t="inlineStr">
        <is>
          <t>In Stock</t>
        </is>
      </c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5" customHeight="1" s="85">
      <c r="A377" s="27" t="inlineStr">
        <is>
          <t>FIESTA PLUM CAKE 700GM</t>
        </is>
      </c>
      <c r="B377" s="27" t="n"/>
      <c r="C377" s="27" t="inlineStr">
        <is>
          <t>Snacks</t>
        </is>
      </c>
      <c r="D377" s="32" t="inlineStr">
        <is>
          <t>100157</t>
        </is>
      </c>
      <c r="E377" s="27" t="n"/>
      <c r="F377" s="29" t="n">
        <v>0</v>
      </c>
      <c r="G377" s="29" t="n">
        <v>350</v>
      </c>
      <c r="H377" s="27" t="inlineStr">
        <is>
          <t>Inclusive</t>
        </is>
      </c>
      <c r="I377" s="29" t="n">
        <v>245</v>
      </c>
      <c r="J377" s="27" t="inlineStr">
        <is>
          <t>Inclusive</t>
        </is>
      </c>
      <c r="K377" s="29" t="n">
        <v>328</v>
      </c>
      <c r="L377" s="29" t="n">
        <v>0</v>
      </c>
      <c r="M377" s="33" t="n">
        <v>1</v>
      </c>
      <c r="N377" s="27" t="inlineStr">
        <is>
          <t>Yes</t>
        </is>
      </c>
      <c r="O377" s="29" t="n">
        <v>0</v>
      </c>
      <c r="P377" s="30" t="n">
        <v>450</v>
      </c>
      <c r="Q377" s="31" t="inlineStr">
        <is>
          <t>In Stock</t>
        </is>
      </c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5" customHeight="1" s="85">
      <c r="A378" s="27" t="inlineStr">
        <is>
          <t>FIESTA SLICED PLUM CAKE 200GM</t>
        </is>
      </c>
      <c r="B378" s="27" t="n"/>
      <c r="C378" s="27" t="inlineStr">
        <is>
          <t>Snacks</t>
        </is>
      </c>
      <c r="D378" s="32" t="inlineStr">
        <is>
          <t>100158</t>
        </is>
      </c>
      <c r="E378" s="27" t="n"/>
      <c r="F378" s="29" t="n">
        <v>0</v>
      </c>
      <c r="G378" s="29" t="n">
        <v>90</v>
      </c>
      <c r="H378" s="27" t="inlineStr">
        <is>
          <t>Inclusive</t>
        </is>
      </c>
      <c r="I378" s="29" t="n">
        <v>70</v>
      </c>
      <c r="J378" s="27" t="inlineStr">
        <is>
          <t>Inclusive</t>
        </is>
      </c>
      <c r="K378" s="29" t="n">
        <v>90</v>
      </c>
      <c r="L378" s="29" t="n">
        <v>13</v>
      </c>
      <c r="M378" s="27" t="n"/>
      <c r="N378" s="27" t="inlineStr">
        <is>
          <t>No</t>
        </is>
      </c>
      <c r="O378" s="29" t="n">
        <v>0</v>
      </c>
      <c r="P378" s="30" t="n">
        <v>450</v>
      </c>
      <c r="Q378" s="31" t="inlineStr">
        <is>
          <t>In Stock</t>
        </is>
      </c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5" customHeight="1" s="85">
      <c r="A379" s="27" t="inlineStr">
        <is>
          <t>FINGER CAP</t>
        </is>
      </c>
      <c r="B379" s="27" t="n"/>
      <c r="C379" s="27" t="inlineStr">
        <is>
          <t>Household &amp; Cleaning</t>
        </is>
      </c>
      <c r="D379" s="28" t="inlineStr">
        <is>
          <t>676492538383</t>
        </is>
      </c>
      <c r="E379" s="27" t="n"/>
      <c r="F379" s="29" t="n">
        <v>0</v>
      </c>
      <c r="G379" s="29" t="n">
        <v>5</v>
      </c>
      <c r="H379" s="27" t="inlineStr">
        <is>
          <t>Exclusive</t>
        </is>
      </c>
      <c r="I379" s="29" t="n">
        <v>4</v>
      </c>
      <c r="J379" s="27" t="inlineStr">
        <is>
          <t>Exclusive</t>
        </is>
      </c>
      <c r="K379" s="29" t="n">
        <v>5</v>
      </c>
      <c r="L379" s="29" t="n">
        <v>0</v>
      </c>
      <c r="M379" s="33" t="n">
        <v>1</v>
      </c>
      <c r="N379" s="27" t="inlineStr">
        <is>
          <t>Yes</t>
        </is>
      </c>
      <c r="O379" s="29" t="n">
        <v>0</v>
      </c>
      <c r="P379" s="30" t="n">
        <v>450</v>
      </c>
      <c r="Q379" s="31" t="inlineStr">
        <is>
          <t>In Stock</t>
        </is>
      </c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5" customHeight="1" s="85">
      <c r="A380" s="27" t="inlineStr">
        <is>
          <t>FISH - AYALA</t>
        </is>
      </c>
      <c r="B380" s="27" t="n"/>
      <c r="C380" s="27" t="inlineStr">
        <is>
          <t>Fish &amp; Meat</t>
        </is>
      </c>
      <c r="D380" s="28" t="inlineStr">
        <is>
          <t>807555666529</t>
        </is>
      </c>
      <c r="E380" s="27" t="n"/>
      <c r="F380" s="29" t="n">
        <v>0</v>
      </c>
      <c r="G380" s="29" t="n">
        <v>490</v>
      </c>
      <c r="H380" s="27" t="inlineStr">
        <is>
          <t>Exclusive</t>
        </is>
      </c>
      <c r="I380" s="29" t="n">
        <v>390</v>
      </c>
      <c r="J380" s="27" t="inlineStr">
        <is>
          <t>Exclusive</t>
        </is>
      </c>
      <c r="K380" s="29" t="n">
        <v>550</v>
      </c>
      <c r="L380" s="29" t="n">
        <v>0</v>
      </c>
      <c r="M380" s="33" t="n">
        <v>1</v>
      </c>
      <c r="N380" s="27" t="inlineStr">
        <is>
          <t>Yes</t>
        </is>
      </c>
      <c r="O380" s="29" t="n">
        <v>0</v>
      </c>
      <c r="P380" s="30" t="n">
        <v>450</v>
      </c>
      <c r="Q380" s="31" t="inlineStr">
        <is>
          <t>In Stock</t>
        </is>
      </c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5" customHeight="1" s="85">
      <c r="A381" s="27" t="inlineStr">
        <is>
          <t>FISH - AYALA CLEANED</t>
        </is>
      </c>
      <c r="B381" s="27" t="n"/>
      <c r="C381" s="27" t="inlineStr">
        <is>
          <t>Fish &amp; Meat</t>
        </is>
      </c>
      <c r="D381" s="32" t="inlineStr">
        <is>
          <t>100159</t>
        </is>
      </c>
      <c r="E381" s="27" t="n"/>
      <c r="F381" s="29" t="n">
        <v>0</v>
      </c>
      <c r="G381" s="29" t="n">
        <v>420</v>
      </c>
      <c r="H381" s="27" t="inlineStr">
        <is>
          <t>Exclusive</t>
        </is>
      </c>
      <c r="I381" s="29" t="n">
        <v>350</v>
      </c>
      <c r="J381" s="27" t="inlineStr">
        <is>
          <t>Exclusive</t>
        </is>
      </c>
      <c r="K381" s="29" t="n">
        <v>510</v>
      </c>
      <c r="L381" s="29" t="n">
        <v>0</v>
      </c>
      <c r="M381" s="33" t="n">
        <v>1</v>
      </c>
      <c r="N381" s="27" t="inlineStr">
        <is>
          <t>Yes</t>
        </is>
      </c>
      <c r="O381" s="29" t="n">
        <v>0</v>
      </c>
      <c r="P381" s="30" t="n">
        <v>450</v>
      </c>
      <c r="Q381" s="31" t="inlineStr">
        <is>
          <t>In Stock</t>
        </is>
      </c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5" customHeight="1" s="85">
      <c r="A382" s="27" t="inlineStr">
        <is>
          <t>FISH - CHEMBALLI</t>
        </is>
      </c>
      <c r="B382" s="27" t="n"/>
      <c r="C382" s="27" t="inlineStr">
        <is>
          <t>Fish &amp; Meat</t>
        </is>
      </c>
      <c r="D382" s="32" t="inlineStr">
        <is>
          <t>100160</t>
        </is>
      </c>
      <c r="E382" s="27" t="n"/>
      <c r="F382" s="29" t="n">
        <v>0</v>
      </c>
      <c r="G382" s="29" t="n">
        <v>380</v>
      </c>
      <c r="H382" s="27" t="inlineStr">
        <is>
          <t>Exclusive</t>
        </is>
      </c>
      <c r="I382" s="29" t="n">
        <v>260</v>
      </c>
      <c r="J382" s="27" t="inlineStr">
        <is>
          <t>Exclusive</t>
        </is>
      </c>
      <c r="K382" s="29" t="n">
        <v>400</v>
      </c>
      <c r="L382" s="29" t="n">
        <v>1</v>
      </c>
      <c r="M382" s="33" t="n">
        <v>1</v>
      </c>
      <c r="N382" s="27" t="inlineStr">
        <is>
          <t>Yes</t>
        </is>
      </c>
      <c r="O382" s="29" t="n">
        <v>0</v>
      </c>
      <c r="P382" s="30" t="n">
        <v>450</v>
      </c>
      <c r="Q382" s="31" t="inlineStr">
        <is>
          <t>In Stock</t>
        </is>
      </c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5" customHeight="1" s="85">
      <c r="A383" s="27" t="inlineStr">
        <is>
          <t>FISH - CHEMMEEN FROZEN</t>
        </is>
      </c>
      <c r="B383" s="27" t="n"/>
      <c r="C383" s="27" t="inlineStr">
        <is>
          <t>Fish &amp; Meat</t>
        </is>
      </c>
      <c r="D383" s="32" t="inlineStr">
        <is>
          <t>100161</t>
        </is>
      </c>
      <c r="E383" s="27" t="n"/>
      <c r="F383" s="29" t="n">
        <v>0</v>
      </c>
      <c r="G383" s="29" t="n">
        <v>540</v>
      </c>
      <c r="H383" s="27" t="inlineStr">
        <is>
          <t>Exclusive</t>
        </is>
      </c>
      <c r="I383" s="29" t="n">
        <v>420</v>
      </c>
      <c r="J383" s="27" t="inlineStr">
        <is>
          <t>Exclusive</t>
        </is>
      </c>
      <c r="K383" s="29" t="n">
        <v>660</v>
      </c>
      <c r="L383" s="29" t="n">
        <v>0</v>
      </c>
      <c r="M383" s="33" t="n">
        <v>1</v>
      </c>
      <c r="N383" s="27" t="inlineStr">
        <is>
          <t>Yes</t>
        </is>
      </c>
      <c r="O383" s="29" t="n">
        <v>0</v>
      </c>
      <c r="P383" s="30" t="n">
        <v>450</v>
      </c>
      <c r="Q383" s="31" t="inlineStr">
        <is>
          <t>In Stock</t>
        </is>
      </c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5" customHeight="1" s="85">
      <c r="A384" s="27" t="inlineStr">
        <is>
          <t>FISH - CHEMMEEN (PRAWNS)</t>
        </is>
      </c>
      <c r="B384" s="27" t="n"/>
      <c r="C384" s="27" t="inlineStr">
        <is>
          <t>Fish &amp; Meat</t>
        </is>
      </c>
      <c r="D384" s="28" t="inlineStr">
        <is>
          <t>605964310598</t>
        </is>
      </c>
      <c r="E384" s="27" t="n"/>
      <c r="F384" s="29" t="n">
        <v>0</v>
      </c>
      <c r="G384" s="29" t="n">
        <v>550</v>
      </c>
      <c r="H384" s="27" t="inlineStr">
        <is>
          <t>Exclusive</t>
        </is>
      </c>
      <c r="I384" s="29" t="n">
        <v>420</v>
      </c>
      <c r="J384" s="27" t="inlineStr">
        <is>
          <t>Exclusive</t>
        </is>
      </c>
      <c r="K384" s="29" t="n">
        <v>580</v>
      </c>
      <c r="L384" s="29" t="n">
        <v>0</v>
      </c>
      <c r="M384" s="33" t="n">
        <v>1</v>
      </c>
      <c r="N384" s="27" t="inlineStr">
        <is>
          <t>Yes</t>
        </is>
      </c>
      <c r="O384" s="29" t="n">
        <v>0</v>
      </c>
      <c r="P384" s="30" t="n">
        <v>450</v>
      </c>
      <c r="Q384" s="31" t="inlineStr">
        <is>
          <t>In Stock</t>
        </is>
      </c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5" customHeight="1" s="85">
      <c r="A385" s="27" t="inlineStr">
        <is>
          <t>FISH - CHOORA</t>
        </is>
      </c>
      <c r="B385" s="27" t="n"/>
      <c r="C385" s="27" t="inlineStr">
        <is>
          <t>Fish &amp; Meat</t>
        </is>
      </c>
      <c r="D385" s="28" t="inlineStr">
        <is>
          <t>290050307052</t>
        </is>
      </c>
      <c r="E385" s="27" t="n"/>
      <c r="F385" s="29" t="n">
        <v>0</v>
      </c>
      <c r="G385" s="29" t="n">
        <v>440</v>
      </c>
      <c r="H385" s="27" t="inlineStr">
        <is>
          <t>Exclusive</t>
        </is>
      </c>
      <c r="I385" s="29" t="n">
        <v>320</v>
      </c>
      <c r="J385" s="27" t="inlineStr">
        <is>
          <t>Exclusive</t>
        </is>
      </c>
      <c r="K385" s="29" t="n">
        <v>530</v>
      </c>
      <c r="L385" s="29" t="n">
        <v>0</v>
      </c>
      <c r="M385" s="33" t="n">
        <v>1</v>
      </c>
      <c r="N385" s="27" t="inlineStr">
        <is>
          <t>Yes</t>
        </is>
      </c>
      <c r="O385" s="29" t="n">
        <v>0</v>
      </c>
      <c r="P385" s="30" t="n">
        <v>450</v>
      </c>
      <c r="Q385" s="31" t="inlineStr">
        <is>
          <t>In Stock</t>
        </is>
      </c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5" customHeight="1" s="85">
      <c r="A386" s="27" t="inlineStr">
        <is>
          <t>FISH _ CHOORA WITH HEAD 1KG</t>
        </is>
      </c>
      <c r="B386" s="27" t="n"/>
      <c r="C386" s="27" t="inlineStr">
        <is>
          <t>Fish &amp; Meat</t>
        </is>
      </c>
      <c r="D386" s="32" t="inlineStr">
        <is>
          <t>100162</t>
        </is>
      </c>
      <c r="E386" s="27" t="n"/>
      <c r="F386" s="29" t="n">
        <v>0</v>
      </c>
      <c r="G386" s="29" t="n">
        <v>580</v>
      </c>
      <c r="H386" s="27" t="inlineStr">
        <is>
          <t>Exclusive</t>
        </is>
      </c>
      <c r="I386" s="29" t="n">
        <v>520</v>
      </c>
      <c r="J386" s="27" t="inlineStr">
        <is>
          <t>Exclusive</t>
        </is>
      </c>
      <c r="K386" s="29" t="n">
        <v>610</v>
      </c>
      <c r="L386" s="29" t="n">
        <v>5</v>
      </c>
      <c r="M386" s="33" t="n">
        <v>1</v>
      </c>
      <c r="N386" s="27" t="inlineStr">
        <is>
          <t>Yes</t>
        </is>
      </c>
      <c r="O386" s="29" t="n">
        <v>0</v>
      </c>
      <c r="P386" s="30" t="n">
        <v>450</v>
      </c>
      <c r="Q386" s="31" t="inlineStr">
        <is>
          <t>In Stock</t>
        </is>
      </c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5" customHeight="1" s="85">
      <c r="A387" s="27" t="inlineStr">
        <is>
          <t>FISH - CRAB</t>
        </is>
      </c>
      <c r="B387" s="27" t="n"/>
      <c r="C387" s="27" t="inlineStr">
        <is>
          <t>Fish &amp; Meat</t>
        </is>
      </c>
      <c r="D387" s="32" t="inlineStr">
        <is>
          <t>100163</t>
        </is>
      </c>
      <c r="E387" s="27" t="n"/>
      <c r="F387" s="29" t="n">
        <v>0</v>
      </c>
      <c r="G387" s="29" t="n">
        <v>540</v>
      </c>
      <c r="H387" s="27" t="inlineStr">
        <is>
          <t>Inclusive</t>
        </is>
      </c>
      <c r="I387" s="29" t="n">
        <v>440</v>
      </c>
      <c r="J387" s="27" t="inlineStr">
        <is>
          <t>Inclusive</t>
        </is>
      </c>
      <c r="K387" s="29" t="n">
        <v>580</v>
      </c>
      <c r="L387" s="29" t="n">
        <v>1</v>
      </c>
      <c r="M387" s="33" t="n">
        <v>1</v>
      </c>
      <c r="N387" s="27" t="inlineStr">
        <is>
          <t>Yes</t>
        </is>
      </c>
      <c r="O387" s="29" t="n">
        <v>0</v>
      </c>
      <c r="P387" s="30" t="n">
        <v>450</v>
      </c>
      <c r="Q387" s="31" t="inlineStr">
        <is>
          <t>In Stock</t>
        </is>
      </c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5" customHeight="1" s="85">
      <c r="A388" s="27" t="inlineStr">
        <is>
          <t>FISH - FULL PAMPHLET</t>
        </is>
      </c>
      <c r="B388" s="27" t="n"/>
      <c r="C388" s="27" t="inlineStr">
        <is>
          <t>Fish &amp; Meat</t>
        </is>
      </c>
      <c r="D388" s="32" t="inlineStr">
        <is>
          <t>100164</t>
        </is>
      </c>
      <c r="E388" s="27" t="n"/>
      <c r="F388" s="29" t="n">
        <v>0</v>
      </c>
      <c r="G388" s="29" t="n">
        <v>690</v>
      </c>
      <c r="H388" s="27" t="inlineStr">
        <is>
          <t>Exclusive</t>
        </is>
      </c>
      <c r="I388" s="29" t="n">
        <v>590</v>
      </c>
      <c r="J388" s="27" t="inlineStr">
        <is>
          <t>Exclusive</t>
        </is>
      </c>
      <c r="K388" s="29" t="n">
        <v>750</v>
      </c>
      <c r="L388" s="29" t="n">
        <v>0</v>
      </c>
      <c r="M388" s="27" t="n"/>
      <c r="N388" s="27" t="inlineStr">
        <is>
          <t>Yes</t>
        </is>
      </c>
      <c r="O388" s="29" t="n">
        <v>0</v>
      </c>
      <c r="P388" s="30" t="n">
        <v>450</v>
      </c>
      <c r="Q388" s="31" t="inlineStr">
        <is>
          <t>In Stock</t>
        </is>
      </c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5" customHeight="1" s="85">
      <c r="A389" s="27" t="inlineStr">
        <is>
          <t>FISH - KANAVA (SQUID)</t>
        </is>
      </c>
      <c r="B389" s="27" t="n"/>
      <c r="C389" s="27" t="inlineStr">
        <is>
          <t>Fish &amp; Meat</t>
        </is>
      </c>
      <c r="D389" s="32" t="inlineStr">
        <is>
          <t>100165</t>
        </is>
      </c>
      <c r="E389" s="27" t="n"/>
      <c r="F389" s="29" t="n">
        <v>0</v>
      </c>
      <c r="G389" s="29" t="n">
        <v>690</v>
      </c>
      <c r="H389" s="27" t="inlineStr">
        <is>
          <t>Exclusive</t>
        </is>
      </c>
      <c r="I389" s="29" t="n">
        <v>580</v>
      </c>
      <c r="J389" s="27" t="inlineStr">
        <is>
          <t>Exclusive</t>
        </is>
      </c>
      <c r="K389" s="29" t="n">
        <v>750</v>
      </c>
      <c r="L389" s="29" t="n">
        <v>1</v>
      </c>
      <c r="M389" s="33" t="n">
        <v>1</v>
      </c>
      <c r="N389" s="27" t="inlineStr">
        <is>
          <t>Yes</t>
        </is>
      </c>
      <c r="O389" s="29" t="n">
        <v>0</v>
      </c>
      <c r="P389" s="30" t="n">
        <v>450</v>
      </c>
      <c r="Q389" s="31" t="inlineStr">
        <is>
          <t>In Stock</t>
        </is>
      </c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5" customHeight="1" s="85">
      <c r="A390" s="27" t="inlineStr">
        <is>
          <t>FISH - KARIMEEN</t>
        </is>
      </c>
      <c r="B390" s="27" t="n"/>
      <c r="C390" s="27" t="inlineStr">
        <is>
          <t>Fish &amp; Meat</t>
        </is>
      </c>
      <c r="D390" s="28" t="inlineStr">
        <is>
          <t>593692524245</t>
        </is>
      </c>
      <c r="E390" s="27" t="n"/>
      <c r="F390" s="29" t="n">
        <v>0</v>
      </c>
      <c r="G390" s="29" t="n">
        <v>490</v>
      </c>
      <c r="H390" s="27" t="inlineStr">
        <is>
          <t>Exclusive</t>
        </is>
      </c>
      <c r="I390" s="29" t="n">
        <v>390</v>
      </c>
      <c r="J390" s="27" t="inlineStr">
        <is>
          <t>Exclusive</t>
        </is>
      </c>
      <c r="K390" s="29" t="n">
        <v>550</v>
      </c>
      <c r="L390" s="29" t="n">
        <v>3</v>
      </c>
      <c r="M390" s="33" t="n">
        <v>1</v>
      </c>
      <c r="N390" s="27" t="inlineStr">
        <is>
          <t>Yes</t>
        </is>
      </c>
      <c r="O390" s="29" t="n">
        <v>0</v>
      </c>
      <c r="P390" s="30" t="n">
        <v>450</v>
      </c>
      <c r="Q390" s="31" t="inlineStr">
        <is>
          <t>In Stock</t>
        </is>
      </c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5" customHeight="1" s="85">
      <c r="A391" s="27" t="inlineStr">
        <is>
          <t>FISH _ KARIMEEN FULL 1KG</t>
        </is>
      </c>
      <c r="B391" s="27" t="n"/>
      <c r="C391" s="27" t="inlineStr">
        <is>
          <t>Fish &amp; Meat</t>
        </is>
      </c>
      <c r="D391" s="32" t="inlineStr">
        <is>
          <t>100166</t>
        </is>
      </c>
      <c r="E391" s="27" t="n"/>
      <c r="F391" s="29" t="n">
        <v>0</v>
      </c>
      <c r="G391" s="29" t="n">
        <v>490</v>
      </c>
      <c r="H391" s="27" t="inlineStr">
        <is>
          <t>Exclusive</t>
        </is>
      </c>
      <c r="I391" s="29" t="n">
        <v>400</v>
      </c>
      <c r="J391" s="27" t="inlineStr">
        <is>
          <t>Exclusive</t>
        </is>
      </c>
      <c r="K391" s="29" t="n">
        <v>520</v>
      </c>
      <c r="L391" s="29" t="n">
        <v>9</v>
      </c>
      <c r="M391" s="33" t="n">
        <v>1</v>
      </c>
      <c r="N391" s="27" t="inlineStr">
        <is>
          <t>Yes</t>
        </is>
      </c>
      <c r="O391" s="29" t="n">
        <v>0</v>
      </c>
      <c r="P391" s="30" t="n">
        <v>450</v>
      </c>
      <c r="Q391" s="31" t="inlineStr">
        <is>
          <t>In Stock</t>
        </is>
      </c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5" customHeight="1" s="85">
      <c r="A392" s="27" t="inlineStr">
        <is>
          <t>FISH - KERALA MODA</t>
        </is>
      </c>
      <c r="B392" s="27" t="n"/>
      <c r="C392" s="27" t="inlineStr">
        <is>
          <t>Fish &amp; Meat</t>
        </is>
      </c>
      <c r="D392" s="32" t="inlineStr">
        <is>
          <t>100167</t>
        </is>
      </c>
      <c r="E392" s="27" t="n"/>
      <c r="F392" s="29" t="n">
        <v>0</v>
      </c>
      <c r="G392" s="29" t="n">
        <v>490</v>
      </c>
      <c r="H392" s="27" t="inlineStr">
        <is>
          <t>Exclusive</t>
        </is>
      </c>
      <c r="I392" s="29" t="n">
        <v>380</v>
      </c>
      <c r="J392" s="27" t="inlineStr">
        <is>
          <t>Exclusive</t>
        </is>
      </c>
      <c r="K392" s="29" t="n">
        <v>490</v>
      </c>
      <c r="L392" s="29" t="n">
        <v>0</v>
      </c>
      <c r="M392" s="33" t="n">
        <v>1</v>
      </c>
      <c r="N392" s="27" t="inlineStr">
        <is>
          <t>Yes</t>
        </is>
      </c>
      <c r="O392" s="29" t="n">
        <v>0</v>
      </c>
      <c r="P392" s="30" t="n">
        <v>450</v>
      </c>
      <c r="Q392" s="31" t="inlineStr">
        <is>
          <t>In Stock</t>
        </is>
      </c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5" customHeight="1" s="85">
      <c r="A393" s="27" t="inlineStr">
        <is>
          <t>FISH _ KILIMEEN FULL 1KG</t>
        </is>
      </c>
      <c r="B393" s="27" t="n"/>
      <c r="C393" s="27" t="inlineStr">
        <is>
          <t>Fish &amp; Meat</t>
        </is>
      </c>
      <c r="D393" s="32" t="inlineStr">
        <is>
          <t>100168</t>
        </is>
      </c>
      <c r="E393" s="27" t="n"/>
      <c r="F393" s="29" t="n">
        <v>0</v>
      </c>
      <c r="G393" s="29" t="n">
        <v>480</v>
      </c>
      <c r="H393" s="27" t="inlineStr">
        <is>
          <t>Exclusive</t>
        </is>
      </c>
      <c r="I393" s="29" t="n">
        <v>380</v>
      </c>
      <c r="J393" s="27" t="inlineStr">
        <is>
          <t>Exclusive</t>
        </is>
      </c>
      <c r="K393" s="29" t="n">
        <v>510</v>
      </c>
      <c r="L393" s="29" t="n">
        <v>0</v>
      </c>
      <c r="M393" s="33" t="n">
        <v>1</v>
      </c>
      <c r="N393" s="27" t="inlineStr">
        <is>
          <t>Yes</t>
        </is>
      </c>
      <c r="O393" s="29" t="n">
        <v>0</v>
      </c>
      <c r="P393" s="30" t="n">
        <v>450</v>
      </c>
      <c r="Q393" s="31" t="inlineStr">
        <is>
          <t>In Stock</t>
        </is>
      </c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5" customHeight="1" s="85">
      <c r="A394" s="27" t="inlineStr">
        <is>
          <t>FISH - KILIMEEN (NAVARA)</t>
        </is>
      </c>
      <c r="B394" s="27" t="n"/>
      <c r="C394" s="27" t="inlineStr">
        <is>
          <t>Fish &amp; Meat</t>
        </is>
      </c>
      <c r="D394" s="28" t="inlineStr">
        <is>
          <t>894914029959</t>
        </is>
      </c>
      <c r="E394" s="27" t="n"/>
      <c r="F394" s="29" t="n">
        <v>0</v>
      </c>
      <c r="G394" s="29" t="n">
        <v>410</v>
      </c>
      <c r="H394" s="27" t="inlineStr">
        <is>
          <t>Exclusive</t>
        </is>
      </c>
      <c r="I394" s="29" t="n">
        <v>310</v>
      </c>
      <c r="J394" s="27" t="inlineStr">
        <is>
          <t>Exclusive</t>
        </is>
      </c>
      <c r="K394" s="29" t="n">
        <v>420</v>
      </c>
      <c r="L394" s="29" t="n">
        <v>31</v>
      </c>
      <c r="M394" s="33" t="n">
        <v>1</v>
      </c>
      <c r="N394" s="27" t="inlineStr">
        <is>
          <t>Yes</t>
        </is>
      </c>
      <c r="O394" s="29" t="n">
        <v>0</v>
      </c>
      <c r="P394" s="30" t="n">
        <v>450</v>
      </c>
      <c r="Q394" s="31" t="inlineStr">
        <is>
          <t>In Stock</t>
        </is>
      </c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5" customHeight="1" s="85">
      <c r="A395" s="27" t="inlineStr">
        <is>
          <t>FISH - MATHI</t>
        </is>
      </c>
      <c r="B395" s="27" t="n"/>
      <c r="C395" s="27" t="inlineStr">
        <is>
          <t>Fish &amp; Meat</t>
        </is>
      </c>
      <c r="D395" s="28" t="inlineStr">
        <is>
          <t>978664070635</t>
        </is>
      </c>
      <c r="E395" s="27" t="n"/>
      <c r="F395" s="29" t="n">
        <v>0</v>
      </c>
      <c r="G395" s="29" t="n">
        <v>390</v>
      </c>
      <c r="H395" s="27" t="inlineStr">
        <is>
          <t>Exclusive</t>
        </is>
      </c>
      <c r="I395" s="29" t="n">
        <v>260</v>
      </c>
      <c r="J395" s="27" t="inlineStr">
        <is>
          <t>Exclusive</t>
        </is>
      </c>
      <c r="K395" s="29" t="n">
        <v>410</v>
      </c>
      <c r="L395" s="29" t="n">
        <v>0</v>
      </c>
      <c r="M395" s="33" t="n">
        <v>1</v>
      </c>
      <c r="N395" s="27" t="inlineStr">
        <is>
          <t>Yes</t>
        </is>
      </c>
      <c r="O395" s="29" t="n">
        <v>0</v>
      </c>
      <c r="P395" s="30" t="n">
        <v>450</v>
      </c>
      <c r="Q395" s="31" t="inlineStr">
        <is>
          <t>In Stock</t>
        </is>
      </c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5" customHeight="1" s="85">
      <c r="A396" s="27" t="inlineStr">
        <is>
          <t>FISH - MODA</t>
        </is>
      </c>
      <c r="B396" s="27" t="n"/>
      <c r="C396" s="27" t="inlineStr">
        <is>
          <t>Fish &amp; Meat</t>
        </is>
      </c>
      <c r="D396" s="28" t="inlineStr">
        <is>
          <t>324435735951</t>
        </is>
      </c>
      <c r="E396" s="27" t="n"/>
      <c r="F396" s="29" t="n">
        <v>0</v>
      </c>
      <c r="G396" s="29" t="n">
        <v>440</v>
      </c>
      <c r="H396" s="27" t="inlineStr">
        <is>
          <t>Exclusive</t>
        </is>
      </c>
      <c r="I396" s="29" t="n">
        <v>320</v>
      </c>
      <c r="J396" s="27" t="inlineStr">
        <is>
          <t>Exclusive</t>
        </is>
      </c>
      <c r="K396" s="29" t="n">
        <v>510</v>
      </c>
      <c r="L396" s="29" t="n">
        <v>22</v>
      </c>
      <c r="M396" s="33" t="n">
        <v>1</v>
      </c>
      <c r="N396" s="27" t="inlineStr">
        <is>
          <t>Yes</t>
        </is>
      </c>
      <c r="O396" s="29" t="n">
        <v>0</v>
      </c>
      <c r="P396" s="30" t="n">
        <v>450</v>
      </c>
      <c r="Q396" s="31" t="inlineStr">
        <is>
          <t>In Stock</t>
        </is>
      </c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5" customHeight="1" s="85">
      <c r="A397" s="27" t="inlineStr">
        <is>
          <t>FISH - NANGU</t>
        </is>
      </c>
      <c r="B397" s="27" t="n"/>
      <c r="C397" s="27" t="inlineStr">
        <is>
          <t>Fish &amp; Meat</t>
        </is>
      </c>
      <c r="D397" s="32" t="inlineStr">
        <is>
          <t>100169</t>
        </is>
      </c>
      <c r="E397" s="27" t="n"/>
      <c r="F397" s="29" t="n">
        <v>0</v>
      </c>
      <c r="G397" s="29" t="n">
        <v>390</v>
      </c>
      <c r="H397" s="27" t="inlineStr">
        <is>
          <t>Exclusive</t>
        </is>
      </c>
      <c r="I397" s="29" t="n">
        <v>270</v>
      </c>
      <c r="J397" s="27" t="inlineStr">
        <is>
          <t>Exclusive</t>
        </is>
      </c>
      <c r="K397" s="29" t="n">
        <v>400</v>
      </c>
      <c r="L397" s="29" t="n">
        <v>0</v>
      </c>
      <c r="M397" s="33" t="n">
        <v>1</v>
      </c>
      <c r="N397" s="27" t="inlineStr">
        <is>
          <t>Yes</t>
        </is>
      </c>
      <c r="O397" s="29" t="n">
        <v>0</v>
      </c>
      <c r="P397" s="30" t="n">
        <v>450</v>
      </c>
      <c r="Q397" s="31" t="inlineStr">
        <is>
          <t>In Stock</t>
        </is>
      </c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5" customHeight="1" s="85">
      <c r="A398" s="27" t="inlineStr">
        <is>
          <t>FISH - NATHOLI</t>
        </is>
      </c>
      <c r="B398" s="27" t="n"/>
      <c r="C398" s="27" t="inlineStr">
        <is>
          <t>Fish &amp; Meat</t>
        </is>
      </c>
      <c r="D398" s="28" t="inlineStr">
        <is>
          <t>680248339240</t>
        </is>
      </c>
      <c r="E398" s="27" t="n"/>
      <c r="F398" s="29" t="n">
        <v>0</v>
      </c>
      <c r="G398" s="29" t="n">
        <v>380</v>
      </c>
      <c r="H398" s="27" t="inlineStr">
        <is>
          <t>Exclusive</t>
        </is>
      </c>
      <c r="I398" s="29" t="n">
        <v>220</v>
      </c>
      <c r="J398" s="27" t="inlineStr">
        <is>
          <t>Exclusive</t>
        </is>
      </c>
      <c r="K398" s="29" t="n">
        <v>420</v>
      </c>
      <c r="L398" s="29" t="n">
        <v>0</v>
      </c>
      <c r="M398" s="33" t="n">
        <v>1</v>
      </c>
      <c r="N398" s="27" t="inlineStr">
        <is>
          <t>Yes</t>
        </is>
      </c>
      <c r="O398" s="29" t="n">
        <v>0</v>
      </c>
      <c r="P398" s="30" t="n">
        <v>450</v>
      </c>
      <c r="Q398" s="31" t="inlineStr">
        <is>
          <t>In Stock</t>
        </is>
      </c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5" customHeight="1" s="85">
      <c r="A399" s="27" t="inlineStr">
        <is>
          <t>FISH - NEMMEEN (SURMA)</t>
        </is>
      </c>
      <c r="B399" s="27" t="n"/>
      <c r="C399" s="27" t="inlineStr">
        <is>
          <t>Fish &amp; Meat</t>
        </is>
      </c>
      <c r="D399" s="32" t="inlineStr">
        <is>
          <t>100170</t>
        </is>
      </c>
      <c r="E399" s="27" t="n"/>
      <c r="F399" s="29" t="n">
        <v>0</v>
      </c>
      <c r="G399" s="29" t="n">
        <v>680</v>
      </c>
      <c r="H399" s="27" t="inlineStr">
        <is>
          <t>Exclusive</t>
        </is>
      </c>
      <c r="I399" s="29" t="n">
        <v>600</v>
      </c>
      <c r="J399" s="27" t="inlineStr">
        <is>
          <t>Exclusive</t>
        </is>
      </c>
      <c r="K399" s="29" t="n">
        <v>690</v>
      </c>
      <c r="L399" s="29" t="n">
        <v>1</v>
      </c>
      <c r="M399" s="33" t="n">
        <v>1</v>
      </c>
      <c r="N399" s="27" t="inlineStr">
        <is>
          <t>Yes</t>
        </is>
      </c>
      <c r="O399" s="29" t="n">
        <v>0</v>
      </c>
      <c r="P399" s="30" t="n">
        <v>450</v>
      </c>
      <c r="Q399" s="31" t="inlineStr">
        <is>
          <t>In Stock</t>
        </is>
      </c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5" customHeight="1" s="85">
      <c r="A400" s="27" t="inlineStr">
        <is>
          <t>FISH - OLA</t>
        </is>
      </c>
      <c r="B400" s="27" t="n"/>
      <c r="C400" s="27" t="inlineStr">
        <is>
          <t>Fish &amp; Meat</t>
        </is>
      </c>
      <c r="D400" s="28" t="inlineStr">
        <is>
          <t>900272979500</t>
        </is>
      </c>
      <c r="E400" s="27" t="n"/>
      <c r="F400" s="29" t="n">
        <v>0</v>
      </c>
      <c r="G400" s="29" t="n">
        <v>440</v>
      </c>
      <c r="H400" s="27" t="inlineStr">
        <is>
          <t>Exclusive</t>
        </is>
      </c>
      <c r="I400" s="29" t="n">
        <v>320</v>
      </c>
      <c r="J400" s="27" t="inlineStr">
        <is>
          <t>Exclusive</t>
        </is>
      </c>
      <c r="K400" s="29" t="n">
        <v>520</v>
      </c>
      <c r="L400" s="29" t="n">
        <v>7</v>
      </c>
      <c r="M400" s="33" t="n">
        <v>1</v>
      </c>
      <c r="N400" s="27" t="inlineStr">
        <is>
          <t>Yes</t>
        </is>
      </c>
      <c r="O400" s="29" t="n">
        <v>0</v>
      </c>
      <c r="P400" s="30" t="n">
        <v>450</v>
      </c>
      <c r="Q400" s="31" t="inlineStr">
        <is>
          <t>In Stock</t>
        </is>
      </c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5" customHeight="1" s="85">
      <c r="A401" s="27" t="inlineStr">
        <is>
          <t>FISH - PARAVA</t>
        </is>
      </c>
      <c r="B401" s="27" t="n"/>
      <c r="C401" s="27" t="inlineStr">
        <is>
          <t>Fish &amp; Meat</t>
        </is>
      </c>
      <c r="D401" s="28" t="inlineStr">
        <is>
          <t>229285204956</t>
        </is>
      </c>
      <c r="E401" s="27" t="n"/>
      <c r="F401" s="29" t="n">
        <v>0</v>
      </c>
      <c r="G401" s="29" t="n">
        <v>390</v>
      </c>
      <c r="H401" s="27" t="inlineStr">
        <is>
          <t>Inclusive</t>
        </is>
      </c>
      <c r="I401" s="29" t="n">
        <v>300</v>
      </c>
      <c r="J401" s="27" t="inlineStr">
        <is>
          <t>Inclusive</t>
        </is>
      </c>
      <c r="K401" s="29" t="n">
        <v>430</v>
      </c>
      <c r="L401" s="29" t="n">
        <v>2</v>
      </c>
      <c r="M401" s="33" t="n">
        <v>1</v>
      </c>
      <c r="N401" s="27" t="inlineStr">
        <is>
          <t>Yes</t>
        </is>
      </c>
      <c r="O401" s="29" t="n">
        <v>0</v>
      </c>
      <c r="P401" s="30" t="n">
        <v>450</v>
      </c>
      <c r="Q401" s="31" t="inlineStr">
        <is>
          <t>In Stock</t>
        </is>
      </c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5" customHeight="1" s="85">
      <c r="A402" s="27" t="inlineStr">
        <is>
          <t>FISH - POMFRET (PAMPHLET) BLACK</t>
        </is>
      </c>
      <c r="B402" s="27" t="n"/>
      <c r="C402" s="27" t="inlineStr">
        <is>
          <t>Fish &amp; Meat</t>
        </is>
      </c>
      <c r="D402" s="28" t="inlineStr">
        <is>
          <t>818593371449</t>
        </is>
      </c>
      <c r="E402" s="27" t="n"/>
      <c r="F402" s="29" t="n">
        <v>0</v>
      </c>
      <c r="G402" s="29" t="n">
        <v>660</v>
      </c>
      <c r="H402" s="27" t="inlineStr">
        <is>
          <t>Exclusive</t>
        </is>
      </c>
      <c r="I402" s="29" t="n">
        <v>590</v>
      </c>
      <c r="J402" s="27" t="inlineStr">
        <is>
          <t>Exclusive</t>
        </is>
      </c>
      <c r="K402" s="29" t="n">
        <v>750</v>
      </c>
      <c r="L402" s="29" t="n">
        <v>5</v>
      </c>
      <c r="M402" s="33" t="n">
        <v>1</v>
      </c>
      <c r="N402" s="27" t="inlineStr">
        <is>
          <t>Yes</t>
        </is>
      </c>
      <c r="O402" s="29" t="n">
        <v>0</v>
      </c>
      <c r="P402" s="30" t="n">
        <v>450</v>
      </c>
      <c r="Q402" s="31" t="inlineStr">
        <is>
          <t>In Stock</t>
        </is>
      </c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5" customHeight="1" s="85">
      <c r="A403" s="27" t="inlineStr">
        <is>
          <t>FISH - SILOPIYA</t>
        </is>
      </c>
      <c r="B403" s="27" t="n"/>
      <c r="C403" s="27" t="inlineStr">
        <is>
          <t>Fish &amp; Meat</t>
        </is>
      </c>
      <c r="D403" s="32" t="inlineStr">
        <is>
          <t>100171</t>
        </is>
      </c>
      <c r="E403" s="27" t="n"/>
      <c r="F403" s="29" t="n">
        <v>0</v>
      </c>
      <c r="G403" s="29" t="n">
        <v>290</v>
      </c>
      <c r="H403" s="27" t="inlineStr">
        <is>
          <t>Exclusive</t>
        </is>
      </c>
      <c r="I403" s="29" t="n">
        <v>190</v>
      </c>
      <c r="J403" s="27" t="inlineStr">
        <is>
          <t>Exclusive</t>
        </is>
      </c>
      <c r="K403" s="29" t="n">
        <v>350</v>
      </c>
      <c r="L403" s="29" t="n">
        <v>3</v>
      </c>
      <c r="M403" s="27" t="n"/>
      <c r="N403" s="27" t="inlineStr">
        <is>
          <t>Yes</t>
        </is>
      </c>
      <c r="O403" s="29" t="n">
        <v>0</v>
      </c>
      <c r="P403" s="30" t="n">
        <v>450</v>
      </c>
      <c r="Q403" s="31" t="inlineStr">
        <is>
          <t>In Stock</t>
        </is>
      </c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5" customHeight="1" s="85">
      <c r="A404" s="27" t="inlineStr">
        <is>
          <t>FISH - VATTA</t>
        </is>
      </c>
      <c r="B404" s="27" t="n"/>
      <c r="C404" s="27" t="inlineStr">
        <is>
          <t>Fish &amp; Meat</t>
        </is>
      </c>
      <c r="D404" s="32" t="inlineStr">
        <is>
          <t>100172</t>
        </is>
      </c>
      <c r="E404" s="27" t="n"/>
      <c r="F404" s="29" t="n">
        <v>0</v>
      </c>
      <c r="G404" s="29" t="n">
        <v>390</v>
      </c>
      <c r="H404" s="27" t="inlineStr">
        <is>
          <t>Inclusive</t>
        </is>
      </c>
      <c r="I404" s="29" t="n">
        <v>300</v>
      </c>
      <c r="J404" s="27" t="inlineStr">
        <is>
          <t>Inclusive</t>
        </is>
      </c>
      <c r="K404" s="29" t="n">
        <v>450</v>
      </c>
      <c r="L404" s="29" t="n">
        <v>1</v>
      </c>
      <c r="M404" s="33" t="n">
        <v>1</v>
      </c>
      <c r="N404" s="27" t="inlineStr">
        <is>
          <t>Yes</t>
        </is>
      </c>
      <c r="O404" s="29" t="n">
        <v>0</v>
      </c>
      <c r="P404" s="30" t="n">
        <v>450</v>
      </c>
      <c r="Q404" s="31" t="inlineStr">
        <is>
          <t>In Stock</t>
        </is>
      </c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5" customHeight="1" s="85">
      <c r="A405" s="27" t="inlineStr">
        <is>
          <t>FLAX SEED 500GM</t>
        </is>
      </c>
      <c r="B405" s="27" t="n"/>
      <c r="C405" s="27" t="inlineStr">
        <is>
          <t>Snacks</t>
        </is>
      </c>
      <c r="D405" s="32" t="inlineStr">
        <is>
          <t>100173</t>
        </is>
      </c>
      <c r="E405" s="27" t="n"/>
      <c r="F405" s="29" t="n">
        <v>0</v>
      </c>
      <c r="G405" s="29" t="n">
        <v>183</v>
      </c>
      <c r="H405" s="27" t="inlineStr">
        <is>
          <t>Inclusive</t>
        </is>
      </c>
      <c r="I405" s="29" t="n">
        <v>146</v>
      </c>
      <c r="J405" s="27" t="inlineStr">
        <is>
          <t>Inclusive</t>
        </is>
      </c>
      <c r="K405" s="29" t="n">
        <v>0</v>
      </c>
      <c r="L405" s="29" t="n">
        <v>0</v>
      </c>
      <c r="M405" s="33" t="n">
        <v>1</v>
      </c>
      <c r="N405" s="27" t="inlineStr">
        <is>
          <t>Yes</t>
        </is>
      </c>
      <c r="O405" s="29" t="n">
        <v>0</v>
      </c>
      <c r="P405" s="30" t="n">
        <v>450</v>
      </c>
      <c r="Q405" s="31" t="inlineStr">
        <is>
          <t>In Stock</t>
        </is>
      </c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5" customHeight="1" s="85">
      <c r="A406" s="27" t="inlineStr">
        <is>
          <t>FLIP THUMB SMALL INDEX GOLDEN HINDI BIBLE</t>
        </is>
      </c>
      <c r="B406" s="27" t="n"/>
      <c r="C406" s="27" t="inlineStr">
        <is>
          <t>Books &amp; Bibles</t>
        </is>
      </c>
      <c r="D406" s="28" t="inlineStr">
        <is>
          <t>765246467116</t>
        </is>
      </c>
      <c r="E406" s="27" t="n"/>
      <c r="F406" s="29" t="n">
        <v>0</v>
      </c>
      <c r="G406" s="29" t="n">
        <v>1500</v>
      </c>
      <c r="H406" s="27" t="inlineStr">
        <is>
          <t>Inclusive</t>
        </is>
      </c>
      <c r="I406" s="29" t="n">
        <v>1400</v>
      </c>
      <c r="J406" s="27" t="inlineStr">
        <is>
          <t>Inclusive</t>
        </is>
      </c>
      <c r="K406" s="29" t="n">
        <v>1600</v>
      </c>
      <c r="L406" s="29" t="n">
        <v>1</v>
      </c>
      <c r="M406" s="33" t="n">
        <v>1</v>
      </c>
      <c r="N406" s="27" t="inlineStr">
        <is>
          <t>Yes</t>
        </is>
      </c>
      <c r="O406" s="29" t="n">
        <v>0</v>
      </c>
      <c r="P406" s="30" t="n">
        <v>450</v>
      </c>
      <c r="Q406" s="31" t="inlineStr">
        <is>
          <t>In Stock</t>
        </is>
      </c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5" customHeight="1" s="85">
      <c r="A407" s="27" t="inlineStr">
        <is>
          <t>FORTUNE MUSTARD OIL 1LTR</t>
        </is>
      </c>
      <c r="B407" s="27" t="n"/>
      <c r="C407" s="27" t="inlineStr">
        <is>
          <t>Edible Oils &amp; Ghee</t>
        </is>
      </c>
      <c r="D407" s="28" t="inlineStr">
        <is>
          <t>8906007280952</t>
        </is>
      </c>
      <c r="E407" s="27" t="n"/>
      <c r="F407" s="29" t="n">
        <v>0</v>
      </c>
      <c r="G407" s="29" t="n">
        <v>175</v>
      </c>
      <c r="H407" s="27" t="inlineStr">
        <is>
          <t>Exclusive</t>
        </is>
      </c>
      <c r="I407" s="29" t="n">
        <v>165</v>
      </c>
      <c r="J407" s="27" t="inlineStr">
        <is>
          <t>Exclusive</t>
        </is>
      </c>
      <c r="K407" s="29" t="n">
        <v>190</v>
      </c>
      <c r="L407" s="29" t="n">
        <v>2</v>
      </c>
      <c r="M407" s="33" t="n">
        <v>1</v>
      </c>
      <c r="N407" s="27" t="inlineStr">
        <is>
          <t>Yes</t>
        </is>
      </c>
      <c r="O407" s="29" t="n">
        <v>0</v>
      </c>
      <c r="P407" s="30" t="n">
        <v>450</v>
      </c>
      <c r="Q407" s="31" t="inlineStr">
        <is>
          <t>In Stock</t>
        </is>
      </c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5" customHeight="1" s="85">
      <c r="A408" s="27" t="inlineStr">
        <is>
          <t>FRAME A3 WALL TEXT 2024</t>
        </is>
      </c>
      <c r="B408" s="27" t="n"/>
      <c r="C408" s="27" t="inlineStr">
        <is>
          <t>Church Articles</t>
        </is>
      </c>
      <c r="D408" s="28" t="inlineStr">
        <is>
          <t>613734237499</t>
        </is>
      </c>
      <c r="E408" s="27" t="n"/>
      <c r="F408" s="29" t="n">
        <v>0</v>
      </c>
      <c r="G408" s="29" t="n">
        <v>350</v>
      </c>
      <c r="H408" s="27" t="inlineStr">
        <is>
          <t>Exclusive</t>
        </is>
      </c>
      <c r="I408" s="29" t="n">
        <v>230</v>
      </c>
      <c r="J408" s="27" t="inlineStr">
        <is>
          <t>Exclusive</t>
        </is>
      </c>
      <c r="K408" s="29" t="n">
        <v>400</v>
      </c>
      <c r="L408" s="29" t="n">
        <v>0</v>
      </c>
      <c r="M408" s="33" t="n">
        <v>1</v>
      </c>
      <c r="N408" s="27" t="inlineStr">
        <is>
          <t>Yes</t>
        </is>
      </c>
      <c r="O408" s="29" t="n">
        <v>0</v>
      </c>
      <c r="P408" s="30" t="n">
        <v>450</v>
      </c>
      <c r="Q408" s="31" t="inlineStr">
        <is>
          <t>In Stock</t>
        </is>
      </c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5" customHeight="1" s="85">
      <c r="A409" s="27" t="inlineStr">
        <is>
          <t>FRAME A4 WALL TEXT WITH GLASS 2024</t>
        </is>
      </c>
      <c r="B409" s="27" t="n"/>
      <c r="C409" s="27" t="inlineStr">
        <is>
          <t>Church Articles</t>
        </is>
      </c>
      <c r="D409" s="28" t="inlineStr">
        <is>
          <t>233014531735</t>
        </is>
      </c>
      <c r="E409" s="27" t="n"/>
      <c r="F409" s="29" t="n">
        <v>0</v>
      </c>
      <c r="G409" s="29" t="n">
        <v>250</v>
      </c>
      <c r="H409" s="27" t="inlineStr">
        <is>
          <t>Exclusive</t>
        </is>
      </c>
      <c r="I409" s="29" t="n">
        <v>135</v>
      </c>
      <c r="J409" s="27" t="inlineStr">
        <is>
          <t>Exclusive</t>
        </is>
      </c>
      <c r="K409" s="29" t="n">
        <v>300</v>
      </c>
      <c r="L409" s="29" t="n">
        <v>8</v>
      </c>
      <c r="M409" s="33" t="n">
        <v>1</v>
      </c>
      <c r="N409" s="27" t="inlineStr">
        <is>
          <t>Yes</t>
        </is>
      </c>
      <c r="O409" s="29" t="n">
        <v>0</v>
      </c>
      <c r="P409" s="30" t="n">
        <v>450</v>
      </c>
      <c r="Q409" s="31" t="inlineStr">
        <is>
          <t>In Stock</t>
        </is>
      </c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5" customHeight="1" s="85">
      <c r="A410" s="27" t="inlineStr">
        <is>
          <t>FRAMED TEXT BIG A3</t>
        </is>
      </c>
      <c r="B410" s="27" t="n"/>
      <c r="C410" s="27" t="inlineStr">
        <is>
          <t>Church Articles</t>
        </is>
      </c>
      <c r="D410" s="34" t="inlineStr">
        <is>
          <t>ftb</t>
        </is>
      </c>
      <c r="E410" s="27" t="n"/>
      <c r="F410" s="29" t="n">
        <v>0</v>
      </c>
      <c r="G410" s="29" t="n">
        <v>225</v>
      </c>
      <c r="H410" s="27" t="inlineStr">
        <is>
          <t>Inclusive</t>
        </is>
      </c>
      <c r="I410" s="29" t="n">
        <v>165</v>
      </c>
      <c r="J410" s="27" t="inlineStr">
        <is>
          <t>Inclusive</t>
        </is>
      </c>
      <c r="K410" s="29" t="n">
        <v>275</v>
      </c>
      <c r="L410" s="29" t="n">
        <v>53</v>
      </c>
      <c r="M410" s="33" t="n">
        <v>1</v>
      </c>
      <c r="N410" s="27" t="inlineStr">
        <is>
          <t>Yes</t>
        </is>
      </c>
      <c r="O410" s="29" t="n">
        <v>0</v>
      </c>
      <c r="P410" s="30" t="n">
        <v>450</v>
      </c>
      <c r="Q410" s="31" t="inlineStr">
        <is>
          <t>In Stock</t>
        </is>
      </c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5" customHeight="1" s="85">
      <c r="A411" s="27" t="inlineStr">
        <is>
          <t>FRAMED TEXT SMALL</t>
        </is>
      </c>
      <c r="B411" s="27" t="n"/>
      <c r="C411" s="27" t="inlineStr">
        <is>
          <t>Church Articles</t>
        </is>
      </c>
      <c r="D411" s="34" t="inlineStr">
        <is>
          <t>fwt</t>
        </is>
      </c>
      <c r="E411" s="27" t="n"/>
      <c r="F411" s="29" t="n">
        <v>0</v>
      </c>
      <c r="G411" s="29" t="n">
        <v>125</v>
      </c>
      <c r="H411" s="27" t="inlineStr">
        <is>
          <t>Inclusive</t>
        </is>
      </c>
      <c r="I411" s="29" t="n">
        <v>75</v>
      </c>
      <c r="J411" s="27" t="inlineStr">
        <is>
          <t>Inclusive</t>
        </is>
      </c>
      <c r="K411" s="29" t="n">
        <v>150</v>
      </c>
      <c r="L411" s="29" t="n">
        <v>2</v>
      </c>
      <c r="M411" s="33" t="n">
        <v>1</v>
      </c>
      <c r="N411" s="27" t="inlineStr">
        <is>
          <t>Yes</t>
        </is>
      </c>
      <c r="O411" s="29" t="n">
        <v>0</v>
      </c>
      <c r="P411" s="30" t="n">
        <v>450</v>
      </c>
      <c r="Q411" s="31" t="inlineStr">
        <is>
          <t>In Stock</t>
        </is>
      </c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5" customHeight="1" s="85">
      <c r="A412" s="27" t="inlineStr">
        <is>
          <t>FRUTOMANS GRAPE CRUSH</t>
        </is>
      </c>
      <c r="B412" s="27" t="n"/>
      <c r="C412" s="27" t="inlineStr">
        <is>
          <t>Beverages</t>
        </is>
      </c>
      <c r="D412" s="28" t="inlineStr">
        <is>
          <t>8901493220659</t>
        </is>
      </c>
      <c r="E412" s="27" t="n"/>
      <c r="F412" s="29" t="n">
        <v>0</v>
      </c>
      <c r="G412" s="29" t="n">
        <v>165</v>
      </c>
      <c r="H412" s="27" t="inlineStr">
        <is>
          <t>Exclusive</t>
        </is>
      </c>
      <c r="I412" s="29" t="n">
        <v>150</v>
      </c>
      <c r="J412" s="27" t="inlineStr">
        <is>
          <t>Exclusive</t>
        </is>
      </c>
      <c r="K412" s="29" t="n">
        <v>165</v>
      </c>
      <c r="L412" s="29" t="n">
        <v>0</v>
      </c>
      <c r="M412" s="27" t="n"/>
      <c r="N412" s="27" t="inlineStr">
        <is>
          <t>Yes</t>
        </is>
      </c>
      <c r="O412" s="29" t="n">
        <v>0</v>
      </c>
      <c r="P412" s="30" t="n">
        <v>450</v>
      </c>
      <c r="Q412" s="31" t="inlineStr">
        <is>
          <t>In Stock</t>
        </is>
      </c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5" customHeight="1" s="85">
      <c r="A413" s="27" t="inlineStr">
        <is>
          <t>FUSH - VELLURI</t>
        </is>
      </c>
      <c r="B413" s="27" t="n"/>
      <c r="C413" s="27" t="inlineStr">
        <is>
          <t>Fish &amp; Meat</t>
        </is>
      </c>
      <c r="D413" s="32" t="inlineStr">
        <is>
          <t>100175</t>
        </is>
      </c>
      <c r="E413" s="27" t="n"/>
      <c r="F413" s="29" t="n">
        <v>0</v>
      </c>
      <c r="G413" s="29" t="n">
        <v>360</v>
      </c>
      <c r="H413" s="27" t="inlineStr">
        <is>
          <t>Exclusive</t>
        </is>
      </c>
      <c r="I413" s="29" t="n">
        <v>240</v>
      </c>
      <c r="J413" s="27" t="inlineStr">
        <is>
          <t>Exclusive</t>
        </is>
      </c>
      <c r="K413" s="29" t="n">
        <v>380</v>
      </c>
      <c r="L413" s="29" t="n">
        <v>0</v>
      </c>
      <c r="M413" s="33" t="n">
        <v>1</v>
      </c>
      <c r="N413" s="27" t="inlineStr">
        <is>
          <t>Yes</t>
        </is>
      </c>
      <c r="O413" s="29" t="n">
        <v>0</v>
      </c>
      <c r="P413" s="30" t="n">
        <v>450</v>
      </c>
      <c r="Q413" s="31" t="inlineStr">
        <is>
          <t>In Stock</t>
        </is>
      </c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5" customHeight="1" s="85">
      <c r="A414" s="27" t="inlineStr">
        <is>
          <t>GIFT BOX SMALL</t>
        </is>
      </c>
      <c r="B414" s="27" t="n"/>
      <c r="C414" s="27" t="inlineStr">
        <is>
          <t>Church Articles</t>
        </is>
      </c>
      <c r="D414" s="28" t="inlineStr">
        <is>
          <t>673339929772</t>
        </is>
      </c>
      <c r="E414" s="27" t="n"/>
      <c r="F414" s="29" t="n">
        <v>0</v>
      </c>
      <c r="G414" s="29" t="n">
        <v>7</v>
      </c>
      <c r="H414" s="27" t="inlineStr">
        <is>
          <t>Exclusive</t>
        </is>
      </c>
      <c r="I414" s="29" t="n">
        <v>5</v>
      </c>
      <c r="J414" s="27" t="inlineStr">
        <is>
          <t>Inclusive</t>
        </is>
      </c>
      <c r="K414" s="29" t="n">
        <v>10</v>
      </c>
      <c r="L414" s="29" t="n">
        <v>17</v>
      </c>
      <c r="M414" s="33" t="n">
        <v>1</v>
      </c>
      <c r="N414" s="27" t="inlineStr">
        <is>
          <t>Yes</t>
        </is>
      </c>
      <c r="O414" s="29" t="n">
        <v>0</v>
      </c>
      <c r="P414" s="30" t="n">
        <v>450</v>
      </c>
      <c r="Q414" s="31" t="inlineStr">
        <is>
          <t>In Stock</t>
        </is>
      </c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5" customHeight="1" s="85">
      <c r="A415" s="27" t="inlineStr">
        <is>
          <t>GITASHREE JEERA 100GM</t>
        </is>
      </c>
      <c r="B415" s="27" t="n"/>
      <c r="C415" s="27" t="inlineStr">
        <is>
          <t>Masalas &amp; Spices</t>
        </is>
      </c>
      <c r="D415" s="32" t="inlineStr">
        <is>
          <t>100176</t>
        </is>
      </c>
      <c r="E415" s="27" t="n"/>
      <c r="F415" s="29" t="n">
        <v>0</v>
      </c>
      <c r="G415" s="29" t="n">
        <v>78</v>
      </c>
      <c r="H415" s="27" t="inlineStr">
        <is>
          <t>Exclusive</t>
        </is>
      </c>
      <c r="I415" s="29" t="n">
        <v>75</v>
      </c>
      <c r="J415" s="27" t="inlineStr">
        <is>
          <t>Exclusive</t>
        </is>
      </c>
      <c r="K415" s="29" t="n">
        <v>80</v>
      </c>
      <c r="L415" s="29" t="n">
        <v>0</v>
      </c>
      <c r="M415" s="33" t="n">
        <v>1</v>
      </c>
      <c r="N415" s="27" t="inlineStr">
        <is>
          <t>Yes</t>
        </is>
      </c>
      <c r="O415" s="29" t="n">
        <v>0</v>
      </c>
      <c r="P415" s="30" t="n">
        <v>450</v>
      </c>
      <c r="Q415" s="31" t="inlineStr">
        <is>
          <t>In Stock</t>
        </is>
      </c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5" customHeight="1" s="85">
      <c r="A416" s="27" t="inlineStr">
        <is>
          <t>GITASHREE METHI 100GM</t>
        </is>
      </c>
      <c r="B416" s="27" t="n"/>
      <c r="C416" s="27" t="inlineStr">
        <is>
          <t>Masalas &amp; Spices</t>
        </is>
      </c>
      <c r="D416" s="28" t="inlineStr">
        <is>
          <t>9082101009503</t>
        </is>
      </c>
      <c r="E416" s="27" t="n"/>
      <c r="F416" s="29" t="n">
        <v>0</v>
      </c>
      <c r="G416" s="29" t="n">
        <v>25</v>
      </c>
      <c r="H416" s="27" t="inlineStr">
        <is>
          <t>Exclusive</t>
        </is>
      </c>
      <c r="I416" s="29" t="n">
        <v>118</v>
      </c>
      <c r="J416" s="27" t="inlineStr">
        <is>
          <t>Exclusive</t>
        </is>
      </c>
      <c r="K416" s="29" t="n">
        <v>25</v>
      </c>
      <c r="L416" s="29" t="n">
        <v>3</v>
      </c>
      <c r="M416" s="33" t="n">
        <v>1</v>
      </c>
      <c r="N416" s="27" t="inlineStr">
        <is>
          <t>Yes</t>
        </is>
      </c>
      <c r="O416" s="29" t="n">
        <v>0</v>
      </c>
      <c r="P416" s="30" t="n">
        <v>450</v>
      </c>
      <c r="Q416" s="31" t="inlineStr">
        <is>
          <t>In Stock</t>
        </is>
      </c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5" customHeight="1" s="85">
      <c r="A417" s="27" t="inlineStr">
        <is>
          <t>GITASHREE SOUMF 100GM</t>
        </is>
      </c>
      <c r="B417" s="27" t="n"/>
      <c r="C417" s="27" t="inlineStr">
        <is>
          <t>Masalas &amp; Spices</t>
        </is>
      </c>
      <c r="D417" s="28" t="inlineStr">
        <is>
          <t>9820080263215</t>
        </is>
      </c>
      <c r="E417" s="27" t="n"/>
      <c r="F417" s="29" t="n">
        <v>0</v>
      </c>
      <c r="G417" s="29" t="n">
        <v>45</v>
      </c>
      <c r="H417" s="27" t="inlineStr">
        <is>
          <t>Exclusive</t>
        </is>
      </c>
      <c r="I417" s="29" t="n">
        <v>38</v>
      </c>
      <c r="J417" s="27" t="inlineStr">
        <is>
          <t>Exclusive</t>
        </is>
      </c>
      <c r="K417" s="29" t="n">
        <v>45</v>
      </c>
      <c r="L417" s="29" t="n">
        <v>0</v>
      </c>
      <c r="M417" s="33" t="n">
        <v>1</v>
      </c>
      <c r="N417" s="27" t="inlineStr">
        <is>
          <t>Yes</t>
        </is>
      </c>
      <c r="O417" s="29" t="n">
        <v>0</v>
      </c>
      <c r="P417" s="30" t="n">
        <v>450</v>
      </c>
      <c r="Q417" s="31" t="inlineStr">
        <is>
          <t>In Stock</t>
        </is>
      </c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5" customHeight="1" s="85">
      <c r="A418" s="27" t="inlineStr">
        <is>
          <t>GITASHREE TEJPATA</t>
        </is>
      </c>
      <c r="B418" s="27" t="n"/>
      <c r="C418" s="27" t="inlineStr">
        <is>
          <t>Masalas &amp; Spices</t>
        </is>
      </c>
      <c r="D418" s="28" t="inlineStr">
        <is>
          <t>296764772820</t>
        </is>
      </c>
      <c r="E418" s="27" t="n"/>
      <c r="F418" s="29" t="n">
        <v>0</v>
      </c>
      <c r="G418" s="29" t="n">
        <v>20</v>
      </c>
      <c r="H418" s="27" t="inlineStr">
        <is>
          <t>Exclusive</t>
        </is>
      </c>
      <c r="I418" s="29" t="n">
        <v>15</v>
      </c>
      <c r="J418" s="27" t="inlineStr">
        <is>
          <t>Exclusive</t>
        </is>
      </c>
      <c r="K418" s="29" t="n">
        <v>25</v>
      </c>
      <c r="L418" s="29" t="n">
        <v>0</v>
      </c>
      <c r="M418" s="33" t="n">
        <v>1</v>
      </c>
      <c r="N418" s="27" t="inlineStr">
        <is>
          <t>Yes</t>
        </is>
      </c>
      <c r="O418" s="29" t="n">
        <v>0</v>
      </c>
      <c r="P418" s="30" t="n">
        <v>450</v>
      </c>
      <c r="Q418" s="31" t="inlineStr">
        <is>
          <t>In Stock</t>
        </is>
      </c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5" customHeight="1" s="85">
      <c r="A419" s="27" t="inlineStr">
        <is>
          <t>GOD BLESS HOME PLATE (RECTANGLE)</t>
        </is>
      </c>
      <c r="B419" s="27" t="n"/>
      <c r="C419" s="27" t="inlineStr">
        <is>
          <t>Church Articles</t>
        </is>
      </c>
      <c r="D419" s="28" t="inlineStr">
        <is>
          <t>653715774073</t>
        </is>
      </c>
      <c r="E419" s="27" t="n"/>
      <c r="F419" s="29" t="n">
        <v>0</v>
      </c>
      <c r="G419" s="29" t="n">
        <v>60</v>
      </c>
      <c r="H419" s="27" t="inlineStr">
        <is>
          <t>Exclusive</t>
        </is>
      </c>
      <c r="I419" s="29" t="n">
        <v>40</v>
      </c>
      <c r="J419" s="27" t="inlineStr">
        <is>
          <t>Exclusive</t>
        </is>
      </c>
      <c r="K419" s="29" t="n">
        <v>75</v>
      </c>
      <c r="L419" s="29" t="n">
        <v>12</v>
      </c>
      <c r="M419" s="27" t="n"/>
      <c r="N419" s="27" t="inlineStr">
        <is>
          <t>Yes</t>
        </is>
      </c>
      <c r="O419" s="29" t="n">
        <v>0</v>
      </c>
      <c r="P419" s="30" t="n">
        <v>450</v>
      </c>
      <c r="Q419" s="31" t="inlineStr">
        <is>
          <t>In Stock</t>
        </is>
      </c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5" customHeight="1" s="85">
      <c r="A420" s="27" t="inlineStr">
        <is>
          <t>GOD BLESS PLATE (GREEN)</t>
        </is>
      </c>
      <c r="B420" s="27" t="n"/>
      <c r="C420" s="27" t="inlineStr">
        <is>
          <t>Church Articles</t>
        </is>
      </c>
      <c r="D420" s="28" t="inlineStr">
        <is>
          <t>582437418833</t>
        </is>
      </c>
      <c r="E420" s="27" t="n"/>
      <c r="F420" s="29" t="n">
        <v>0</v>
      </c>
      <c r="G420" s="29" t="n">
        <v>65</v>
      </c>
      <c r="H420" s="27" t="inlineStr">
        <is>
          <t>Exclusive</t>
        </is>
      </c>
      <c r="I420" s="29" t="n">
        <v>45</v>
      </c>
      <c r="J420" s="27" t="inlineStr">
        <is>
          <t>Exclusive</t>
        </is>
      </c>
      <c r="K420" s="29" t="n">
        <v>80</v>
      </c>
      <c r="L420" s="29" t="n">
        <v>10</v>
      </c>
      <c r="M420" s="27" t="n"/>
      <c r="N420" s="27" t="inlineStr">
        <is>
          <t>Yes</t>
        </is>
      </c>
      <c r="O420" s="29" t="n">
        <v>0</v>
      </c>
      <c r="P420" s="30" t="n">
        <v>450</v>
      </c>
      <c r="Q420" s="31" t="inlineStr">
        <is>
          <t>In Stock</t>
        </is>
      </c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5" customHeight="1" s="85">
      <c r="A421" s="27" t="inlineStr">
        <is>
          <t>GOD BLESS / PRAISE THE LORD PLATE (BLACK)</t>
        </is>
      </c>
      <c r="B421" s="27" t="n"/>
      <c r="C421" s="27" t="inlineStr">
        <is>
          <t>Church Articles</t>
        </is>
      </c>
      <c r="D421" s="28" t="inlineStr">
        <is>
          <t>283888907965</t>
        </is>
      </c>
      <c r="E421" s="27" t="n"/>
      <c r="F421" s="29" t="n">
        <v>0</v>
      </c>
      <c r="G421" s="29" t="n">
        <v>55</v>
      </c>
      <c r="H421" s="27" t="inlineStr">
        <is>
          <t>Exclusive</t>
        </is>
      </c>
      <c r="I421" s="29" t="n">
        <v>35</v>
      </c>
      <c r="J421" s="27" t="inlineStr">
        <is>
          <t>Exclusive</t>
        </is>
      </c>
      <c r="K421" s="29" t="n">
        <v>60</v>
      </c>
      <c r="L421" s="29" t="n">
        <v>18</v>
      </c>
      <c r="M421" s="27" t="n"/>
      <c r="N421" s="27" t="inlineStr">
        <is>
          <t>Yes</t>
        </is>
      </c>
      <c r="O421" s="29" t="n">
        <v>0</v>
      </c>
      <c r="P421" s="30" t="n">
        <v>450</v>
      </c>
      <c r="Q421" s="31" t="inlineStr">
        <is>
          <t>In Stock</t>
        </is>
      </c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5" customHeight="1" s="85">
      <c r="A422" s="27" t="inlineStr">
        <is>
          <t>GOD'S SPECIAL AGENTS</t>
        </is>
      </c>
      <c r="B422" s="27" t="n"/>
      <c r="C422" s="27" t="inlineStr">
        <is>
          <t>Books &amp; Bibles</t>
        </is>
      </c>
      <c r="D422" s="32" t="inlineStr">
        <is>
          <t>100177</t>
        </is>
      </c>
      <c r="E422" s="27" t="n"/>
      <c r="F422" s="29" t="n">
        <v>0</v>
      </c>
      <c r="G422" s="29" t="n">
        <v>250</v>
      </c>
      <c r="H422" s="27" t="inlineStr">
        <is>
          <t>Inclusive</t>
        </is>
      </c>
      <c r="I422" s="29" t="n">
        <v>200</v>
      </c>
      <c r="J422" s="27" t="inlineStr">
        <is>
          <t>Inclusive</t>
        </is>
      </c>
      <c r="K422" s="29" t="n">
        <v>300</v>
      </c>
      <c r="L422" s="29" t="n">
        <v>1</v>
      </c>
      <c r="M422" s="33" t="n">
        <v>1</v>
      </c>
      <c r="N422" s="27" t="inlineStr">
        <is>
          <t>Yes</t>
        </is>
      </c>
      <c r="O422" s="29" t="n">
        <v>0</v>
      </c>
      <c r="P422" s="30" t="n">
        <v>450</v>
      </c>
      <c r="Q422" s="31" t="inlineStr">
        <is>
          <t>In Stock</t>
        </is>
      </c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5" customHeight="1" s="85">
      <c r="A423" s="27" t="inlineStr">
        <is>
          <t>GOLI SODA</t>
        </is>
      </c>
      <c r="B423" s="27" t="n"/>
      <c r="C423" s="27" t="inlineStr">
        <is>
          <t>Beverages</t>
        </is>
      </c>
      <c r="D423" s="32" t="inlineStr">
        <is>
          <t>100178</t>
        </is>
      </c>
      <c r="E423" s="27" t="n"/>
      <c r="F423" s="29" t="n">
        <v>0</v>
      </c>
      <c r="G423" s="29" t="n">
        <v>30</v>
      </c>
      <c r="H423" s="27" t="inlineStr">
        <is>
          <t>Exclusive</t>
        </is>
      </c>
      <c r="I423" s="29" t="n">
        <v>23</v>
      </c>
      <c r="J423" s="27" t="inlineStr">
        <is>
          <t>Exclusive</t>
        </is>
      </c>
      <c r="K423" s="29" t="n">
        <v>30</v>
      </c>
      <c r="L423" s="29" t="n">
        <v>38</v>
      </c>
      <c r="M423" s="33" t="n">
        <v>1</v>
      </c>
      <c r="N423" s="27" t="inlineStr">
        <is>
          <t>Yes</t>
        </is>
      </c>
      <c r="O423" s="29" t="n">
        <v>0</v>
      </c>
      <c r="P423" s="30" t="n">
        <v>450</v>
      </c>
      <c r="Q423" s="31" t="inlineStr">
        <is>
          <t>In Stock</t>
        </is>
      </c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5" customHeight="1" s="85">
      <c r="A424" s="27" t="inlineStr">
        <is>
          <t>GOOD NEWS BIBLE</t>
        </is>
      </c>
      <c r="B424" s="27" t="n"/>
      <c r="C424" s="27" t="inlineStr">
        <is>
          <t>Books &amp; Bibles</t>
        </is>
      </c>
      <c r="D424" s="28" t="inlineStr">
        <is>
          <t>362738086977</t>
        </is>
      </c>
      <c r="E424" s="27" t="n"/>
      <c r="F424" s="29" t="n">
        <v>0</v>
      </c>
      <c r="G424" s="29" t="n">
        <v>550</v>
      </c>
      <c r="H424" s="27" t="inlineStr">
        <is>
          <t>Exclusive</t>
        </is>
      </c>
      <c r="I424" s="29" t="n">
        <v>400</v>
      </c>
      <c r="J424" s="27" t="inlineStr">
        <is>
          <t>Exclusive</t>
        </is>
      </c>
      <c r="K424" s="29" t="n">
        <v>600</v>
      </c>
      <c r="L424" s="29" t="n">
        <v>2</v>
      </c>
      <c r="M424" s="27" t="n"/>
      <c r="N424" s="27" t="inlineStr">
        <is>
          <t>Yes</t>
        </is>
      </c>
      <c r="O424" s="29" t="n">
        <v>0</v>
      </c>
      <c r="P424" s="30" t="n">
        <v>450</v>
      </c>
      <c r="Q424" s="31" t="inlineStr">
        <is>
          <t>In Stock</t>
        </is>
      </c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5" customHeight="1" s="85">
      <c r="A425" s="27" t="inlineStr">
        <is>
          <t>GOSPEL PACKETS</t>
        </is>
      </c>
      <c r="B425" s="27" t="n"/>
      <c r="C425" s="27" t="inlineStr">
        <is>
          <t>Books &amp; Bibles</t>
        </is>
      </c>
      <c r="D425" s="32" t="inlineStr">
        <is>
          <t>100179</t>
        </is>
      </c>
      <c r="E425" s="27" t="n"/>
      <c r="F425" s="29" t="n">
        <v>0</v>
      </c>
      <c r="G425" s="29" t="n">
        <v>10</v>
      </c>
      <c r="H425" s="27" t="inlineStr">
        <is>
          <t>Inclusive</t>
        </is>
      </c>
      <c r="I425" s="29" t="n">
        <v>2.5</v>
      </c>
      <c r="J425" s="27" t="inlineStr">
        <is>
          <t>Inclusive</t>
        </is>
      </c>
      <c r="K425" s="29" t="n">
        <v>15</v>
      </c>
      <c r="L425" s="29" t="n">
        <v>92</v>
      </c>
      <c r="M425" s="33" t="n">
        <v>1</v>
      </c>
      <c r="N425" s="27" t="inlineStr">
        <is>
          <t>Yes</t>
        </is>
      </c>
      <c r="O425" s="29" t="n">
        <v>0</v>
      </c>
      <c r="P425" s="30" t="n">
        <v>450</v>
      </c>
      <c r="Q425" s="31" t="inlineStr">
        <is>
          <t>In Stock</t>
        </is>
      </c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5" customHeight="1" s="85">
      <c r="A426" s="27" t="inlineStr">
        <is>
          <t>GRAMASHREE COCONUT CHUTNEY 100GM</t>
        </is>
      </c>
      <c r="B426" s="27" t="n"/>
      <c r="C426" s="27" t="inlineStr">
        <is>
          <t>Ready to Eat &amp; Mixes</t>
        </is>
      </c>
      <c r="D426" s="28" t="inlineStr">
        <is>
          <t>8904044501900</t>
        </is>
      </c>
      <c r="E426" s="27" t="n"/>
      <c r="F426" s="29" t="n">
        <v>0</v>
      </c>
      <c r="G426" s="29" t="n">
        <v>95</v>
      </c>
      <c r="H426" s="27" t="inlineStr">
        <is>
          <t>Exclusive</t>
        </is>
      </c>
      <c r="I426" s="29" t="n">
        <v>78</v>
      </c>
      <c r="J426" s="27" t="inlineStr">
        <is>
          <t>Exclusive</t>
        </is>
      </c>
      <c r="K426" s="29" t="n">
        <v>95</v>
      </c>
      <c r="L426" s="29" t="n">
        <v>0</v>
      </c>
      <c r="M426" s="33" t="n">
        <v>1</v>
      </c>
      <c r="N426" s="27" t="inlineStr">
        <is>
          <t>Yes</t>
        </is>
      </c>
      <c r="O426" s="29" t="n">
        <v>0</v>
      </c>
      <c r="P426" s="30" t="n">
        <v>450</v>
      </c>
      <c r="Q426" s="31" t="inlineStr">
        <is>
          <t>In Stock</t>
        </is>
      </c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5" customHeight="1" s="85">
      <c r="A427" s="27" t="inlineStr">
        <is>
          <t>GRAMASHREE ROASTED AVIL MIX 400GM</t>
        </is>
      </c>
      <c r="B427" s="27" t="n"/>
      <c r="C427" s="27" t="inlineStr">
        <is>
          <t>Snacks</t>
        </is>
      </c>
      <c r="D427" s="32" t="inlineStr">
        <is>
          <t>100180</t>
        </is>
      </c>
      <c r="E427" s="27" t="n"/>
      <c r="F427" s="29" t="n">
        <v>0</v>
      </c>
      <c r="G427" s="29" t="n">
        <v>178</v>
      </c>
      <c r="H427" s="27" t="inlineStr">
        <is>
          <t>Exclusive</t>
        </is>
      </c>
      <c r="I427" s="29" t="n">
        <v>135.62</v>
      </c>
      <c r="J427" s="27" t="inlineStr">
        <is>
          <t>Exclusive</t>
        </is>
      </c>
      <c r="K427" s="29" t="n">
        <v>0</v>
      </c>
      <c r="L427" s="29" t="n">
        <v>3</v>
      </c>
      <c r="M427" s="27" t="n"/>
      <c r="N427" s="27" t="inlineStr">
        <is>
          <t>Yes</t>
        </is>
      </c>
      <c r="O427" s="29" t="n">
        <v>0</v>
      </c>
      <c r="P427" s="30" t="n">
        <v>450</v>
      </c>
      <c r="Q427" s="31" t="inlineStr">
        <is>
          <t>In Stock</t>
        </is>
      </c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5" customHeight="1" s="85">
      <c r="A428" s="27" t="inlineStr">
        <is>
          <t>GRAMASHREE UPPUMA MIX 400GM</t>
        </is>
      </c>
      <c r="B428" s="27" t="n"/>
      <c r="C428" s="27" t="inlineStr">
        <is>
          <t>Ready to Eat &amp; Mixes</t>
        </is>
      </c>
      <c r="D428" s="28" t="inlineStr">
        <is>
          <t>8904044508039</t>
        </is>
      </c>
      <c r="E428" s="27" t="n"/>
      <c r="F428" s="29" t="n">
        <v>0</v>
      </c>
      <c r="G428" s="29" t="n">
        <v>150</v>
      </c>
      <c r="H428" s="27" t="inlineStr">
        <is>
          <t>Exclusive</t>
        </is>
      </c>
      <c r="I428" s="29" t="n">
        <v>114.29</v>
      </c>
      <c r="J428" s="27" t="inlineStr">
        <is>
          <t>Exclusive</t>
        </is>
      </c>
      <c r="K428" s="29" t="n">
        <v>0</v>
      </c>
      <c r="L428" s="29" t="n">
        <v>2</v>
      </c>
      <c r="M428" s="27" t="n"/>
      <c r="N428" s="27" t="inlineStr">
        <is>
          <t>Yes</t>
        </is>
      </c>
      <c r="O428" s="29" t="n">
        <v>0</v>
      </c>
      <c r="P428" s="30" t="n">
        <v>450</v>
      </c>
      <c r="Q428" s="31" t="inlineStr">
        <is>
          <t>In Stock</t>
        </is>
      </c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5" customHeight="1" s="85">
      <c r="A429" s="27" t="inlineStr">
        <is>
          <t>GRAMIKA COCONUT OIL 500ML</t>
        </is>
      </c>
      <c r="B429" s="27" t="n"/>
      <c r="C429" s="27" t="inlineStr">
        <is>
          <t>Edible Oils &amp; Ghee</t>
        </is>
      </c>
      <c r="D429" s="34" t="inlineStr">
        <is>
          <t>Greenday1</t>
        </is>
      </c>
      <c r="E429" s="27" t="n"/>
      <c r="F429" s="29" t="n">
        <v>0</v>
      </c>
      <c r="G429" s="29" t="n">
        <v>220</v>
      </c>
      <c r="H429" s="27" t="inlineStr">
        <is>
          <t>Exclusive</t>
        </is>
      </c>
      <c r="I429" s="29" t="n">
        <v>150</v>
      </c>
      <c r="J429" s="27" t="inlineStr">
        <is>
          <t>Exclusive</t>
        </is>
      </c>
      <c r="K429" s="29" t="n">
        <v>250</v>
      </c>
      <c r="L429" s="29" t="n">
        <v>0</v>
      </c>
      <c r="M429" s="33" t="n">
        <v>1</v>
      </c>
      <c r="N429" s="27" t="inlineStr">
        <is>
          <t>Yes</t>
        </is>
      </c>
      <c r="O429" s="29" t="n">
        <v>0</v>
      </c>
      <c r="P429" s="30" t="n">
        <v>450</v>
      </c>
      <c r="Q429" s="31" t="inlineStr">
        <is>
          <t>In Stock</t>
        </is>
      </c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5" customHeight="1" s="85">
      <c r="A430" s="27" t="inlineStr">
        <is>
          <t>GREEN PEAS (PATANI) 500GM</t>
        </is>
      </c>
      <c r="B430" s="27" t="n"/>
      <c r="C430" s="27" t="inlineStr">
        <is>
          <t>Grains &amp; Flours</t>
        </is>
      </c>
      <c r="D430" s="28" t="inlineStr">
        <is>
          <t>558985319512</t>
        </is>
      </c>
      <c r="E430" s="27" t="n"/>
      <c r="F430" s="29" t="n">
        <v>0</v>
      </c>
      <c r="G430" s="29" t="n">
        <v>64</v>
      </c>
      <c r="H430" s="27" t="inlineStr">
        <is>
          <t>Exclusive</t>
        </is>
      </c>
      <c r="I430" s="29" t="n">
        <v>42</v>
      </c>
      <c r="J430" s="27" t="inlineStr">
        <is>
          <t>Exclusive</t>
        </is>
      </c>
      <c r="K430" s="29" t="n">
        <v>64</v>
      </c>
      <c r="L430" s="29" t="n">
        <v>5</v>
      </c>
      <c r="M430" s="27" t="n"/>
      <c r="N430" s="27" t="inlineStr">
        <is>
          <t>Yes</t>
        </is>
      </c>
      <c r="O430" s="29" t="n">
        <v>0</v>
      </c>
      <c r="P430" s="30" t="n">
        <v>450</v>
      </c>
      <c r="Q430" s="31" t="inlineStr">
        <is>
          <t>In Stock</t>
        </is>
      </c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5" customHeight="1" s="85">
      <c r="A431" s="27" t="inlineStr">
        <is>
          <t>GURUVAYOOR PAPPAD</t>
        </is>
      </c>
      <c r="B431" s="27" t="n"/>
      <c r="C431" s="27" t="inlineStr">
        <is>
          <t>Snacks</t>
        </is>
      </c>
      <c r="D431" s="28" t="inlineStr">
        <is>
          <t>940865712295</t>
        </is>
      </c>
      <c r="E431" s="27" t="n"/>
      <c r="F431" s="29" t="n">
        <v>0</v>
      </c>
      <c r="G431" s="29" t="n">
        <v>40</v>
      </c>
      <c r="H431" s="27" t="inlineStr">
        <is>
          <t>Exclusive</t>
        </is>
      </c>
      <c r="I431" s="29" t="n">
        <v>22</v>
      </c>
      <c r="J431" s="27" t="inlineStr">
        <is>
          <t>Exclusive</t>
        </is>
      </c>
      <c r="K431" s="29" t="n">
        <v>40</v>
      </c>
      <c r="L431" s="29" t="n">
        <v>0</v>
      </c>
      <c r="M431" s="33" t="n">
        <v>1</v>
      </c>
      <c r="N431" s="27" t="inlineStr">
        <is>
          <t>Yes</t>
        </is>
      </c>
      <c r="O431" s="29" t="n">
        <v>0</v>
      </c>
      <c r="P431" s="30" t="n">
        <v>450</v>
      </c>
      <c r="Q431" s="31" t="inlineStr">
        <is>
          <t>In Stock</t>
        </is>
      </c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5" customHeight="1" s="85">
      <c r="A432" s="27" t="inlineStr">
        <is>
          <t>HALWA RED / YELLOW/ BLACK 500GM</t>
        </is>
      </c>
      <c r="B432" s="27" t="n"/>
      <c r="C432" s="27" t="inlineStr">
        <is>
          <t>Snacks</t>
        </is>
      </c>
      <c r="D432" s="28" t="inlineStr">
        <is>
          <t>484013739530</t>
        </is>
      </c>
      <c r="E432" s="27" t="n"/>
      <c r="F432" s="29" t="n">
        <v>0</v>
      </c>
      <c r="G432" s="29" t="n">
        <v>200</v>
      </c>
      <c r="H432" s="27" t="inlineStr">
        <is>
          <t>Exclusive</t>
        </is>
      </c>
      <c r="I432" s="29" t="n">
        <v>100</v>
      </c>
      <c r="J432" s="27" t="inlineStr">
        <is>
          <t>Exclusive</t>
        </is>
      </c>
      <c r="K432" s="29" t="n">
        <v>200</v>
      </c>
      <c r="L432" s="29" t="n">
        <v>6</v>
      </c>
      <c r="M432" s="33" t="n">
        <v>1</v>
      </c>
      <c r="N432" s="27" t="inlineStr">
        <is>
          <t>Yes</t>
        </is>
      </c>
      <c r="O432" s="29" t="n">
        <v>0</v>
      </c>
      <c r="P432" s="30" t="n">
        <v>450</v>
      </c>
      <c r="Q432" s="31" t="inlineStr">
        <is>
          <t>In Stock</t>
        </is>
      </c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5" customHeight="1" s="85">
      <c r="A433" s="27" t="inlineStr">
        <is>
          <t>HAPPILO CASHEWS (KAJU)</t>
        </is>
      </c>
      <c r="B433" s="27" t="n"/>
      <c r="C433" s="27" t="inlineStr">
        <is>
          <t>Snacks</t>
        </is>
      </c>
      <c r="D433" s="28" t="inlineStr">
        <is>
          <t>8906081120229</t>
        </is>
      </c>
      <c r="E433" s="27" t="n"/>
      <c r="F433" s="29" t="n">
        <v>0</v>
      </c>
      <c r="G433" s="29" t="n">
        <v>380</v>
      </c>
      <c r="H433" s="27" t="inlineStr">
        <is>
          <t>Exclusive</t>
        </is>
      </c>
      <c r="I433" s="29" t="n">
        <v>225</v>
      </c>
      <c r="J433" s="27" t="inlineStr">
        <is>
          <t>Exclusive</t>
        </is>
      </c>
      <c r="K433" s="29" t="n">
        <v>395</v>
      </c>
      <c r="L433" s="29" t="n">
        <v>2</v>
      </c>
      <c r="M433" s="33" t="n">
        <v>1</v>
      </c>
      <c r="N433" s="27" t="inlineStr">
        <is>
          <t>Yes</t>
        </is>
      </c>
      <c r="O433" s="29" t="n">
        <v>0</v>
      </c>
      <c r="P433" s="30" t="n">
        <v>450</v>
      </c>
      <c r="Q433" s="31" t="inlineStr">
        <is>
          <t>In Stock</t>
        </is>
      </c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5" customHeight="1" s="85">
      <c r="A434" s="27" t="inlineStr">
        <is>
          <t>HARA DAL 1KG</t>
        </is>
      </c>
      <c r="B434" s="27" t="n"/>
      <c r="C434" s="27" t="inlineStr">
        <is>
          <t>Grains &amp; Flours</t>
        </is>
      </c>
      <c r="D434" s="28" t="inlineStr">
        <is>
          <t>667469659513</t>
        </is>
      </c>
      <c r="E434" s="27" t="n"/>
      <c r="F434" s="29" t="n">
        <v>0</v>
      </c>
      <c r="G434" s="29" t="n">
        <v>145</v>
      </c>
      <c r="H434" s="27" t="inlineStr">
        <is>
          <t>Exclusive</t>
        </is>
      </c>
      <c r="I434" s="29" t="n">
        <v>120</v>
      </c>
      <c r="J434" s="27" t="inlineStr">
        <is>
          <t>Exclusive</t>
        </is>
      </c>
      <c r="K434" s="29" t="n">
        <v>152</v>
      </c>
      <c r="L434" s="29" t="n">
        <v>3</v>
      </c>
      <c r="M434" s="33" t="n">
        <v>1</v>
      </c>
      <c r="N434" s="27" t="inlineStr">
        <is>
          <t>Yes</t>
        </is>
      </c>
      <c r="O434" s="29" t="n">
        <v>0</v>
      </c>
      <c r="P434" s="30" t="n">
        <v>450</v>
      </c>
      <c r="Q434" s="31" t="inlineStr">
        <is>
          <t>In Stock</t>
        </is>
      </c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5" customHeight="1" s="85">
      <c r="A435" s="27" t="inlineStr">
        <is>
          <t>HEAD PHONE WIRED</t>
        </is>
      </c>
      <c r="B435" s="27" t="n"/>
      <c r="C435" s="27" t="inlineStr">
        <is>
          <t>Electronics</t>
        </is>
      </c>
      <c r="D435" s="32" t="inlineStr">
        <is>
          <t>100181</t>
        </is>
      </c>
      <c r="E435" s="27" t="n"/>
      <c r="F435" s="29" t="n">
        <v>0</v>
      </c>
      <c r="G435" s="29" t="n">
        <v>80</v>
      </c>
      <c r="H435" s="27" t="inlineStr">
        <is>
          <t>Inclusive</t>
        </is>
      </c>
      <c r="I435" s="29" t="n">
        <v>30</v>
      </c>
      <c r="J435" s="27" t="inlineStr">
        <is>
          <t>Inclusive</t>
        </is>
      </c>
      <c r="K435" s="29" t="n">
        <v>100</v>
      </c>
      <c r="L435" s="29" t="n">
        <v>3</v>
      </c>
      <c r="M435" s="33" t="n">
        <v>1</v>
      </c>
      <c r="N435" s="27" t="inlineStr">
        <is>
          <t>No</t>
        </is>
      </c>
      <c r="O435" s="29" t="n">
        <v>0</v>
      </c>
      <c r="P435" s="30" t="n">
        <v>450</v>
      </c>
      <c r="Q435" s="31" t="inlineStr">
        <is>
          <t>In Stock</t>
        </is>
      </c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5" customHeight="1" s="85">
      <c r="A436" s="27" t="inlineStr">
        <is>
          <t>HEAD PHONE WIRELESS BLUETOOTH</t>
        </is>
      </c>
      <c r="B436" s="27" t="n"/>
      <c r="C436" s="27" t="inlineStr">
        <is>
          <t>Electronics</t>
        </is>
      </c>
      <c r="D436" s="32" t="inlineStr">
        <is>
          <t>100182</t>
        </is>
      </c>
      <c r="E436" s="27" t="n"/>
      <c r="F436" s="29" t="n">
        <v>0</v>
      </c>
      <c r="G436" s="29" t="n">
        <v>280</v>
      </c>
      <c r="H436" s="27" t="inlineStr">
        <is>
          <t>Exclusive</t>
        </is>
      </c>
      <c r="I436" s="29" t="n">
        <v>160</v>
      </c>
      <c r="J436" s="27" t="inlineStr">
        <is>
          <t>Exclusive</t>
        </is>
      </c>
      <c r="K436" s="29" t="n">
        <v>320</v>
      </c>
      <c r="L436" s="29" t="n">
        <v>0</v>
      </c>
      <c r="M436" s="33" t="n">
        <v>1</v>
      </c>
      <c r="N436" s="27" t="inlineStr">
        <is>
          <t>No</t>
        </is>
      </c>
      <c r="O436" s="29" t="n">
        <v>0</v>
      </c>
      <c r="P436" s="30" t="n">
        <v>450</v>
      </c>
      <c r="Q436" s="31" t="inlineStr">
        <is>
          <t>In Stock</t>
        </is>
      </c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5" customHeight="1" s="85">
      <c r="A437" s="27" t="inlineStr">
        <is>
          <t>HEM SONG BOOK</t>
        </is>
      </c>
      <c r="B437" s="27" t="n"/>
      <c r="C437" s="27" t="inlineStr">
        <is>
          <t>Books &amp; Bibles</t>
        </is>
      </c>
      <c r="D437" s="34" t="inlineStr">
        <is>
          <t>SBHEM</t>
        </is>
      </c>
      <c r="E437" s="27" t="n"/>
      <c r="F437" s="29" t="n">
        <v>0</v>
      </c>
      <c r="G437" s="29" t="n">
        <v>100</v>
      </c>
      <c r="H437" s="27" t="inlineStr">
        <is>
          <t>Inclusive</t>
        </is>
      </c>
      <c r="I437" s="29" t="n">
        <v>40</v>
      </c>
      <c r="J437" s="27" t="inlineStr">
        <is>
          <t>Inclusive</t>
        </is>
      </c>
      <c r="K437" s="29" t="n">
        <v>120</v>
      </c>
      <c r="L437" s="29" t="n">
        <v>5</v>
      </c>
      <c r="M437" s="33" t="n">
        <v>1</v>
      </c>
      <c r="N437" s="27" t="inlineStr">
        <is>
          <t>Yes</t>
        </is>
      </c>
      <c r="O437" s="29" t="n">
        <v>0</v>
      </c>
      <c r="P437" s="30" t="n">
        <v>450</v>
      </c>
      <c r="Q437" s="31" t="inlineStr">
        <is>
          <t>In Stock</t>
        </is>
      </c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5" customHeight="1" s="85">
      <c r="A438" s="27" t="inlineStr">
        <is>
          <t>HIGHLIGHTER</t>
        </is>
      </c>
      <c r="B438" s="27" t="n"/>
      <c r="C438" s="27" t="inlineStr">
        <is>
          <t>Stationery</t>
        </is>
      </c>
      <c r="D438" s="32" t="inlineStr">
        <is>
          <t>100183</t>
        </is>
      </c>
      <c r="E438" s="27" t="n"/>
      <c r="F438" s="29" t="n">
        <v>0</v>
      </c>
      <c r="G438" s="29" t="n">
        <v>125</v>
      </c>
      <c r="H438" s="27" t="inlineStr">
        <is>
          <t>Exclusive</t>
        </is>
      </c>
      <c r="I438" s="29" t="n">
        <v>100</v>
      </c>
      <c r="J438" s="27" t="inlineStr">
        <is>
          <t>Exclusive</t>
        </is>
      </c>
      <c r="K438" s="29" t="n">
        <v>0</v>
      </c>
      <c r="L438" s="29" t="n">
        <v>9</v>
      </c>
      <c r="M438" s="33" t="n">
        <v>1</v>
      </c>
      <c r="N438" s="27" t="inlineStr">
        <is>
          <t>No</t>
        </is>
      </c>
      <c r="O438" s="29" t="n">
        <v>0</v>
      </c>
      <c r="P438" s="30" t="n">
        <v>450</v>
      </c>
      <c r="Q438" s="31" t="inlineStr">
        <is>
          <t>In Stock</t>
        </is>
      </c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5" customHeight="1" s="85">
      <c r="A439" s="27" t="inlineStr">
        <is>
          <t>HINDI BHOJPURI GEET SONG BOOK</t>
        </is>
      </c>
      <c r="B439" s="27" t="n"/>
      <c r="C439" s="27" t="inlineStr">
        <is>
          <t>Books &amp; Bibles</t>
        </is>
      </c>
      <c r="D439" s="28" t="inlineStr">
        <is>
          <t>119391912341</t>
        </is>
      </c>
      <c r="E439" s="27" t="n"/>
      <c r="F439" s="29" t="n">
        <v>0</v>
      </c>
      <c r="G439" s="29" t="n">
        <v>120</v>
      </c>
      <c r="H439" s="27" t="inlineStr">
        <is>
          <t>Exclusive</t>
        </is>
      </c>
      <c r="I439" s="29" t="n">
        <v>33</v>
      </c>
      <c r="J439" s="27" t="inlineStr">
        <is>
          <t>Exclusive</t>
        </is>
      </c>
      <c r="K439" s="29" t="n">
        <v>150</v>
      </c>
      <c r="L439" s="29" t="n">
        <v>820</v>
      </c>
      <c r="M439" s="27" t="n"/>
      <c r="N439" s="27" t="inlineStr">
        <is>
          <t>Yes</t>
        </is>
      </c>
      <c r="O439" s="29" t="n">
        <v>0</v>
      </c>
      <c r="P439" s="30" t="n">
        <v>450</v>
      </c>
      <c r="Q439" s="31" t="inlineStr">
        <is>
          <t>In Stock</t>
        </is>
      </c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5" customHeight="1" s="85">
      <c r="A440" s="27" t="inlineStr">
        <is>
          <t>HINDI BURGUNDY GOLDEN BIBLE</t>
        </is>
      </c>
      <c r="B440" s="27" t="n"/>
      <c r="C440" s="27" t="inlineStr">
        <is>
          <t>Books &amp; Bibles</t>
        </is>
      </c>
      <c r="D440" s="32" t="inlineStr">
        <is>
          <t>100184</t>
        </is>
      </c>
      <c r="E440" s="27" t="n"/>
      <c r="F440" s="29" t="n">
        <v>0</v>
      </c>
      <c r="G440" s="29" t="n">
        <v>425</v>
      </c>
      <c r="H440" s="27" t="inlineStr">
        <is>
          <t>Exclusive</t>
        </is>
      </c>
      <c r="I440" s="29" t="n">
        <v>170</v>
      </c>
      <c r="J440" s="27" t="inlineStr">
        <is>
          <t>Exclusive</t>
        </is>
      </c>
      <c r="K440" s="29" t="n">
        <v>425</v>
      </c>
      <c r="L440" s="29" t="n">
        <v>9</v>
      </c>
      <c r="M440" s="33" t="n">
        <v>1</v>
      </c>
      <c r="N440" s="27" t="inlineStr">
        <is>
          <t>Yes</t>
        </is>
      </c>
      <c r="O440" s="29" t="n">
        <v>0</v>
      </c>
      <c r="P440" s="30" t="n">
        <v>450</v>
      </c>
      <c r="Q440" s="31" t="inlineStr">
        <is>
          <t>In Stock</t>
        </is>
      </c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5" customHeight="1" s="85">
      <c r="A441" s="27" t="inlineStr">
        <is>
          <t>HINDI HANDY BIBLE</t>
        </is>
      </c>
      <c r="B441" s="27" t="n"/>
      <c r="C441" s="27" t="inlineStr">
        <is>
          <t>Books &amp; Bibles</t>
        </is>
      </c>
      <c r="D441" s="32" t="inlineStr">
        <is>
          <t>100185</t>
        </is>
      </c>
      <c r="E441" s="27" t="n"/>
      <c r="F441" s="29" t="n">
        <v>0</v>
      </c>
      <c r="G441" s="29" t="n">
        <v>400</v>
      </c>
      <c r="H441" s="27" t="inlineStr">
        <is>
          <t>Exclusive</t>
        </is>
      </c>
      <c r="I441" s="29" t="n">
        <v>190</v>
      </c>
      <c r="J441" s="27" t="inlineStr">
        <is>
          <t>Exclusive</t>
        </is>
      </c>
      <c r="K441" s="29" t="n">
        <v>400</v>
      </c>
      <c r="L441" s="29" t="n">
        <v>5</v>
      </c>
      <c r="M441" s="33" t="n">
        <v>1</v>
      </c>
      <c r="N441" s="27" t="inlineStr">
        <is>
          <t>Yes</t>
        </is>
      </c>
      <c r="O441" s="29" t="n">
        <v>0</v>
      </c>
      <c r="P441" s="30" t="n">
        <v>450</v>
      </c>
      <c r="Q441" s="31" t="inlineStr">
        <is>
          <t>In Stock</t>
        </is>
      </c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5" customHeight="1" s="85">
      <c r="A442" s="27" t="inlineStr">
        <is>
          <t>HINDI SMALL KOREAN EDITION</t>
        </is>
      </c>
      <c r="B442" s="27" t="n"/>
      <c r="C442" s="27" t="inlineStr">
        <is>
          <t>Books &amp; Bibles</t>
        </is>
      </c>
      <c r="D442" s="28" t="inlineStr">
        <is>
          <t>9788122117974</t>
        </is>
      </c>
      <c r="E442" s="27" t="n"/>
      <c r="F442" s="29" t="n">
        <v>0</v>
      </c>
      <c r="G442" s="29" t="n">
        <v>1450</v>
      </c>
      <c r="H442" s="27" t="inlineStr">
        <is>
          <t>Exclusive</t>
        </is>
      </c>
      <c r="I442" s="29" t="n">
        <v>1200</v>
      </c>
      <c r="J442" s="27" t="inlineStr">
        <is>
          <t>Exclusive</t>
        </is>
      </c>
      <c r="K442" s="29" t="n">
        <v>1500</v>
      </c>
      <c r="L442" s="29" t="n">
        <v>0</v>
      </c>
      <c r="M442" s="33" t="n">
        <v>1</v>
      </c>
      <c r="N442" s="27" t="inlineStr">
        <is>
          <t>Yes</t>
        </is>
      </c>
      <c r="O442" s="29" t="n">
        <v>0</v>
      </c>
      <c r="P442" s="30" t="n">
        <v>450</v>
      </c>
      <c r="Q442" s="31" t="inlineStr">
        <is>
          <t>In Stock</t>
        </is>
      </c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5" customHeight="1" s="85">
      <c r="A443" s="27" t="inlineStr">
        <is>
          <t>HOL ACHAPPAM</t>
        </is>
      </c>
      <c r="B443" s="27" t="n"/>
      <c r="C443" s="27" t="inlineStr">
        <is>
          <t>Snacks</t>
        </is>
      </c>
      <c r="D443" s="28" t="inlineStr">
        <is>
          <t>689288703025</t>
        </is>
      </c>
      <c r="E443" s="27" t="n"/>
      <c r="F443" s="29" t="n">
        <v>0</v>
      </c>
      <c r="G443" s="29" t="n">
        <v>60</v>
      </c>
      <c r="H443" s="27" t="inlineStr">
        <is>
          <t>Inclusive</t>
        </is>
      </c>
      <c r="I443" s="29" t="n">
        <v>50</v>
      </c>
      <c r="J443" s="27" t="inlineStr">
        <is>
          <t>Inclusive</t>
        </is>
      </c>
      <c r="K443" s="29" t="n">
        <v>62</v>
      </c>
      <c r="L443" s="29" t="n">
        <v>31</v>
      </c>
      <c r="M443" s="33" t="n">
        <v>1</v>
      </c>
      <c r="N443" s="27" t="inlineStr">
        <is>
          <t>Yes</t>
        </is>
      </c>
      <c r="O443" s="29" t="n">
        <v>0</v>
      </c>
      <c r="P443" s="30" t="n">
        <v>450</v>
      </c>
      <c r="Q443" s="31" t="inlineStr">
        <is>
          <t>In Stock</t>
        </is>
      </c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5" customHeight="1" s="85">
      <c r="A444" s="27" t="inlineStr">
        <is>
          <t>HOL AVLOSE UNDA</t>
        </is>
      </c>
      <c r="B444" s="27" t="n"/>
      <c r="C444" s="27" t="inlineStr">
        <is>
          <t>Snacks</t>
        </is>
      </c>
      <c r="D444" s="32" t="inlineStr">
        <is>
          <t>100186</t>
        </is>
      </c>
      <c r="E444" s="27" t="n"/>
      <c r="F444" s="29" t="n">
        <v>0</v>
      </c>
      <c r="G444" s="29" t="n">
        <v>57</v>
      </c>
      <c r="H444" s="27" t="inlineStr">
        <is>
          <t>Exclusive</t>
        </is>
      </c>
      <c r="I444" s="29" t="n">
        <v>55</v>
      </c>
      <c r="J444" s="27" t="inlineStr">
        <is>
          <t>Exclusive</t>
        </is>
      </c>
      <c r="K444" s="29" t="n">
        <v>0</v>
      </c>
      <c r="L444" s="29" t="n">
        <v>0</v>
      </c>
      <c r="M444" s="33" t="n">
        <v>1</v>
      </c>
      <c r="N444" s="27" t="inlineStr">
        <is>
          <t>Yes</t>
        </is>
      </c>
      <c r="O444" s="29" t="n">
        <v>0</v>
      </c>
      <c r="P444" s="30" t="n">
        <v>450</v>
      </c>
      <c r="Q444" s="31" t="inlineStr">
        <is>
          <t>In Stock</t>
        </is>
      </c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5" customHeight="1" s="85">
      <c r="A445" s="27" t="inlineStr">
        <is>
          <t>HOL BLACK HALWA 300GM</t>
        </is>
      </c>
      <c r="B445" s="27" t="n"/>
      <c r="C445" s="27" t="inlineStr">
        <is>
          <t>Snacks</t>
        </is>
      </c>
      <c r="D445" s="32" t="inlineStr">
        <is>
          <t>100187</t>
        </is>
      </c>
      <c r="E445" s="27" t="n"/>
      <c r="F445" s="29" t="n">
        <v>0</v>
      </c>
      <c r="G445" s="29" t="n">
        <v>150</v>
      </c>
      <c r="H445" s="27" t="inlineStr">
        <is>
          <t>Exclusive</t>
        </is>
      </c>
      <c r="I445" s="29" t="n">
        <v>115</v>
      </c>
      <c r="J445" s="27" t="inlineStr">
        <is>
          <t>Exclusive</t>
        </is>
      </c>
      <c r="K445" s="29" t="n">
        <v>150</v>
      </c>
      <c r="L445" s="29" t="n">
        <v>7</v>
      </c>
      <c r="M445" s="33" t="n">
        <v>1</v>
      </c>
      <c r="N445" s="27" t="inlineStr">
        <is>
          <t>Yes</t>
        </is>
      </c>
      <c r="O445" s="29" t="n">
        <v>0</v>
      </c>
      <c r="P445" s="30" t="n">
        <v>450</v>
      </c>
      <c r="Q445" s="31" t="inlineStr">
        <is>
          <t>In Stock</t>
        </is>
      </c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5" customHeight="1" s="85">
      <c r="A446" s="27" t="inlineStr">
        <is>
          <t>HOL CHEELU KAPPA CHIPS</t>
        </is>
      </c>
      <c r="B446" s="27" t="n"/>
      <c r="C446" s="27" t="inlineStr">
        <is>
          <t>Snacks</t>
        </is>
      </c>
      <c r="D446" s="28" t="inlineStr">
        <is>
          <t>895047013363</t>
        </is>
      </c>
      <c r="E446" s="27" t="n"/>
      <c r="F446" s="29" t="n">
        <v>0</v>
      </c>
      <c r="G446" s="29" t="n">
        <v>92</v>
      </c>
      <c r="H446" s="27" t="inlineStr">
        <is>
          <t>Exclusive</t>
        </is>
      </c>
      <c r="I446" s="29" t="n">
        <v>65</v>
      </c>
      <c r="J446" s="27" t="inlineStr">
        <is>
          <t>Exclusive</t>
        </is>
      </c>
      <c r="K446" s="29" t="n">
        <v>92</v>
      </c>
      <c r="L446" s="29" t="n">
        <v>0</v>
      </c>
      <c r="M446" s="33" t="n">
        <v>1</v>
      </c>
      <c r="N446" s="27" t="inlineStr">
        <is>
          <t>Yes</t>
        </is>
      </c>
      <c r="O446" s="29" t="n">
        <v>0</v>
      </c>
      <c r="P446" s="30" t="n">
        <v>450</v>
      </c>
      <c r="Q446" s="31" t="inlineStr">
        <is>
          <t>In Stock</t>
        </is>
      </c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5" customHeight="1" s="85">
      <c r="A447" s="27" t="inlineStr">
        <is>
          <t>HOL CHICKY BAR JAGGERY</t>
        </is>
      </c>
      <c r="B447" s="27" t="n"/>
      <c r="C447" s="27" t="inlineStr">
        <is>
          <t>Snacks</t>
        </is>
      </c>
      <c r="D447" s="32" t="inlineStr">
        <is>
          <t>100188</t>
        </is>
      </c>
      <c r="E447" s="27" t="n"/>
      <c r="F447" s="29" t="n">
        <v>0</v>
      </c>
      <c r="G447" s="29" t="n">
        <v>50</v>
      </c>
      <c r="H447" s="27" t="inlineStr">
        <is>
          <t>Exclusive</t>
        </is>
      </c>
      <c r="I447" s="29" t="n">
        <v>48</v>
      </c>
      <c r="J447" s="27" t="inlineStr">
        <is>
          <t>Exclusive</t>
        </is>
      </c>
      <c r="K447" s="29" t="n">
        <v>50</v>
      </c>
      <c r="L447" s="29" t="n">
        <v>3</v>
      </c>
      <c r="M447" s="33" t="n">
        <v>1</v>
      </c>
      <c r="N447" s="27" t="inlineStr">
        <is>
          <t>Yes</t>
        </is>
      </c>
      <c r="O447" s="29" t="n">
        <v>0</v>
      </c>
      <c r="P447" s="30" t="n">
        <v>450</v>
      </c>
      <c r="Q447" s="31" t="inlineStr">
        <is>
          <t>In Stock</t>
        </is>
      </c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5" customHeight="1" s="85">
      <c r="A448" s="27" t="inlineStr">
        <is>
          <t>HOL CHOCOLATE BROWNIE</t>
        </is>
      </c>
      <c r="B448" s="27" t="n"/>
      <c r="C448" s="27" t="inlineStr">
        <is>
          <t>Snacks</t>
        </is>
      </c>
      <c r="D448" s="28" t="inlineStr">
        <is>
          <t>8908000509986</t>
        </is>
      </c>
      <c r="E448" s="27" t="n"/>
      <c r="F448" s="29" t="n">
        <v>0</v>
      </c>
      <c r="G448" s="29" t="n">
        <v>38</v>
      </c>
      <c r="H448" s="27" t="inlineStr">
        <is>
          <t>Inclusive</t>
        </is>
      </c>
      <c r="I448" s="29" t="n">
        <v>32</v>
      </c>
      <c r="J448" s="27" t="inlineStr">
        <is>
          <t>Inclusive</t>
        </is>
      </c>
      <c r="K448" s="29" t="n">
        <v>38</v>
      </c>
      <c r="L448" s="29" t="n">
        <v>0</v>
      </c>
      <c r="M448" s="33" t="n">
        <v>1</v>
      </c>
      <c r="N448" s="27" t="inlineStr">
        <is>
          <t>Yes</t>
        </is>
      </c>
      <c r="O448" s="29" t="n">
        <v>0</v>
      </c>
      <c r="P448" s="30" t="n">
        <v>450</v>
      </c>
      <c r="Q448" s="31" t="inlineStr">
        <is>
          <t>In Stock</t>
        </is>
      </c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5" customHeight="1" s="85">
      <c r="A449" s="27" t="inlineStr">
        <is>
          <t>HOL CHOW MITAYI BOX</t>
        </is>
      </c>
      <c r="B449" s="27" t="n"/>
      <c r="C449" s="27" t="inlineStr">
        <is>
          <t>Snacks</t>
        </is>
      </c>
      <c r="D449" s="28" t="inlineStr">
        <is>
          <t>447719218135</t>
        </is>
      </c>
      <c r="E449" s="27" t="n"/>
      <c r="F449" s="29" t="n">
        <v>0</v>
      </c>
      <c r="G449" s="29" t="n">
        <v>3</v>
      </c>
      <c r="H449" s="27" t="inlineStr">
        <is>
          <t>Inclusive</t>
        </is>
      </c>
      <c r="I449" s="29" t="n">
        <v>1.5</v>
      </c>
      <c r="J449" s="27" t="inlineStr">
        <is>
          <t>Inclusive</t>
        </is>
      </c>
      <c r="K449" s="29" t="n">
        <v>5</v>
      </c>
      <c r="L449" s="29" t="n">
        <v>0</v>
      </c>
      <c r="M449" s="33" t="n">
        <v>1</v>
      </c>
      <c r="N449" s="27" t="inlineStr">
        <is>
          <t>Yes</t>
        </is>
      </c>
      <c r="O449" s="29" t="n">
        <v>0</v>
      </c>
      <c r="P449" s="30" t="n">
        <v>450</v>
      </c>
      <c r="Q449" s="31" t="inlineStr">
        <is>
          <t>In Stock</t>
        </is>
      </c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5" customHeight="1" s="85">
      <c r="A450" s="27" t="inlineStr">
        <is>
          <t>HOL COCONUT CHICKY JAAR NEERA</t>
        </is>
      </c>
      <c r="B450" s="27" t="n"/>
      <c r="C450" s="27" t="inlineStr">
        <is>
          <t>Snacks</t>
        </is>
      </c>
      <c r="D450" s="28" t="inlineStr">
        <is>
          <t>8907216545756</t>
        </is>
      </c>
      <c r="E450" s="27" t="n"/>
      <c r="F450" s="29" t="n">
        <v>0</v>
      </c>
      <c r="G450" s="29" t="n">
        <v>115</v>
      </c>
      <c r="H450" s="27" t="inlineStr">
        <is>
          <t>Exclusive</t>
        </is>
      </c>
      <c r="I450" s="29" t="n">
        <v>100</v>
      </c>
      <c r="J450" s="27" t="inlineStr">
        <is>
          <t>Exclusive</t>
        </is>
      </c>
      <c r="K450" s="29" t="n">
        <v>115</v>
      </c>
      <c r="L450" s="29" t="n">
        <v>2</v>
      </c>
      <c r="M450" s="33" t="n">
        <v>1</v>
      </c>
      <c r="N450" s="27" t="inlineStr">
        <is>
          <t>Yes</t>
        </is>
      </c>
      <c r="O450" s="29" t="n">
        <v>0</v>
      </c>
      <c r="P450" s="30" t="n">
        <v>450</v>
      </c>
      <c r="Q450" s="31" t="inlineStr">
        <is>
          <t>In Stock</t>
        </is>
      </c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5" customHeight="1" s="85">
      <c r="A451" s="27" t="inlineStr">
        <is>
          <t>HOL COCONUT CHIKKI BAR PASTE BAR</t>
        </is>
      </c>
      <c r="B451" s="27" t="n"/>
      <c r="C451" s="27" t="inlineStr">
        <is>
          <t>Snacks</t>
        </is>
      </c>
      <c r="D451" s="32" t="inlineStr">
        <is>
          <t>100190</t>
        </is>
      </c>
      <c r="E451" s="27" t="n"/>
      <c r="F451" s="29" t="n">
        <v>0</v>
      </c>
      <c r="G451" s="29" t="n">
        <v>115</v>
      </c>
      <c r="H451" s="27" t="inlineStr">
        <is>
          <t>Exclusive</t>
        </is>
      </c>
      <c r="I451" s="29" t="n">
        <v>110</v>
      </c>
      <c r="J451" s="27" t="inlineStr">
        <is>
          <t>Exclusive</t>
        </is>
      </c>
      <c r="K451" s="29" t="n">
        <v>115</v>
      </c>
      <c r="L451" s="29" t="n">
        <v>2</v>
      </c>
      <c r="M451" s="33" t="n">
        <v>1</v>
      </c>
      <c r="N451" s="27" t="inlineStr">
        <is>
          <t>Yes</t>
        </is>
      </c>
      <c r="O451" s="29" t="n">
        <v>0</v>
      </c>
      <c r="P451" s="30" t="n">
        <v>450</v>
      </c>
      <c r="Q451" s="31" t="inlineStr">
        <is>
          <t>In Stock</t>
        </is>
      </c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5" customHeight="1" s="85">
      <c r="A452" s="27" t="inlineStr">
        <is>
          <t>HOL COCONUT CHUTNEY 100GM</t>
        </is>
      </c>
      <c r="B452" s="27" t="n"/>
      <c r="C452" s="27" t="inlineStr">
        <is>
          <t>Ready to Eat &amp; Mixes</t>
        </is>
      </c>
      <c r="D452" s="28" t="inlineStr">
        <is>
          <t>9232201972096</t>
        </is>
      </c>
      <c r="E452" s="27" t="n"/>
      <c r="F452" s="29" t="n">
        <v>0</v>
      </c>
      <c r="G452" s="29" t="n">
        <v>110</v>
      </c>
      <c r="H452" s="27" t="inlineStr">
        <is>
          <t>Exclusive</t>
        </is>
      </c>
      <c r="I452" s="29" t="n">
        <v>80</v>
      </c>
      <c r="J452" s="27" t="inlineStr">
        <is>
          <t>Exclusive</t>
        </is>
      </c>
      <c r="K452" s="29" t="n">
        <v>110</v>
      </c>
      <c r="L452" s="29" t="n">
        <v>0</v>
      </c>
      <c r="M452" s="33" t="n">
        <v>1</v>
      </c>
      <c r="N452" s="27" t="inlineStr">
        <is>
          <t>Yes</t>
        </is>
      </c>
      <c r="O452" s="29" t="n">
        <v>0</v>
      </c>
      <c r="P452" s="30" t="n">
        <v>450</v>
      </c>
      <c r="Q452" s="31" t="inlineStr">
        <is>
          <t>In Stock</t>
        </is>
      </c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5" customHeight="1" s="85">
      <c r="A453" s="27" t="inlineStr">
        <is>
          <t>HOL COCONUT COOKIES 135GM</t>
        </is>
      </c>
      <c r="B453" s="27" t="n"/>
      <c r="C453" s="27" t="inlineStr">
        <is>
          <t>Snacks</t>
        </is>
      </c>
      <c r="D453" s="28" t="inlineStr">
        <is>
          <t>9236235765242</t>
        </is>
      </c>
      <c r="E453" s="27" t="n"/>
      <c r="F453" s="29" t="n">
        <v>0</v>
      </c>
      <c r="G453" s="29" t="n">
        <v>65</v>
      </c>
      <c r="H453" s="27" t="inlineStr">
        <is>
          <t>Inclusive</t>
        </is>
      </c>
      <c r="I453" s="29" t="n">
        <v>62</v>
      </c>
      <c r="J453" s="27" t="inlineStr">
        <is>
          <t>Inclusive</t>
        </is>
      </c>
      <c r="K453" s="29" t="n">
        <v>65</v>
      </c>
      <c r="L453" s="29" t="n">
        <v>1</v>
      </c>
      <c r="M453" s="33" t="n">
        <v>1</v>
      </c>
      <c r="N453" s="27" t="inlineStr">
        <is>
          <t>Yes</t>
        </is>
      </c>
      <c r="O453" s="29" t="n">
        <v>0</v>
      </c>
      <c r="P453" s="30" t="n">
        <v>450</v>
      </c>
      <c r="Q453" s="31" t="inlineStr">
        <is>
          <t>In Stock</t>
        </is>
      </c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5" customHeight="1" s="85">
      <c r="A454" s="27" t="inlineStr">
        <is>
          <t>HOL COCONUT NEER</t>
        </is>
      </c>
      <c r="B454" s="27" t="n"/>
      <c r="C454" s="27" t="inlineStr">
        <is>
          <t>Beverages</t>
        </is>
      </c>
      <c r="D454" s="28" t="inlineStr">
        <is>
          <t>897856452312</t>
        </is>
      </c>
      <c r="E454" s="27" t="n"/>
      <c r="F454" s="29" t="n">
        <v>0</v>
      </c>
      <c r="G454" s="29" t="n">
        <v>115</v>
      </c>
      <c r="H454" s="27" t="inlineStr">
        <is>
          <t>Exclusive</t>
        </is>
      </c>
      <c r="I454" s="29" t="n">
        <v>110</v>
      </c>
      <c r="J454" s="27" t="inlineStr">
        <is>
          <t>Exclusive</t>
        </is>
      </c>
      <c r="K454" s="29" t="n">
        <v>115</v>
      </c>
      <c r="L454" s="29" t="n">
        <v>0</v>
      </c>
      <c r="M454" s="33" t="n">
        <v>1</v>
      </c>
      <c r="N454" s="27" t="inlineStr">
        <is>
          <t>Yes</t>
        </is>
      </c>
      <c r="O454" s="29" t="n">
        <v>0</v>
      </c>
      <c r="P454" s="30" t="n">
        <v>450</v>
      </c>
      <c r="Q454" s="31" t="inlineStr">
        <is>
          <t>In Stock</t>
        </is>
      </c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5" customHeight="1" s="85">
      <c r="A455" s="27" t="inlineStr">
        <is>
          <t>HOL DILKUSH BUN</t>
        </is>
      </c>
      <c r="B455" s="27" t="n"/>
      <c r="C455" s="27" t="inlineStr">
        <is>
          <t>Snacks</t>
        </is>
      </c>
      <c r="D455" s="28" t="inlineStr">
        <is>
          <t>338659336885</t>
        </is>
      </c>
      <c r="E455" s="27" t="n"/>
      <c r="F455" s="29" t="n">
        <v>0</v>
      </c>
      <c r="G455" s="29" t="n">
        <v>75</v>
      </c>
      <c r="H455" s="27" t="inlineStr">
        <is>
          <t>Exclusive</t>
        </is>
      </c>
      <c r="I455" s="29" t="n">
        <v>47</v>
      </c>
      <c r="J455" s="27" t="inlineStr">
        <is>
          <t>Exclusive</t>
        </is>
      </c>
      <c r="K455" s="29" t="n">
        <v>65</v>
      </c>
      <c r="L455" s="29" t="n">
        <v>0</v>
      </c>
      <c r="M455" s="33" t="n">
        <v>1</v>
      </c>
      <c r="N455" s="27" t="inlineStr">
        <is>
          <t>Yes</t>
        </is>
      </c>
      <c r="O455" s="29" t="n">
        <v>0</v>
      </c>
      <c r="P455" s="30" t="n">
        <v>450</v>
      </c>
      <c r="Q455" s="31" t="inlineStr">
        <is>
          <t>In Stock</t>
        </is>
      </c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5" customHeight="1" s="85">
      <c r="A456" s="27" t="inlineStr">
        <is>
          <t>HOL DRY CHILLI CHUTNEY 300GM</t>
        </is>
      </c>
      <c r="B456" s="27" t="n"/>
      <c r="C456" s="27" t="inlineStr">
        <is>
          <t>Ready to Eat &amp; Mixes</t>
        </is>
      </c>
      <c r="D456" s="28" t="inlineStr">
        <is>
          <t>9232201939310</t>
        </is>
      </c>
      <c r="E456" s="27" t="n"/>
      <c r="F456" s="29" t="n">
        <v>0</v>
      </c>
      <c r="G456" s="29" t="n">
        <v>235</v>
      </c>
      <c r="H456" s="27" t="inlineStr">
        <is>
          <t>Exclusive</t>
        </is>
      </c>
      <c r="I456" s="29" t="n">
        <v>130</v>
      </c>
      <c r="J456" s="27" t="inlineStr">
        <is>
          <t>Exclusive</t>
        </is>
      </c>
      <c r="K456" s="29" t="n">
        <v>155</v>
      </c>
      <c r="L456" s="29" t="n">
        <v>1</v>
      </c>
      <c r="M456" s="33" t="n">
        <v>1</v>
      </c>
      <c r="N456" s="27" t="inlineStr">
        <is>
          <t>Yes</t>
        </is>
      </c>
      <c r="O456" s="29" t="n">
        <v>0</v>
      </c>
      <c r="P456" s="30" t="n">
        <v>450</v>
      </c>
      <c r="Q456" s="31" t="inlineStr">
        <is>
          <t>In Stock</t>
        </is>
      </c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5" customHeight="1" s="85">
      <c r="A457" s="27" t="inlineStr">
        <is>
          <t>HOL EGGLESS CAKE 330GM</t>
        </is>
      </c>
      <c r="B457" s="27" t="n"/>
      <c r="C457" s="27" t="inlineStr">
        <is>
          <t>Snacks</t>
        </is>
      </c>
      <c r="D457" s="28" t="inlineStr">
        <is>
          <t>9232201524127</t>
        </is>
      </c>
      <c r="E457" s="27" t="n"/>
      <c r="F457" s="29" t="n">
        <v>0</v>
      </c>
      <c r="G457" s="29" t="n">
        <v>235</v>
      </c>
      <c r="H457" s="27" t="inlineStr">
        <is>
          <t>Exclusive</t>
        </is>
      </c>
      <c r="I457" s="29" t="n">
        <v>190</v>
      </c>
      <c r="J457" s="27" t="inlineStr">
        <is>
          <t>Exclusive</t>
        </is>
      </c>
      <c r="K457" s="29" t="n">
        <v>235</v>
      </c>
      <c r="L457" s="29" t="n">
        <v>0</v>
      </c>
      <c r="M457" s="33" t="n">
        <v>1</v>
      </c>
      <c r="N457" s="27" t="inlineStr">
        <is>
          <t>Yes</t>
        </is>
      </c>
      <c r="O457" s="29" t="n">
        <v>0</v>
      </c>
      <c r="P457" s="30" t="n">
        <v>450</v>
      </c>
      <c r="Q457" s="31" t="inlineStr">
        <is>
          <t>In Stock</t>
        </is>
      </c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5" customHeight="1" s="85">
      <c r="A458" s="27" t="inlineStr">
        <is>
          <t>HOL EROTIC RUM CAKE</t>
        </is>
      </c>
      <c r="B458" s="27" t="n"/>
      <c r="C458" s="27" t="inlineStr">
        <is>
          <t>Snacks</t>
        </is>
      </c>
      <c r="D458" s="28" t="inlineStr">
        <is>
          <t>9232301524713</t>
        </is>
      </c>
      <c r="E458" s="27" t="n"/>
      <c r="F458" s="29" t="n">
        <v>0</v>
      </c>
      <c r="G458" s="29" t="n">
        <v>620</v>
      </c>
      <c r="H458" s="27" t="inlineStr">
        <is>
          <t>Exclusive</t>
        </is>
      </c>
      <c r="I458" s="29" t="n">
        <v>475</v>
      </c>
      <c r="J458" s="27" t="inlineStr">
        <is>
          <t>Exclusive</t>
        </is>
      </c>
      <c r="K458" s="29" t="n">
        <v>620</v>
      </c>
      <c r="L458" s="29" t="n">
        <v>0</v>
      </c>
      <c r="M458" s="33" t="n">
        <v>1</v>
      </c>
      <c r="N458" s="27" t="inlineStr">
        <is>
          <t>Yes</t>
        </is>
      </c>
      <c r="O458" s="29" t="n">
        <v>0</v>
      </c>
      <c r="P458" s="30" t="n">
        <v>450</v>
      </c>
      <c r="Q458" s="31" t="inlineStr">
        <is>
          <t>In Stock</t>
        </is>
      </c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5" customHeight="1" s="85">
      <c r="A459" s="27" t="inlineStr">
        <is>
          <t>HOL GRAPE JUICE</t>
        </is>
      </c>
      <c r="B459" s="27" t="n"/>
      <c r="C459" s="27" t="inlineStr">
        <is>
          <t>Beverages</t>
        </is>
      </c>
      <c r="D459" s="28" t="inlineStr">
        <is>
          <t>9234581818230</t>
        </is>
      </c>
      <c r="E459" s="27" t="n"/>
      <c r="F459" s="29" t="n">
        <v>0</v>
      </c>
      <c r="G459" s="29" t="n">
        <v>40</v>
      </c>
      <c r="H459" s="27" t="inlineStr">
        <is>
          <t>Exclusive</t>
        </is>
      </c>
      <c r="I459" s="29" t="n">
        <v>38</v>
      </c>
      <c r="J459" s="27" t="inlineStr">
        <is>
          <t>Exclusive</t>
        </is>
      </c>
      <c r="K459" s="29" t="n">
        <v>40</v>
      </c>
      <c r="L459" s="29" t="n">
        <v>0</v>
      </c>
      <c r="M459" s="33" t="n">
        <v>1</v>
      </c>
      <c r="N459" s="27" t="inlineStr">
        <is>
          <t>Yes</t>
        </is>
      </c>
      <c r="O459" s="29" t="n">
        <v>0</v>
      </c>
      <c r="P459" s="30" t="n">
        <v>450</v>
      </c>
      <c r="Q459" s="31" t="inlineStr">
        <is>
          <t>In Stock</t>
        </is>
      </c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5" customHeight="1" s="85">
      <c r="A460" s="27" t="inlineStr">
        <is>
          <t>HOL INCHI MITAYI</t>
        </is>
      </c>
      <c r="B460" s="27" t="n"/>
      <c r="C460" s="27" t="inlineStr">
        <is>
          <t>Snacks</t>
        </is>
      </c>
      <c r="D460" s="28" t="inlineStr">
        <is>
          <t>701013654865</t>
        </is>
      </c>
      <c r="E460" s="27" t="n"/>
      <c r="F460" s="29" t="n">
        <v>0</v>
      </c>
      <c r="G460" s="29" t="n">
        <v>3</v>
      </c>
      <c r="H460" s="27" t="inlineStr">
        <is>
          <t>Inclusive</t>
        </is>
      </c>
      <c r="I460" s="29" t="n">
        <v>1.5</v>
      </c>
      <c r="J460" s="27" t="inlineStr">
        <is>
          <t>Inclusive</t>
        </is>
      </c>
      <c r="K460" s="29" t="n">
        <v>5</v>
      </c>
      <c r="L460" s="29" t="n">
        <v>0</v>
      </c>
      <c r="M460" s="33" t="n">
        <v>1</v>
      </c>
      <c r="N460" s="27" t="inlineStr">
        <is>
          <t>Yes</t>
        </is>
      </c>
      <c r="O460" s="29" t="n">
        <v>0</v>
      </c>
      <c r="P460" s="30" t="n">
        <v>450</v>
      </c>
      <c r="Q460" s="31" t="inlineStr">
        <is>
          <t>In Stock</t>
        </is>
      </c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5" customHeight="1" s="85">
      <c r="A461" s="27" t="inlineStr">
        <is>
          <t>HOL JAGGERY COOKIES</t>
        </is>
      </c>
      <c r="B461" s="27" t="n"/>
      <c r="C461" s="27" t="inlineStr">
        <is>
          <t>Snacks</t>
        </is>
      </c>
      <c r="D461" s="28" t="inlineStr">
        <is>
          <t>9298738237343</t>
        </is>
      </c>
      <c r="E461" s="27" t="n"/>
      <c r="F461" s="29" t="n">
        <v>0</v>
      </c>
      <c r="G461" s="29" t="n">
        <v>90</v>
      </c>
      <c r="H461" s="27" t="inlineStr">
        <is>
          <t>Exclusive</t>
        </is>
      </c>
      <c r="I461" s="29" t="n">
        <v>88</v>
      </c>
      <c r="J461" s="27" t="inlineStr">
        <is>
          <t>Exclusive</t>
        </is>
      </c>
      <c r="K461" s="29" t="n">
        <v>90</v>
      </c>
      <c r="L461" s="29" t="n">
        <v>0</v>
      </c>
      <c r="M461" s="33" t="n">
        <v>1</v>
      </c>
      <c r="N461" s="27" t="inlineStr">
        <is>
          <t>Yes</t>
        </is>
      </c>
      <c r="O461" s="29" t="n">
        <v>0</v>
      </c>
      <c r="P461" s="30" t="n">
        <v>450</v>
      </c>
      <c r="Q461" s="31" t="inlineStr">
        <is>
          <t>In Stock</t>
        </is>
      </c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5" customHeight="1" s="85">
      <c r="A462" s="27" t="inlineStr">
        <is>
          <t>HOL KARA SEVA 180GM</t>
        </is>
      </c>
      <c r="B462" s="27" t="n"/>
      <c r="C462" s="27" t="inlineStr">
        <is>
          <t>Snacks</t>
        </is>
      </c>
      <c r="D462" s="28" t="inlineStr">
        <is>
          <t>264365323977</t>
        </is>
      </c>
      <c r="E462" s="27" t="n"/>
      <c r="F462" s="29" t="n">
        <v>0</v>
      </c>
      <c r="G462" s="29" t="n">
        <v>62</v>
      </c>
      <c r="H462" s="27" t="inlineStr">
        <is>
          <t>Inclusive</t>
        </is>
      </c>
      <c r="I462" s="29" t="n">
        <v>46</v>
      </c>
      <c r="J462" s="27" t="inlineStr">
        <is>
          <t>Inclusive</t>
        </is>
      </c>
      <c r="K462" s="29" t="n">
        <v>62</v>
      </c>
      <c r="L462" s="29" t="n">
        <v>0</v>
      </c>
      <c r="M462" s="33" t="n">
        <v>1</v>
      </c>
      <c r="N462" s="27" t="inlineStr">
        <is>
          <t>Yes</t>
        </is>
      </c>
      <c r="O462" s="29" t="n">
        <v>0</v>
      </c>
      <c r="P462" s="30" t="n">
        <v>450</v>
      </c>
      <c r="Q462" s="31" t="inlineStr">
        <is>
          <t>In Stock</t>
        </is>
      </c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5" customHeight="1" s="85">
      <c r="A463" s="27" t="inlineStr">
        <is>
          <t>HOL KERALA MIXTURE SPICY</t>
        </is>
      </c>
      <c r="B463" s="27" t="n"/>
      <c r="C463" s="27" t="inlineStr">
        <is>
          <t>Snacks</t>
        </is>
      </c>
      <c r="D463" s="32" t="inlineStr">
        <is>
          <t>100191</t>
        </is>
      </c>
      <c r="E463" s="27" t="n"/>
      <c r="F463" s="29" t="n">
        <v>0</v>
      </c>
      <c r="G463" s="29" t="n">
        <v>78</v>
      </c>
      <c r="H463" s="27" t="inlineStr">
        <is>
          <t>Exclusive</t>
        </is>
      </c>
      <c r="I463" s="29" t="n">
        <v>62</v>
      </c>
      <c r="J463" s="27" t="inlineStr">
        <is>
          <t>Exclusive</t>
        </is>
      </c>
      <c r="K463" s="29" t="n">
        <v>72</v>
      </c>
      <c r="L463" s="29" t="n">
        <v>2</v>
      </c>
      <c r="M463" s="33" t="n">
        <v>1</v>
      </c>
      <c r="N463" s="27" t="inlineStr">
        <is>
          <t>Yes</t>
        </is>
      </c>
      <c r="O463" s="29" t="n">
        <v>0</v>
      </c>
      <c r="P463" s="30" t="n">
        <v>450</v>
      </c>
      <c r="Q463" s="31" t="inlineStr">
        <is>
          <t>In Stock</t>
        </is>
      </c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5" customHeight="1" s="85">
      <c r="A464" s="27" t="inlineStr">
        <is>
          <t>HOL KERALA WHITE MIXTURE</t>
        </is>
      </c>
      <c r="B464" s="27" t="n"/>
      <c r="C464" s="27" t="inlineStr">
        <is>
          <t>Snacks</t>
        </is>
      </c>
      <c r="D464" s="28" t="inlineStr">
        <is>
          <t>759178219048</t>
        </is>
      </c>
      <c r="E464" s="27" t="n"/>
      <c r="F464" s="29" t="n">
        <v>0</v>
      </c>
      <c r="G464" s="29" t="n">
        <v>75</v>
      </c>
      <c r="H464" s="27" t="inlineStr">
        <is>
          <t>Exclusive</t>
        </is>
      </c>
      <c r="I464" s="29" t="n">
        <v>60</v>
      </c>
      <c r="J464" s="27" t="inlineStr">
        <is>
          <t>Exclusive</t>
        </is>
      </c>
      <c r="K464" s="29" t="n">
        <v>75</v>
      </c>
      <c r="L464" s="29" t="n">
        <v>3</v>
      </c>
      <c r="M464" s="33" t="n">
        <v>1</v>
      </c>
      <c r="N464" s="27" t="inlineStr">
        <is>
          <t>Yes</t>
        </is>
      </c>
      <c r="O464" s="29" t="n">
        <v>0</v>
      </c>
      <c r="P464" s="30" t="n">
        <v>450</v>
      </c>
      <c r="Q464" s="31" t="inlineStr">
        <is>
          <t>In Stock</t>
        </is>
      </c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5" customHeight="1" s="85">
      <c r="A465" s="27" t="inlineStr">
        <is>
          <t>HOL MADHURA SEVA 180G</t>
        </is>
      </c>
      <c r="B465" s="27" t="n"/>
      <c r="C465" s="27" t="inlineStr">
        <is>
          <t>Snacks</t>
        </is>
      </c>
      <c r="D465" s="28" t="inlineStr">
        <is>
          <t>616552076374</t>
        </is>
      </c>
      <c r="E465" s="27" t="n"/>
      <c r="F465" s="29" t="n">
        <v>0</v>
      </c>
      <c r="G465" s="29" t="n">
        <v>62</v>
      </c>
      <c r="H465" s="27" t="inlineStr">
        <is>
          <t>Exclusive</t>
        </is>
      </c>
      <c r="I465" s="29" t="n">
        <v>48</v>
      </c>
      <c r="J465" s="27" t="inlineStr">
        <is>
          <t>Exclusive</t>
        </is>
      </c>
      <c r="K465" s="29" t="n">
        <v>62</v>
      </c>
      <c r="L465" s="29" t="n">
        <v>5</v>
      </c>
      <c r="M465" s="33" t="n">
        <v>1</v>
      </c>
      <c r="N465" s="27" t="inlineStr">
        <is>
          <t>Yes</t>
        </is>
      </c>
      <c r="O465" s="29" t="n">
        <v>0</v>
      </c>
      <c r="P465" s="30" t="n">
        <v>450</v>
      </c>
      <c r="Q465" s="31" t="inlineStr">
        <is>
          <t>In Stock</t>
        </is>
      </c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5" customHeight="1" s="85">
      <c r="A466" s="27" t="inlineStr">
        <is>
          <t>HOL MASALA COOKIE 100GM</t>
        </is>
      </c>
      <c r="B466" s="27" t="n"/>
      <c r="C466" s="27" t="inlineStr">
        <is>
          <t>Snacks</t>
        </is>
      </c>
      <c r="D466" s="28" t="inlineStr">
        <is>
          <t>9298236253623</t>
        </is>
      </c>
      <c r="E466" s="27" t="n"/>
      <c r="F466" s="29" t="n">
        <v>0</v>
      </c>
      <c r="G466" s="29" t="n">
        <v>90</v>
      </c>
      <c r="H466" s="27" t="inlineStr">
        <is>
          <t>Inclusive</t>
        </is>
      </c>
      <c r="I466" s="29" t="n">
        <v>88</v>
      </c>
      <c r="J466" s="27" t="inlineStr">
        <is>
          <t>Inclusive</t>
        </is>
      </c>
      <c r="K466" s="29" t="n">
        <v>90</v>
      </c>
      <c r="L466" s="29" t="n">
        <v>0</v>
      </c>
      <c r="M466" s="33" t="n">
        <v>1</v>
      </c>
      <c r="N466" s="27" t="inlineStr">
        <is>
          <t>Yes</t>
        </is>
      </c>
      <c r="O466" s="29" t="n">
        <v>0</v>
      </c>
      <c r="P466" s="30" t="n">
        <v>450</v>
      </c>
      <c r="Q466" s="31" t="inlineStr">
        <is>
          <t>In Stock</t>
        </is>
      </c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5" customHeight="1" s="85">
      <c r="A467" s="27" t="inlineStr">
        <is>
          <t>HOL NOSTALGIC CHOW,NARANGA,GAS, JEERAKA, IMLI MITAYI</t>
        </is>
      </c>
      <c r="B467" s="27" t="n"/>
      <c r="C467" s="27" t="inlineStr">
        <is>
          <t>Snacks</t>
        </is>
      </c>
      <c r="D467" s="28" t="inlineStr">
        <is>
          <t>580299565601</t>
        </is>
      </c>
      <c r="E467" s="27" t="n"/>
      <c r="F467" s="29" t="n">
        <v>0</v>
      </c>
      <c r="G467" s="29" t="n">
        <v>30</v>
      </c>
      <c r="H467" s="27" t="inlineStr">
        <is>
          <t>Inclusive</t>
        </is>
      </c>
      <c r="I467" s="29" t="n">
        <v>26</v>
      </c>
      <c r="J467" s="27" t="inlineStr">
        <is>
          <t>Inclusive</t>
        </is>
      </c>
      <c r="K467" s="29" t="n">
        <v>30</v>
      </c>
      <c r="L467" s="29" t="n">
        <v>13</v>
      </c>
      <c r="M467" s="33" t="n">
        <v>1</v>
      </c>
      <c r="N467" s="27" t="inlineStr">
        <is>
          <t>Yes</t>
        </is>
      </c>
      <c r="O467" s="29" t="n">
        <v>0</v>
      </c>
      <c r="P467" s="30" t="n">
        <v>450</v>
      </c>
      <c r="Q467" s="31" t="inlineStr">
        <is>
          <t>In Stock</t>
        </is>
      </c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5" customHeight="1" s="85">
      <c r="A468" s="27" t="inlineStr">
        <is>
          <t>HOL OATS COOKIES</t>
        </is>
      </c>
      <c r="B468" s="27" t="n"/>
      <c r="C468" s="27" t="inlineStr">
        <is>
          <t>Snacks</t>
        </is>
      </c>
      <c r="D468" s="32" t="inlineStr">
        <is>
          <t>100192</t>
        </is>
      </c>
      <c r="E468" s="27" t="n"/>
      <c r="F468" s="29" t="n">
        <v>0</v>
      </c>
      <c r="G468" s="29" t="n">
        <v>120</v>
      </c>
      <c r="H468" s="27" t="inlineStr">
        <is>
          <t>Inclusive</t>
        </is>
      </c>
      <c r="I468" s="29" t="n">
        <v>95</v>
      </c>
      <c r="J468" s="27" t="inlineStr">
        <is>
          <t>Inclusive</t>
        </is>
      </c>
      <c r="K468" s="29" t="n">
        <v>120</v>
      </c>
      <c r="L468" s="29" t="n">
        <v>5</v>
      </c>
      <c r="M468" s="33" t="n">
        <v>1</v>
      </c>
      <c r="N468" s="27" t="inlineStr">
        <is>
          <t>Yes</t>
        </is>
      </c>
      <c r="O468" s="29" t="n">
        <v>0</v>
      </c>
      <c r="P468" s="30" t="n">
        <v>450</v>
      </c>
      <c r="Q468" s="31" t="inlineStr">
        <is>
          <t>In Stock</t>
        </is>
      </c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5" customHeight="1" s="85">
      <c r="A469" s="27" t="inlineStr">
        <is>
          <t>HOL PEANUT CHICKY BAR PUMPKIN SEEDS 100GM</t>
        </is>
      </c>
      <c r="B469" s="27" t="n"/>
      <c r="C469" s="27" t="inlineStr">
        <is>
          <t>Snacks</t>
        </is>
      </c>
      <c r="D469" s="32" t="inlineStr">
        <is>
          <t>100193</t>
        </is>
      </c>
      <c r="E469" s="27" t="n"/>
      <c r="F469" s="29" t="n">
        <v>0</v>
      </c>
      <c r="G469" s="29" t="n">
        <v>65</v>
      </c>
      <c r="H469" s="27" t="inlineStr">
        <is>
          <t>Exclusive</t>
        </is>
      </c>
      <c r="I469" s="29" t="n">
        <v>62</v>
      </c>
      <c r="J469" s="27" t="inlineStr">
        <is>
          <t>Exclusive</t>
        </is>
      </c>
      <c r="K469" s="29" t="n">
        <v>65</v>
      </c>
      <c r="L469" s="29" t="n">
        <v>0</v>
      </c>
      <c r="M469" s="33" t="n">
        <v>1</v>
      </c>
      <c r="N469" s="27" t="inlineStr">
        <is>
          <t>Yes</t>
        </is>
      </c>
      <c r="O469" s="29" t="n">
        <v>0</v>
      </c>
      <c r="P469" s="30" t="n">
        <v>450</v>
      </c>
      <c r="Q469" s="31" t="inlineStr">
        <is>
          <t>In Stock</t>
        </is>
      </c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5" customHeight="1" s="85">
      <c r="A470" s="27" t="inlineStr">
        <is>
          <t>HOL PEANUT CHIKI BAR ASHWAGANDI 100GM</t>
        </is>
      </c>
      <c r="B470" s="27" t="n"/>
      <c r="C470" s="27" t="inlineStr">
        <is>
          <t>Snacks</t>
        </is>
      </c>
      <c r="D470" s="28" t="inlineStr">
        <is>
          <t>8909633487559</t>
        </is>
      </c>
      <c r="E470" s="27" t="n"/>
      <c r="F470" s="29" t="n">
        <v>0</v>
      </c>
      <c r="G470" s="29" t="n">
        <v>55</v>
      </c>
      <c r="H470" s="27" t="inlineStr">
        <is>
          <t>Inclusive</t>
        </is>
      </c>
      <c r="I470" s="29" t="n">
        <v>55</v>
      </c>
      <c r="J470" s="27" t="inlineStr">
        <is>
          <t>Inclusive</t>
        </is>
      </c>
      <c r="K470" s="29" t="n">
        <v>55</v>
      </c>
      <c r="L470" s="29" t="n">
        <v>0</v>
      </c>
      <c r="M470" s="33" t="n">
        <v>1</v>
      </c>
      <c r="N470" s="27" t="inlineStr">
        <is>
          <t>Yes</t>
        </is>
      </c>
      <c r="O470" s="29" t="n">
        <v>0</v>
      </c>
      <c r="P470" s="30" t="n">
        <v>450</v>
      </c>
      <c r="Q470" s="31" t="inlineStr">
        <is>
          <t>In Stock</t>
        </is>
      </c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5" customHeight="1" s="85">
      <c r="A471" s="27" t="inlineStr">
        <is>
          <t>HOL PEANUT CHIKI BAR BRAHMI 100GM</t>
        </is>
      </c>
      <c r="B471" s="27" t="n"/>
      <c r="C471" s="27" t="inlineStr">
        <is>
          <t>Snacks</t>
        </is>
      </c>
      <c r="D471" s="28" t="inlineStr">
        <is>
          <t>8943126845163</t>
        </is>
      </c>
      <c r="E471" s="27" t="n"/>
      <c r="F471" s="29" t="n">
        <v>0</v>
      </c>
      <c r="G471" s="29" t="n">
        <v>55</v>
      </c>
      <c r="H471" s="27" t="inlineStr">
        <is>
          <t>Inclusive</t>
        </is>
      </c>
      <c r="I471" s="29" t="n">
        <v>55</v>
      </c>
      <c r="J471" s="27" t="inlineStr">
        <is>
          <t>Inclusive</t>
        </is>
      </c>
      <c r="K471" s="29" t="n">
        <v>55</v>
      </c>
      <c r="L471" s="29" t="n">
        <v>0</v>
      </c>
      <c r="M471" s="33" t="n">
        <v>1</v>
      </c>
      <c r="N471" s="27" t="inlineStr">
        <is>
          <t>Yes</t>
        </is>
      </c>
      <c r="O471" s="29" t="n">
        <v>0</v>
      </c>
      <c r="P471" s="30" t="n">
        <v>450</v>
      </c>
      <c r="Q471" s="31" t="inlineStr">
        <is>
          <t>In Stock</t>
        </is>
      </c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5" customHeight="1" s="85">
      <c r="A472" s="27" t="inlineStr">
        <is>
          <t>HOL PEANUT CHIKI BAR CHIA 100GM</t>
        </is>
      </c>
      <c r="B472" s="27" t="n"/>
      <c r="C472" s="27" t="inlineStr">
        <is>
          <t>Snacks</t>
        </is>
      </c>
      <c r="D472" s="28" t="inlineStr">
        <is>
          <t>8945687923456</t>
        </is>
      </c>
      <c r="E472" s="27" t="n"/>
      <c r="F472" s="29" t="n">
        <v>0</v>
      </c>
      <c r="G472" s="29" t="n">
        <v>50</v>
      </c>
      <c r="H472" s="27" t="inlineStr">
        <is>
          <t>Inclusive</t>
        </is>
      </c>
      <c r="I472" s="29" t="n">
        <v>48</v>
      </c>
      <c r="J472" s="27" t="inlineStr">
        <is>
          <t>Inclusive</t>
        </is>
      </c>
      <c r="K472" s="29" t="n">
        <v>50</v>
      </c>
      <c r="L472" s="29" t="n">
        <v>0</v>
      </c>
      <c r="M472" s="33" t="n">
        <v>1</v>
      </c>
      <c r="N472" s="27" t="inlineStr">
        <is>
          <t>Yes</t>
        </is>
      </c>
      <c r="O472" s="29" t="n">
        <v>0</v>
      </c>
      <c r="P472" s="30" t="n">
        <v>450</v>
      </c>
      <c r="Q472" s="31" t="inlineStr">
        <is>
          <t>In Stock</t>
        </is>
      </c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5" customHeight="1" s="85">
      <c r="A473" s="27" t="inlineStr">
        <is>
          <t>HOL PEANUT CHIKI BAR COCONUT NEERA100GM</t>
        </is>
      </c>
      <c r="B473" s="27" t="n"/>
      <c r="C473" s="27" t="inlineStr">
        <is>
          <t>Snacks</t>
        </is>
      </c>
      <c r="D473" s="28" t="inlineStr">
        <is>
          <t>8909633487513</t>
        </is>
      </c>
      <c r="E473" s="27" t="n"/>
      <c r="F473" s="29" t="n">
        <v>0</v>
      </c>
      <c r="G473" s="29" t="n">
        <v>50</v>
      </c>
      <c r="H473" s="27" t="inlineStr">
        <is>
          <t>Inclusive</t>
        </is>
      </c>
      <c r="I473" s="29" t="n">
        <v>44</v>
      </c>
      <c r="J473" s="27" t="inlineStr">
        <is>
          <t>Inclusive</t>
        </is>
      </c>
      <c r="K473" s="29" t="n">
        <v>50</v>
      </c>
      <c r="L473" s="29" t="n">
        <v>0</v>
      </c>
      <c r="M473" s="33" t="n">
        <v>1</v>
      </c>
      <c r="N473" s="27" t="inlineStr">
        <is>
          <t>Yes</t>
        </is>
      </c>
      <c r="O473" s="29" t="n">
        <v>0</v>
      </c>
      <c r="P473" s="30" t="n">
        <v>450</v>
      </c>
      <c r="Q473" s="31" t="inlineStr">
        <is>
          <t>In Stock</t>
        </is>
      </c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5" customHeight="1" s="85">
      <c r="A474" s="27" t="inlineStr">
        <is>
          <t>HOL PEANUT CHIKI BAR CRUSHED 100GM</t>
        </is>
      </c>
      <c r="B474" s="27" t="n"/>
      <c r="C474" s="27" t="inlineStr">
        <is>
          <t>Snacks</t>
        </is>
      </c>
      <c r="D474" s="28" t="inlineStr">
        <is>
          <t>8905217643591</t>
        </is>
      </c>
      <c r="E474" s="27" t="n"/>
      <c r="F474" s="29" t="n">
        <v>0</v>
      </c>
      <c r="G474" s="29" t="n">
        <v>50</v>
      </c>
      <c r="H474" s="27" t="inlineStr">
        <is>
          <t>Inclusive</t>
        </is>
      </c>
      <c r="I474" s="29" t="n">
        <v>42</v>
      </c>
      <c r="J474" s="27" t="inlineStr">
        <is>
          <t>Inclusive</t>
        </is>
      </c>
      <c r="K474" s="29" t="n">
        <v>50</v>
      </c>
      <c r="L474" s="29" t="n">
        <v>2</v>
      </c>
      <c r="M474" s="33" t="n">
        <v>1</v>
      </c>
      <c r="N474" s="27" t="inlineStr">
        <is>
          <t>Yes</t>
        </is>
      </c>
      <c r="O474" s="29" t="n">
        <v>0</v>
      </c>
      <c r="P474" s="30" t="n">
        <v>450</v>
      </c>
      <c r="Q474" s="31" t="inlineStr">
        <is>
          <t>In Stock</t>
        </is>
      </c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5" customHeight="1" s="85">
      <c r="A475" s="27" t="inlineStr">
        <is>
          <t>HOL PEANUT CHIKI BAR FLAX SEED 100GM</t>
        </is>
      </c>
      <c r="B475" s="27" t="n"/>
      <c r="C475" s="27" t="inlineStr">
        <is>
          <t>Snacks</t>
        </is>
      </c>
      <c r="D475" s="28" t="inlineStr">
        <is>
          <t>8964875124324</t>
        </is>
      </c>
      <c r="E475" s="27" t="n"/>
      <c r="F475" s="29" t="n">
        <v>0</v>
      </c>
      <c r="G475" s="29" t="n">
        <v>50</v>
      </c>
      <c r="H475" s="27" t="inlineStr">
        <is>
          <t>Inclusive</t>
        </is>
      </c>
      <c r="I475" s="29" t="n">
        <v>48</v>
      </c>
      <c r="J475" s="27" t="inlineStr">
        <is>
          <t>Inclusive</t>
        </is>
      </c>
      <c r="K475" s="29" t="n">
        <v>50</v>
      </c>
      <c r="L475" s="29" t="n">
        <v>1</v>
      </c>
      <c r="M475" s="33" t="n">
        <v>1</v>
      </c>
      <c r="N475" s="27" t="inlineStr">
        <is>
          <t>Yes</t>
        </is>
      </c>
      <c r="O475" s="29" t="n">
        <v>0</v>
      </c>
      <c r="P475" s="30" t="n">
        <v>450</v>
      </c>
      <c r="Q475" s="31" t="inlineStr">
        <is>
          <t>In Stock</t>
        </is>
      </c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5" customHeight="1" s="85">
      <c r="A476" s="27" t="inlineStr">
        <is>
          <t>HOL PEANUT CHIKI BAR MORINGA 100GM</t>
        </is>
      </c>
      <c r="B476" s="27" t="n"/>
      <c r="C476" s="27" t="inlineStr">
        <is>
          <t>Snacks</t>
        </is>
      </c>
      <c r="D476" s="28" t="inlineStr">
        <is>
          <t>890284556467</t>
        </is>
      </c>
      <c r="E476" s="27" t="n"/>
      <c r="F476" s="29" t="n">
        <v>0</v>
      </c>
      <c r="G476" s="29" t="n">
        <v>55</v>
      </c>
      <c r="H476" s="27" t="inlineStr">
        <is>
          <t>Inclusive</t>
        </is>
      </c>
      <c r="I476" s="29" t="n">
        <v>50</v>
      </c>
      <c r="J476" s="27" t="inlineStr">
        <is>
          <t>Inclusive</t>
        </is>
      </c>
      <c r="K476" s="29" t="n">
        <v>55</v>
      </c>
      <c r="L476" s="29" t="n">
        <v>0</v>
      </c>
      <c r="M476" s="33" t="n">
        <v>1</v>
      </c>
      <c r="N476" s="27" t="inlineStr">
        <is>
          <t>Yes</t>
        </is>
      </c>
      <c r="O476" s="29" t="n">
        <v>0</v>
      </c>
      <c r="P476" s="30" t="n">
        <v>450</v>
      </c>
      <c r="Q476" s="31" t="inlineStr">
        <is>
          <t>In Stock</t>
        </is>
      </c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5" customHeight="1" s="85">
      <c r="A477" s="27" t="inlineStr">
        <is>
          <t>HOL PEANUT CHIKI BAR MULTI GRAIN 100GM</t>
        </is>
      </c>
      <c r="B477" s="27" t="n"/>
      <c r="C477" s="27" t="inlineStr">
        <is>
          <t>Snacks</t>
        </is>
      </c>
      <c r="D477" s="28" t="inlineStr">
        <is>
          <t>8946268751275</t>
        </is>
      </c>
      <c r="E477" s="27" t="n"/>
      <c r="F477" s="29" t="n">
        <v>0</v>
      </c>
      <c r="G477" s="29" t="n">
        <v>55</v>
      </c>
      <c r="H477" s="27" t="inlineStr">
        <is>
          <t>Inclusive</t>
        </is>
      </c>
      <c r="I477" s="29" t="n">
        <v>45</v>
      </c>
      <c r="J477" s="27" t="inlineStr">
        <is>
          <t>Inclusive</t>
        </is>
      </c>
      <c r="K477" s="29" t="n">
        <v>55</v>
      </c>
      <c r="L477" s="29" t="n">
        <v>0</v>
      </c>
      <c r="M477" s="33" t="n">
        <v>1</v>
      </c>
      <c r="N477" s="27" t="inlineStr">
        <is>
          <t>Yes</t>
        </is>
      </c>
      <c r="O477" s="29" t="n">
        <v>0</v>
      </c>
      <c r="P477" s="30" t="n">
        <v>450</v>
      </c>
      <c r="Q477" s="31" t="inlineStr">
        <is>
          <t>In Stock</t>
        </is>
      </c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5" customHeight="1" s="85">
      <c r="A478" s="27" t="inlineStr">
        <is>
          <t>HOL PEANUT CHIKI BAR OMEGA 100GM</t>
        </is>
      </c>
      <c r="B478" s="27" t="n"/>
      <c r="C478" s="27" t="inlineStr">
        <is>
          <t>Snacks</t>
        </is>
      </c>
      <c r="D478" s="28" t="inlineStr">
        <is>
          <t>8906850884618</t>
        </is>
      </c>
      <c r="E478" s="27" t="n"/>
      <c r="F478" s="29" t="n">
        <v>0</v>
      </c>
      <c r="G478" s="29" t="n">
        <v>65</v>
      </c>
      <c r="H478" s="27" t="inlineStr">
        <is>
          <t>Inclusive</t>
        </is>
      </c>
      <c r="I478" s="29" t="n">
        <v>55</v>
      </c>
      <c r="J478" s="27" t="inlineStr">
        <is>
          <t>Inclusive</t>
        </is>
      </c>
      <c r="K478" s="29" t="n">
        <v>65</v>
      </c>
      <c r="L478" s="29" t="n">
        <v>0</v>
      </c>
      <c r="M478" s="33" t="n">
        <v>1</v>
      </c>
      <c r="N478" s="27" t="inlineStr">
        <is>
          <t>Yes</t>
        </is>
      </c>
      <c r="O478" s="29" t="n">
        <v>0</v>
      </c>
      <c r="P478" s="30" t="n">
        <v>450</v>
      </c>
      <c r="Q478" s="31" t="inlineStr">
        <is>
          <t>In Stock</t>
        </is>
      </c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5" customHeight="1" s="85">
      <c r="A479" s="27" t="inlineStr">
        <is>
          <t>HOL PEANUT CHIKI JAR MORINGA 250GM</t>
        </is>
      </c>
      <c r="B479" s="27" t="n"/>
      <c r="C479" s="27" t="inlineStr">
        <is>
          <t>Snacks</t>
        </is>
      </c>
      <c r="D479" s="28" t="inlineStr">
        <is>
          <t>2112345678917</t>
        </is>
      </c>
      <c r="E479" s="27" t="n"/>
      <c r="F479" s="29" t="n">
        <v>0</v>
      </c>
      <c r="G479" s="29" t="n">
        <v>135</v>
      </c>
      <c r="H479" s="27" t="inlineStr">
        <is>
          <t>Inclusive</t>
        </is>
      </c>
      <c r="I479" s="29" t="n">
        <v>132</v>
      </c>
      <c r="J479" s="27" t="inlineStr">
        <is>
          <t>Inclusive</t>
        </is>
      </c>
      <c r="K479" s="29" t="n">
        <v>0</v>
      </c>
      <c r="L479" s="29" t="n">
        <v>2</v>
      </c>
      <c r="M479" s="33" t="n">
        <v>1</v>
      </c>
      <c r="N479" s="27" t="inlineStr">
        <is>
          <t>Yes</t>
        </is>
      </c>
      <c r="O479" s="29" t="n">
        <v>0</v>
      </c>
      <c r="P479" s="30" t="n">
        <v>450</v>
      </c>
      <c r="Q479" s="31" t="inlineStr">
        <is>
          <t>In Stock</t>
        </is>
      </c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5" customHeight="1" s="85">
      <c r="A480" s="27" t="inlineStr">
        <is>
          <t>HOL PEANUT CHIKKI JAR ASHWAGANDHA</t>
        </is>
      </c>
      <c r="B480" s="27" t="n"/>
      <c r="C480" s="27" t="inlineStr">
        <is>
          <t>Snacks</t>
        </is>
      </c>
      <c r="D480" s="28" t="inlineStr">
        <is>
          <t>8906214653962</t>
        </is>
      </c>
      <c r="E480" s="27" t="n"/>
      <c r="F480" s="29" t="n">
        <v>0</v>
      </c>
      <c r="G480" s="29" t="n">
        <v>135</v>
      </c>
      <c r="H480" s="27" t="inlineStr">
        <is>
          <t>Inclusive</t>
        </is>
      </c>
      <c r="I480" s="29" t="n">
        <v>132</v>
      </c>
      <c r="J480" s="27" t="inlineStr">
        <is>
          <t>Inclusive</t>
        </is>
      </c>
      <c r="K480" s="29" t="n">
        <v>135</v>
      </c>
      <c r="L480" s="29" t="n">
        <v>0</v>
      </c>
      <c r="M480" s="33" t="n">
        <v>1</v>
      </c>
      <c r="N480" s="27" t="inlineStr">
        <is>
          <t>Yes</t>
        </is>
      </c>
      <c r="O480" s="29" t="n">
        <v>0</v>
      </c>
      <c r="P480" s="30" t="n">
        <v>450</v>
      </c>
      <c r="Q480" s="31" t="inlineStr">
        <is>
          <t>In Stock</t>
        </is>
      </c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5" customHeight="1" s="85">
      <c r="A481" s="27" t="inlineStr">
        <is>
          <t>HOL PEANUT CHIKKI JAR BRAHMI</t>
        </is>
      </c>
      <c r="B481" s="27" t="n"/>
      <c r="C481" s="27" t="inlineStr">
        <is>
          <t>Snacks</t>
        </is>
      </c>
      <c r="D481" s="28" t="inlineStr">
        <is>
          <t>890963308</t>
        </is>
      </c>
      <c r="E481" s="27" t="n"/>
      <c r="F481" s="29" t="n">
        <v>0</v>
      </c>
      <c r="G481" s="29" t="n">
        <v>135</v>
      </c>
      <c r="H481" s="27" t="inlineStr">
        <is>
          <t>Inclusive</t>
        </is>
      </c>
      <c r="I481" s="29" t="n">
        <v>130</v>
      </c>
      <c r="J481" s="27" t="inlineStr">
        <is>
          <t>Inclusive</t>
        </is>
      </c>
      <c r="K481" s="29" t="n">
        <v>135</v>
      </c>
      <c r="L481" s="29" t="n">
        <v>1</v>
      </c>
      <c r="M481" s="33" t="n">
        <v>1</v>
      </c>
      <c r="N481" s="27" t="inlineStr">
        <is>
          <t>Yes</t>
        </is>
      </c>
      <c r="O481" s="29" t="n">
        <v>0</v>
      </c>
      <c r="P481" s="30" t="n">
        <v>450</v>
      </c>
      <c r="Q481" s="31" t="inlineStr">
        <is>
          <t>In Stock</t>
        </is>
      </c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5" customHeight="1" s="85">
      <c r="A482" s="27" t="inlineStr">
        <is>
          <t>HOL PEANUT CHIKKI JAR CHIA SEEDS</t>
        </is>
      </c>
      <c r="B482" s="27" t="n"/>
      <c r="C482" s="27" t="inlineStr">
        <is>
          <t>Snacks</t>
        </is>
      </c>
      <c r="D482" s="28" t="inlineStr">
        <is>
          <t>8902654501434</t>
        </is>
      </c>
      <c r="E482" s="27" t="n"/>
      <c r="F482" s="29" t="n">
        <v>0</v>
      </c>
      <c r="G482" s="29" t="n">
        <v>120</v>
      </c>
      <c r="H482" s="27" t="inlineStr">
        <is>
          <t>Inclusive</t>
        </is>
      </c>
      <c r="I482" s="29" t="n">
        <v>115</v>
      </c>
      <c r="J482" s="27" t="inlineStr">
        <is>
          <t>Inclusive</t>
        </is>
      </c>
      <c r="K482" s="29" t="n">
        <v>120</v>
      </c>
      <c r="L482" s="29" t="n">
        <v>0</v>
      </c>
      <c r="M482" s="33" t="n">
        <v>1</v>
      </c>
      <c r="N482" s="27" t="inlineStr">
        <is>
          <t>Yes</t>
        </is>
      </c>
      <c r="O482" s="29" t="n">
        <v>0</v>
      </c>
      <c r="P482" s="30" t="n">
        <v>450</v>
      </c>
      <c r="Q482" s="31" t="inlineStr">
        <is>
          <t>In Stock</t>
        </is>
      </c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5" customHeight="1" s="85">
      <c r="A483" s="27" t="inlineStr">
        <is>
          <t>HOL PEANUT CHIKKI JAR FLAX SEED 250G</t>
        </is>
      </c>
      <c r="B483" s="27" t="n"/>
      <c r="C483" s="27" t="inlineStr">
        <is>
          <t>Snacks</t>
        </is>
      </c>
      <c r="D483" s="28" t="inlineStr">
        <is>
          <t>7980456287145</t>
        </is>
      </c>
      <c r="E483" s="27" t="n"/>
      <c r="F483" s="29" t="n">
        <v>0</v>
      </c>
      <c r="G483" s="29" t="n">
        <v>120</v>
      </c>
      <c r="H483" s="27" t="inlineStr">
        <is>
          <t>Exclusive</t>
        </is>
      </c>
      <c r="I483" s="29" t="n">
        <v>115</v>
      </c>
      <c r="J483" s="27" t="inlineStr">
        <is>
          <t>Exclusive</t>
        </is>
      </c>
      <c r="K483" s="29" t="n">
        <v>120</v>
      </c>
      <c r="L483" s="29" t="n">
        <v>0</v>
      </c>
      <c r="M483" s="33" t="n">
        <v>1</v>
      </c>
      <c r="N483" s="27" t="inlineStr">
        <is>
          <t>Yes</t>
        </is>
      </c>
      <c r="O483" s="29" t="n">
        <v>0</v>
      </c>
      <c r="P483" s="30" t="n">
        <v>450</v>
      </c>
      <c r="Q483" s="31" t="inlineStr">
        <is>
          <t>In Stock</t>
        </is>
      </c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5" customHeight="1" s="85">
      <c r="A484" s="27" t="inlineStr">
        <is>
          <t>HOL PEANUT CHIKKI JAR MULTI GRAIN</t>
        </is>
      </c>
      <c r="B484" s="27" t="n"/>
      <c r="C484" s="27" t="inlineStr">
        <is>
          <t>Snacks</t>
        </is>
      </c>
      <c r="D484" s="28" t="inlineStr">
        <is>
          <t>7980456287138</t>
        </is>
      </c>
      <c r="E484" s="27" t="n"/>
      <c r="F484" s="29" t="n">
        <v>0</v>
      </c>
      <c r="G484" s="29" t="n">
        <v>135</v>
      </c>
      <c r="H484" s="27" t="inlineStr">
        <is>
          <t>Inclusive</t>
        </is>
      </c>
      <c r="I484" s="29" t="n">
        <v>130</v>
      </c>
      <c r="J484" s="27" t="inlineStr">
        <is>
          <t>Inclusive</t>
        </is>
      </c>
      <c r="K484" s="29" t="n">
        <v>135</v>
      </c>
      <c r="L484" s="29" t="n">
        <v>0</v>
      </c>
      <c r="M484" s="33" t="n">
        <v>1</v>
      </c>
      <c r="N484" s="27" t="inlineStr">
        <is>
          <t>Yes</t>
        </is>
      </c>
      <c r="O484" s="29" t="n">
        <v>0</v>
      </c>
      <c r="P484" s="30" t="n">
        <v>450</v>
      </c>
      <c r="Q484" s="31" t="inlineStr">
        <is>
          <t>In Stock</t>
        </is>
      </c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5" customHeight="1" s="85">
      <c r="A485" s="27" t="inlineStr">
        <is>
          <t>HOL PEANUT CHIKKI JAR OMEGA 250</t>
        </is>
      </c>
      <c r="B485" s="27" t="n"/>
      <c r="C485" s="27" t="inlineStr">
        <is>
          <t>Snacks</t>
        </is>
      </c>
      <c r="D485" s="28" t="inlineStr">
        <is>
          <t>8906901276538</t>
        </is>
      </c>
      <c r="E485" s="27" t="n"/>
      <c r="F485" s="29" t="n">
        <v>0</v>
      </c>
      <c r="G485" s="29" t="n">
        <v>160</v>
      </c>
      <c r="H485" s="27" t="inlineStr">
        <is>
          <t>Inclusive</t>
        </is>
      </c>
      <c r="I485" s="29" t="n">
        <v>155</v>
      </c>
      <c r="J485" s="27" t="inlineStr">
        <is>
          <t>Inclusive</t>
        </is>
      </c>
      <c r="K485" s="29" t="n">
        <v>160</v>
      </c>
      <c r="L485" s="29" t="n">
        <v>3</v>
      </c>
      <c r="M485" s="33" t="n">
        <v>1</v>
      </c>
      <c r="N485" s="27" t="inlineStr">
        <is>
          <t>Yes</t>
        </is>
      </c>
      <c r="O485" s="29" t="n">
        <v>0</v>
      </c>
      <c r="P485" s="30" t="n">
        <v>450</v>
      </c>
      <c r="Q485" s="31" t="inlineStr">
        <is>
          <t>In Stock</t>
        </is>
      </c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5" customHeight="1" s="85">
      <c r="A486" s="27" t="inlineStr">
        <is>
          <t>HOL PEANUT CHIKKI JAR PUMKIN SEEDS</t>
        </is>
      </c>
      <c r="B486" s="27" t="n"/>
      <c r="C486" s="27" t="inlineStr">
        <is>
          <t>Snacks</t>
        </is>
      </c>
      <c r="D486" s="28" t="inlineStr">
        <is>
          <t>8904561453215</t>
        </is>
      </c>
      <c r="E486" s="27" t="n"/>
      <c r="F486" s="29" t="n">
        <v>0</v>
      </c>
      <c r="G486" s="29" t="n">
        <v>160</v>
      </c>
      <c r="H486" s="27" t="inlineStr">
        <is>
          <t>Inclusive</t>
        </is>
      </c>
      <c r="I486" s="29" t="n">
        <v>155</v>
      </c>
      <c r="J486" s="27" t="inlineStr">
        <is>
          <t>Inclusive</t>
        </is>
      </c>
      <c r="K486" s="29" t="n">
        <v>160</v>
      </c>
      <c r="L486" s="29" t="n">
        <v>1</v>
      </c>
      <c r="M486" s="33" t="n">
        <v>1</v>
      </c>
      <c r="N486" s="27" t="inlineStr">
        <is>
          <t>Yes</t>
        </is>
      </c>
      <c r="O486" s="29" t="n">
        <v>0</v>
      </c>
      <c r="P486" s="30" t="n">
        <v>450</v>
      </c>
      <c r="Q486" s="31" t="inlineStr">
        <is>
          <t>In Stock</t>
        </is>
      </c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5" customHeight="1" s="85">
      <c r="A487" s="27" t="inlineStr">
        <is>
          <t>HOL PEANUT ROASTED 150GM</t>
        </is>
      </c>
      <c r="B487" s="27" t="n"/>
      <c r="C487" s="27" t="inlineStr">
        <is>
          <t>Snacks</t>
        </is>
      </c>
      <c r="D487" s="28" t="inlineStr">
        <is>
          <t>665172603794</t>
        </is>
      </c>
      <c r="E487" s="27" t="n"/>
      <c r="F487" s="29" t="n">
        <v>0</v>
      </c>
      <c r="G487" s="29" t="n">
        <v>72</v>
      </c>
      <c r="H487" s="27" t="inlineStr">
        <is>
          <t>Exclusive</t>
        </is>
      </c>
      <c r="I487" s="29" t="n">
        <v>58</v>
      </c>
      <c r="J487" s="27" t="inlineStr">
        <is>
          <t>Exclusive</t>
        </is>
      </c>
      <c r="K487" s="29" t="n">
        <v>72</v>
      </c>
      <c r="L487" s="29" t="n">
        <v>0</v>
      </c>
      <c r="M487" s="33" t="n">
        <v>1</v>
      </c>
      <c r="N487" s="27" t="inlineStr">
        <is>
          <t>Yes</t>
        </is>
      </c>
      <c r="O487" s="29" t="n">
        <v>0</v>
      </c>
      <c r="P487" s="30" t="n">
        <v>450</v>
      </c>
      <c r="Q487" s="31" t="inlineStr">
        <is>
          <t>In Stock</t>
        </is>
      </c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5" customHeight="1" s="85">
      <c r="A488" s="27" t="inlineStr">
        <is>
          <t>HOL PRAWNS CHUTNEY 100GM</t>
        </is>
      </c>
      <c r="B488" s="27" t="n"/>
      <c r="C488" s="27" t="inlineStr">
        <is>
          <t>Ready to Eat &amp; Mixes</t>
        </is>
      </c>
      <c r="D488" s="28" t="inlineStr">
        <is>
          <t>9232201975820</t>
        </is>
      </c>
      <c r="E488" s="27" t="n"/>
      <c r="F488" s="29" t="n">
        <v>0</v>
      </c>
      <c r="G488" s="29" t="n">
        <v>120</v>
      </c>
      <c r="H488" s="27" t="inlineStr">
        <is>
          <t>Exclusive</t>
        </is>
      </c>
      <c r="I488" s="29" t="n">
        <v>90</v>
      </c>
      <c r="J488" s="27" t="inlineStr">
        <is>
          <t>Exclusive</t>
        </is>
      </c>
      <c r="K488" s="29" t="n">
        <v>120</v>
      </c>
      <c r="L488" s="29" t="n">
        <v>0</v>
      </c>
      <c r="M488" s="33" t="n">
        <v>1</v>
      </c>
      <c r="N488" s="27" t="inlineStr">
        <is>
          <t>Yes</t>
        </is>
      </c>
      <c r="O488" s="29" t="n">
        <v>0</v>
      </c>
      <c r="P488" s="30" t="n">
        <v>450</v>
      </c>
      <c r="Q488" s="31" t="inlineStr">
        <is>
          <t>In Stock</t>
        </is>
      </c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5" customHeight="1" s="85">
      <c r="A489" s="27" t="inlineStr">
        <is>
          <t>HOL RED HALWA</t>
        </is>
      </c>
      <c r="B489" s="27" t="n"/>
      <c r="C489" s="27" t="inlineStr">
        <is>
          <t>Snacks</t>
        </is>
      </c>
      <c r="D489" s="28" t="inlineStr">
        <is>
          <t>9234734687652</t>
        </is>
      </c>
      <c r="E489" s="27" t="n"/>
      <c r="F489" s="29" t="n">
        <v>0</v>
      </c>
      <c r="G489" s="29" t="n">
        <v>120</v>
      </c>
      <c r="H489" s="27" t="inlineStr">
        <is>
          <t>Exclusive</t>
        </is>
      </c>
      <c r="I489" s="29" t="n">
        <v>110</v>
      </c>
      <c r="J489" s="27" t="inlineStr">
        <is>
          <t>Exclusive</t>
        </is>
      </c>
      <c r="K489" s="29" t="n">
        <v>120</v>
      </c>
      <c r="L489" s="29" t="n">
        <v>0</v>
      </c>
      <c r="M489" s="33" t="n">
        <v>1</v>
      </c>
      <c r="N489" s="27" t="inlineStr">
        <is>
          <t>Yes</t>
        </is>
      </c>
      <c r="O489" s="29" t="n">
        <v>0</v>
      </c>
      <c r="P489" s="30" t="n">
        <v>450</v>
      </c>
      <c r="Q489" s="31" t="inlineStr">
        <is>
          <t>In Stock</t>
        </is>
      </c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5" customHeight="1" s="85">
      <c r="A490" s="27" t="inlineStr">
        <is>
          <t>HOL RIBBON PAKKAVADA</t>
        </is>
      </c>
      <c r="B490" s="27" t="n"/>
      <c r="C490" s="27" t="inlineStr">
        <is>
          <t>Snacks</t>
        </is>
      </c>
      <c r="D490" s="28" t="inlineStr">
        <is>
          <t>424883694855</t>
        </is>
      </c>
      <c r="E490" s="27" t="n"/>
      <c r="F490" s="29" t="n">
        <v>0</v>
      </c>
      <c r="G490" s="29" t="n">
        <v>62</v>
      </c>
      <c r="H490" s="27" t="inlineStr">
        <is>
          <t>Inclusive</t>
        </is>
      </c>
      <c r="I490" s="29" t="n">
        <v>50</v>
      </c>
      <c r="J490" s="27" t="inlineStr">
        <is>
          <t>Inclusive</t>
        </is>
      </c>
      <c r="K490" s="29" t="n">
        <v>62</v>
      </c>
      <c r="L490" s="29" t="n">
        <v>0</v>
      </c>
      <c r="M490" s="33" t="n">
        <v>1</v>
      </c>
      <c r="N490" s="27" t="inlineStr">
        <is>
          <t>Yes</t>
        </is>
      </c>
      <c r="O490" s="29" t="n">
        <v>0</v>
      </c>
      <c r="P490" s="30" t="n">
        <v>450</v>
      </c>
      <c r="Q490" s="31" t="inlineStr">
        <is>
          <t>In Stock</t>
        </is>
      </c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5" customHeight="1" s="85">
      <c r="A491" s="27" t="inlineStr">
        <is>
          <t>HOL SOUTH INDIAN MIXTURE SPICY</t>
        </is>
      </c>
      <c r="B491" s="27" t="n"/>
      <c r="C491" s="27" t="inlineStr">
        <is>
          <t>Snacks</t>
        </is>
      </c>
      <c r="D491" s="28" t="inlineStr">
        <is>
          <t>461542626391</t>
        </is>
      </c>
      <c r="E491" s="27" t="n"/>
      <c r="F491" s="29" t="n">
        <v>0</v>
      </c>
      <c r="G491" s="29" t="n">
        <v>75</v>
      </c>
      <c r="H491" s="27" t="inlineStr">
        <is>
          <t>Inclusive</t>
        </is>
      </c>
      <c r="I491" s="29" t="n">
        <v>60</v>
      </c>
      <c r="J491" s="27" t="inlineStr">
        <is>
          <t>Inclusive</t>
        </is>
      </c>
      <c r="K491" s="29" t="n">
        <v>75</v>
      </c>
      <c r="L491" s="29" t="n">
        <v>0</v>
      </c>
      <c r="M491" s="33" t="n">
        <v>1</v>
      </c>
      <c r="N491" s="27" t="inlineStr">
        <is>
          <t>Yes</t>
        </is>
      </c>
      <c r="O491" s="29" t="n">
        <v>0</v>
      </c>
      <c r="P491" s="30" t="n">
        <v>450</v>
      </c>
      <c r="Q491" s="31" t="inlineStr">
        <is>
          <t>In Stock</t>
        </is>
      </c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5" customHeight="1" s="85">
      <c r="A492" s="27" t="inlineStr">
        <is>
          <t>HOL THAEN MITAYI 105 GM</t>
        </is>
      </c>
      <c r="B492" s="27" t="n"/>
      <c r="C492" s="27" t="inlineStr">
        <is>
          <t>Snacks</t>
        </is>
      </c>
      <c r="D492" s="28" t="inlineStr">
        <is>
          <t>548946258122</t>
        </is>
      </c>
      <c r="E492" s="27" t="n"/>
      <c r="F492" s="29" t="n">
        <v>0</v>
      </c>
      <c r="G492" s="29" t="n">
        <v>37</v>
      </c>
      <c r="H492" s="27" t="inlineStr">
        <is>
          <t>Exclusive</t>
        </is>
      </c>
      <c r="I492" s="29" t="n">
        <v>29</v>
      </c>
      <c r="J492" s="27" t="inlineStr">
        <is>
          <t>Exclusive</t>
        </is>
      </c>
      <c r="K492" s="29" t="n">
        <v>37</v>
      </c>
      <c r="L492" s="29" t="n">
        <v>0</v>
      </c>
      <c r="M492" s="33" t="n">
        <v>1</v>
      </c>
      <c r="N492" s="27" t="inlineStr">
        <is>
          <t>Yes</t>
        </is>
      </c>
      <c r="O492" s="29" t="n">
        <v>0</v>
      </c>
      <c r="P492" s="30" t="n">
        <v>450</v>
      </c>
      <c r="Q492" s="31" t="inlineStr">
        <is>
          <t>In Stock</t>
        </is>
      </c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5" customHeight="1" s="85">
      <c r="A493" s="27" t="inlineStr">
        <is>
          <t>HOL VETTU CAKE 6PC</t>
        </is>
      </c>
      <c r="B493" s="27" t="n"/>
      <c r="C493" s="27" t="inlineStr">
        <is>
          <t>Snacks</t>
        </is>
      </c>
      <c r="D493" s="28" t="inlineStr">
        <is>
          <t>426685973379</t>
        </is>
      </c>
      <c r="E493" s="27" t="n"/>
      <c r="F493" s="29" t="n">
        <v>0</v>
      </c>
      <c r="G493" s="29" t="n">
        <v>75</v>
      </c>
      <c r="H493" s="27" t="inlineStr">
        <is>
          <t>Inclusive</t>
        </is>
      </c>
      <c r="I493" s="29" t="n">
        <v>68</v>
      </c>
      <c r="J493" s="27" t="inlineStr">
        <is>
          <t>Inclusive</t>
        </is>
      </c>
      <c r="K493" s="29" t="n">
        <v>75</v>
      </c>
      <c r="L493" s="29" t="n">
        <v>20</v>
      </c>
      <c r="M493" s="33" t="n">
        <v>1</v>
      </c>
      <c r="N493" s="27" t="inlineStr">
        <is>
          <t>Yes</t>
        </is>
      </c>
      <c r="O493" s="29" t="n">
        <v>0</v>
      </c>
      <c r="P493" s="30" t="n">
        <v>450</v>
      </c>
      <c r="Q493" s="31" t="inlineStr">
        <is>
          <t>In Stock</t>
        </is>
      </c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5" customHeight="1" s="85">
      <c r="A494" s="27" t="inlineStr">
        <is>
          <t>HOL WEAT BISCUIT</t>
        </is>
      </c>
      <c r="B494" s="27" t="n"/>
      <c r="C494" s="27" t="inlineStr">
        <is>
          <t>Snacks</t>
        </is>
      </c>
      <c r="D494" s="28" t="inlineStr">
        <is>
          <t>9298323762717</t>
        </is>
      </c>
      <c r="E494" s="27" t="n"/>
      <c r="F494" s="29" t="n">
        <v>0</v>
      </c>
      <c r="G494" s="29" t="n">
        <v>70</v>
      </c>
      <c r="H494" s="27" t="inlineStr">
        <is>
          <t>Inclusive</t>
        </is>
      </c>
      <c r="I494" s="29" t="n">
        <v>69</v>
      </c>
      <c r="J494" s="27" t="inlineStr">
        <is>
          <t>Inclusive</t>
        </is>
      </c>
      <c r="K494" s="29" t="n">
        <v>70</v>
      </c>
      <c r="L494" s="29" t="n">
        <v>0</v>
      </c>
      <c r="M494" s="33" t="n">
        <v>1</v>
      </c>
      <c r="N494" s="27" t="inlineStr">
        <is>
          <t>Yes</t>
        </is>
      </c>
      <c r="O494" s="29" t="n">
        <v>0</v>
      </c>
      <c r="P494" s="30" t="n">
        <v>450</v>
      </c>
      <c r="Q494" s="31" t="inlineStr">
        <is>
          <t>In Stock</t>
        </is>
      </c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5" customHeight="1" s="85">
      <c r="A495" s="27" t="inlineStr">
        <is>
          <t>ICECREAM STICK</t>
        </is>
      </c>
      <c r="B495" s="27" t="n"/>
      <c r="C495" s="27" t="inlineStr">
        <is>
          <t>Stationery</t>
        </is>
      </c>
      <c r="D495" s="32" t="inlineStr">
        <is>
          <t>100196</t>
        </is>
      </c>
      <c r="E495" s="27" t="n"/>
      <c r="F495" s="29" t="n">
        <v>0</v>
      </c>
      <c r="G495" s="29" t="n">
        <v>40</v>
      </c>
      <c r="H495" s="27" t="inlineStr">
        <is>
          <t>Exclusive</t>
        </is>
      </c>
      <c r="I495" s="29" t="n">
        <v>30</v>
      </c>
      <c r="J495" s="27" t="inlineStr">
        <is>
          <t>Exclusive</t>
        </is>
      </c>
      <c r="K495" s="29" t="n">
        <v>50</v>
      </c>
      <c r="L495" s="29" t="n">
        <v>9</v>
      </c>
      <c r="M495" s="33" t="n">
        <v>1</v>
      </c>
      <c r="N495" s="27" t="inlineStr">
        <is>
          <t>No</t>
        </is>
      </c>
      <c r="O495" s="29" t="n">
        <v>0</v>
      </c>
      <c r="P495" s="30" t="n">
        <v>450</v>
      </c>
      <c r="Q495" s="31" t="inlineStr">
        <is>
          <t>In Stock</t>
        </is>
      </c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5" customHeight="1" s="85">
      <c r="A496" s="27" t="inlineStr">
        <is>
          <t>IDAYAM NALLENNA 200ML</t>
        </is>
      </c>
      <c r="B496" s="27" t="n"/>
      <c r="C496" s="27" t="inlineStr">
        <is>
          <t>Edible Oils &amp; Ghee</t>
        </is>
      </c>
      <c r="D496" s="28" t="inlineStr">
        <is>
          <t>8904001800282</t>
        </is>
      </c>
      <c r="E496" s="27" t="n"/>
      <c r="F496" s="29" t="n">
        <v>0</v>
      </c>
      <c r="G496" s="29" t="n">
        <v>97</v>
      </c>
      <c r="H496" s="27" t="inlineStr">
        <is>
          <t>Inclusive</t>
        </is>
      </c>
      <c r="I496" s="29" t="n">
        <v>94</v>
      </c>
      <c r="J496" s="27" t="inlineStr">
        <is>
          <t>Inclusive</t>
        </is>
      </c>
      <c r="K496" s="29" t="n">
        <v>97</v>
      </c>
      <c r="L496" s="29" t="n">
        <v>0</v>
      </c>
      <c r="M496" s="33" t="n">
        <v>1</v>
      </c>
      <c r="N496" s="27" t="inlineStr">
        <is>
          <t>Yes</t>
        </is>
      </c>
      <c r="O496" s="29" t="n">
        <v>0</v>
      </c>
      <c r="P496" s="30" t="n">
        <v>450</v>
      </c>
      <c r="Q496" s="31" t="inlineStr">
        <is>
          <t>In Stock</t>
        </is>
      </c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5" customHeight="1" s="85">
      <c r="A497" s="27" t="inlineStr">
        <is>
          <t>IDAYAM NALLENNA BOTTLE 1LTR</t>
        </is>
      </c>
      <c r="B497" s="27" t="n"/>
      <c r="C497" s="27" t="inlineStr">
        <is>
          <t>Edible Oils &amp; Ghee</t>
        </is>
      </c>
      <c r="D497" s="28" t="inlineStr">
        <is>
          <t>8904001800237</t>
        </is>
      </c>
      <c r="E497" s="27" t="n"/>
      <c r="F497" s="29" t="n">
        <v>0</v>
      </c>
      <c r="G497" s="29" t="n">
        <v>459</v>
      </c>
      <c r="H497" s="27" t="inlineStr">
        <is>
          <t>Exclusive</t>
        </is>
      </c>
      <c r="I497" s="29" t="n">
        <v>457</v>
      </c>
      <c r="J497" s="27" t="inlineStr">
        <is>
          <t>Exclusive</t>
        </is>
      </c>
      <c r="K497" s="29" t="n">
        <v>495</v>
      </c>
      <c r="L497" s="29" t="n">
        <v>0</v>
      </c>
      <c r="M497" s="33" t="n">
        <v>1</v>
      </c>
      <c r="N497" s="27" t="inlineStr">
        <is>
          <t>Yes</t>
        </is>
      </c>
      <c r="O497" s="29" t="n">
        <v>0</v>
      </c>
      <c r="P497" s="30" t="n">
        <v>450</v>
      </c>
      <c r="Q497" s="31" t="inlineStr">
        <is>
          <t>In Stock</t>
        </is>
      </c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5" customHeight="1" s="85">
      <c r="A498" s="27" t="inlineStr">
        <is>
          <t>IDAYAM NALLENNA BOTTLE 500GM</t>
        </is>
      </c>
      <c r="B498" s="27" t="n"/>
      <c r="C498" s="27" t="inlineStr">
        <is>
          <t>Edible Oils &amp; Ghee</t>
        </is>
      </c>
      <c r="D498" s="28" t="inlineStr">
        <is>
          <t>8904001800268</t>
        </is>
      </c>
      <c r="E498" s="27" t="n"/>
      <c r="F498" s="29" t="n">
        <v>0</v>
      </c>
      <c r="G498" s="29" t="n">
        <v>243</v>
      </c>
      <c r="H498" s="27" t="inlineStr">
        <is>
          <t>Inclusive</t>
        </is>
      </c>
      <c r="I498" s="29" t="n">
        <v>230</v>
      </c>
      <c r="J498" s="27" t="inlineStr">
        <is>
          <t>Inclusive</t>
        </is>
      </c>
      <c r="K498" s="29" t="n">
        <v>241</v>
      </c>
      <c r="L498" s="29" t="n">
        <v>0</v>
      </c>
      <c r="M498" s="33" t="n">
        <v>1</v>
      </c>
      <c r="N498" s="27" t="inlineStr">
        <is>
          <t>Yes</t>
        </is>
      </c>
      <c r="O498" s="29" t="n">
        <v>0</v>
      </c>
      <c r="P498" s="30" t="n">
        <v>450</v>
      </c>
      <c r="Q498" s="31" t="inlineStr">
        <is>
          <t>In Stock</t>
        </is>
      </c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5" customHeight="1" s="85">
      <c r="A499" s="27" t="inlineStr">
        <is>
          <t>IDAYAM NALLENNA PAUCH 500GM</t>
        </is>
      </c>
      <c r="B499" s="27" t="n"/>
      <c r="C499" s="27" t="inlineStr">
        <is>
          <t>Edible Oils &amp; Ghee</t>
        </is>
      </c>
      <c r="D499" s="28" t="inlineStr">
        <is>
          <t>8904001800275</t>
        </is>
      </c>
      <c r="E499" s="27" t="n"/>
      <c r="F499" s="29" t="n">
        <v>0</v>
      </c>
      <c r="G499" s="29" t="n">
        <v>247</v>
      </c>
      <c r="H499" s="27" t="inlineStr">
        <is>
          <t>Exclusive</t>
        </is>
      </c>
      <c r="I499" s="29" t="n">
        <v>230</v>
      </c>
      <c r="J499" s="27" t="inlineStr">
        <is>
          <t>Exclusive</t>
        </is>
      </c>
      <c r="K499" s="29" t="n">
        <v>247</v>
      </c>
      <c r="L499" s="29" t="n">
        <v>0</v>
      </c>
      <c r="M499" s="33" t="n">
        <v>1</v>
      </c>
      <c r="N499" s="27" t="inlineStr">
        <is>
          <t>Yes</t>
        </is>
      </c>
      <c r="O499" s="29" t="n">
        <v>0</v>
      </c>
      <c r="P499" s="30" t="n">
        <v>450</v>
      </c>
      <c r="Q499" s="31" t="inlineStr">
        <is>
          <t>In Stock</t>
        </is>
      </c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5" customHeight="1" s="85">
      <c r="A500" s="27" t="inlineStr">
        <is>
          <t>IDAYAM NALLENNA POUCH 1LTR</t>
        </is>
      </c>
      <c r="B500" s="27" t="n"/>
      <c r="C500" s="27" t="inlineStr">
        <is>
          <t>Edible Oils &amp; Ghee</t>
        </is>
      </c>
      <c r="D500" s="28" t="inlineStr">
        <is>
          <t>8904001800244</t>
        </is>
      </c>
      <c r="E500" s="27" t="n"/>
      <c r="F500" s="29" t="n">
        <v>0</v>
      </c>
      <c r="G500" s="29" t="n">
        <v>477</v>
      </c>
      <c r="H500" s="27" t="inlineStr">
        <is>
          <t>Exclusive</t>
        </is>
      </c>
      <c r="I500" s="29" t="n">
        <v>455</v>
      </c>
      <c r="J500" s="27" t="inlineStr">
        <is>
          <t>Exclusive</t>
        </is>
      </c>
      <c r="K500" s="29" t="n">
        <v>477</v>
      </c>
      <c r="L500" s="29" t="n">
        <v>0</v>
      </c>
      <c r="M500" s="33" t="n">
        <v>1</v>
      </c>
      <c r="N500" s="27" t="inlineStr">
        <is>
          <t>Yes</t>
        </is>
      </c>
      <c r="O500" s="29" t="n">
        <v>0</v>
      </c>
      <c r="P500" s="30" t="n">
        <v>450</v>
      </c>
      <c r="Q500" s="31" t="inlineStr">
        <is>
          <t>In Stock</t>
        </is>
      </c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5" customHeight="1" s="85">
      <c r="A501" s="27" t="inlineStr">
        <is>
          <t>IDLI COOKER 2X4</t>
        </is>
      </c>
      <c r="B501" s="27" t="n"/>
      <c r="C501" s="27" t="inlineStr">
        <is>
          <t>Kitchen Utensils</t>
        </is>
      </c>
      <c r="D501" s="28" t="inlineStr">
        <is>
          <t>510527639507</t>
        </is>
      </c>
      <c r="E501" s="27" t="n"/>
      <c r="F501" s="29" t="n">
        <v>0</v>
      </c>
      <c r="G501" s="29" t="n">
        <v>620</v>
      </c>
      <c r="H501" s="27" t="inlineStr">
        <is>
          <t>Exclusive</t>
        </is>
      </c>
      <c r="I501" s="29" t="n">
        <v>480</v>
      </c>
      <c r="J501" s="27" t="inlineStr">
        <is>
          <t>Exclusive</t>
        </is>
      </c>
      <c r="K501" s="29" t="n">
        <v>760</v>
      </c>
      <c r="L501" s="29" t="n">
        <v>0</v>
      </c>
      <c r="M501" s="33" t="n">
        <v>1</v>
      </c>
      <c r="N501" s="27" t="inlineStr">
        <is>
          <t>Yes</t>
        </is>
      </c>
      <c r="O501" s="29" t="n">
        <v>0</v>
      </c>
      <c r="P501" s="30" t="n">
        <v>450</v>
      </c>
      <c r="Q501" s="31" t="inlineStr">
        <is>
          <t>In Stock</t>
        </is>
      </c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5" customHeight="1" s="85">
      <c r="A502" s="27" t="inlineStr">
        <is>
          <t>IDLI COOKER 4 X3 12 ILDILS</t>
        </is>
      </c>
      <c r="B502" s="27" t="n"/>
      <c r="C502" s="27" t="inlineStr">
        <is>
          <t>Kitchen Utensils</t>
        </is>
      </c>
      <c r="D502" s="28" t="inlineStr">
        <is>
          <t>942690235836</t>
        </is>
      </c>
      <c r="E502" s="27" t="n"/>
      <c r="F502" s="29" t="n">
        <v>0</v>
      </c>
      <c r="G502" s="29" t="n">
        <v>850</v>
      </c>
      <c r="H502" s="27" t="inlineStr">
        <is>
          <t>Exclusive</t>
        </is>
      </c>
      <c r="I502" s="29" t="n">
        <v>750</v>
      </c>
      <c r="J502" s="27" t="inlineStr">
        <is>
          <t>Exclusive</t>
        </is>
      </c>
      <c r="K502" s="29" t="n">
        <v>975</v>
      </c>
      <c r="L502" s="29" t="n">
        <v>0</v>
      </c>
      <c r="M502" s="27" t="n"/>
      <c r="N502" s="27" t="inlineStr">
        <is>
          <t>Yes</t>
        </is>
      </c>
      <c r="O502" s="29" t="n">
        <v>0</v>
      </c>
      <c r="P502" s="30" t="n">
        <v>450</v>
      </c>
      <c r="Q502" s="31" t="inlineStr">
        <is>
          <t>In Stock</t>
        </is>
      </c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5" customHeight="1" s="85">
      <c r="A503" s="27" t="inlineStr">
        <is>
          <t>IDLI COOKER 6X4</t>
        </is>
      </c>
      <c r="B503" s="27" t="n"/>
      <c r="C503" s="27" t="inlineStr">
        <is>
          <t>Kitchen Utensils</t>
        </is>
      </c>
      <c r="D503" s="28" t="inlineStr">
        <is>
          <t>310994799259</t>
        </is>
      </c>
      <c r="E503" s="27" t="n"/>
      <c r="F503" s="29" t="n">
        <v>0</v>
      </c>
      <c r="G503" s="29" t="n">
        <v>1040</v>
      </c>
      <c r="H503" s="27" t="inlineStr">
        <is>
          <t>Exclusive</t>
        </is>
      </c>
      <c r="I503" s="29" t="n">
        <v>850</v>
      </c>
      <c r="J503" s="27" t="inlineStr">
        <is>
          <t>Exclusive</t>
        </is>
      </c>
      <c r="K503" s="29" t="n">
        <v>1390</v>
      </c>
      <c r="L503" s="29" t="n">
        <v>1</v>
      </c>
      <c r="M503" s="33" t="n">
        <v>1</v>
      </c>
      <c r="N503" s="27" t="inlineStr">
        <is>
          <t>Yes</t>
        </is>
      </c>
      <c r="O503" s="29" t="n">
        <v>0</v>
      </c>
      <c r="P503" s="30" t="n">
        <v>450</v>
      </c>
      <c r="Q503" s="31" t="inlineStr">
        <is>
          <t>In Stock</t>
        </is>
      </c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5" customHeight="1" s="85">
      <c r="A504" s="27" t="inlineStr">
        <is>
          <t>IDLI DOSA RICE 1 KG</t>
        </is>
      </c>
      <c r="B504" s="27" t="n"/>
      <c r="C504" s="27" t="inlineStr">
        <is>
          <t>Rice Items</t>
        </is>
      </c>
      <c r="D504" s="28" t="inlineStr">
        <is>
          <t>979307783061</t>
        </is>
      </c>
      <c r="E504" s="27" t="n"/>
      <c r="F504" s="29" t="n">
        <v>0</v>
      </c>
      <c r="G504" s="29" t="n">
        <v>38</v>
      </c>
      <c r="H504" s="27" t="inlineStr">
        <is>
          <t>Inclusive</t>
        </is>
      </c>
      <c r="I504" s="29" t="n">
        <v>25</v>
      </c>
      <c r="J504" s="27" t="inlineStr">
        <is>
          <t>Inclusive</t>
        </is>
      </c>
      <c r="K504" s="29" t="n">
        <v>40</v>
      </c>
      <c r="L504" s="29" t="n">
        <v>0</v>
      </c>
      <c r="M504" s="33" t="n">
        <v>1</v>
      </c>
      <c r="N504" s="27" t="inlineStr">
        <is>
          <t>Yes</t>
        </is>
      </c>
      <c r="O504" s="29" t="n">
        <v>0</v>
      </c>
      <c r="P504" s="30" t="n">
        <v>450</v>
      </c>
      <c r="Q504" s="31" t="inlineStr">
        <is>
          <t>In Stock</t>
        </is>
      </c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5" customHeight="1" s="85">
      <c r="A505" s="27" t="inlineStr">
        <is>
          <t>IDLI DOSA RICE 2KG</t>
        </is>
      </c>
      <c r="B505" s="27" t="n"/>
      <c r="C505" s="27" t="inlineStr">
        <is>
          <t>Rice Items</t>
        </is>
      </c>
      <c r="D505" s="28" t="inlineStr">
        <is>
          <t>630955652297</t>
        </is>
      </c>
      <c r="E505" s="27" t="n"/>
      <c r="F505" s="29" t="n">
        <v>0</v>
      </c>
      <c r="G505" s="29" t="n">
        <v>75</v>
      </c>
      <c r="H505" s="27" t="inlineStr">
        <is>
          <t>Inclusive</t>
        </is>
      </c>
      <c r="I505" s="29" t="n">
        <v>60</v>
      </c>
      <c r="J505" s="27" t="inlineStr">
        <is>
          <t>Inclusive</t>
        </is>
      </c>
      <c r="K505" s="29" t="n">
        <v>80</v>
      </c>
      <c r="L505" s="29" t="n">
        <v>0</v>
      </c>
      <c r="M505" s="33" t="n">
        <v>1</v>
      </c>
      <c r="N505" s="27" t="inlineStr">
        <is>
          <t>Yes</t>
        </is>
      </c>
      <c r="O505" s="29" t="n">
        <v>0</v>
      </c>
      <c r="P505" s="30" t="n">
        <v>450</v>
      </c>
      <c r="Q505" s="31" t="inlineStr">
        <is>
          <t>In Stock</t>
        </is>
      </c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5" customHeight="1" s="85">
      <c r="A506" s="27" t="inlineStr">
        <is>
          <t>IDLI MAKER STEEL (13PC)</t>
        </is>
      </c>
      <c r="B506" s="27" t="n"/>
      <c r="C506" s="27" t="inlineStr">
        <is>
          <t>Kitchen Utensils</t>
        </is>
      </c>
      <c r="D506" s="32" t="inlineStr">
        <is>
          <t>100199</t>
        </is>
      </c>
      <c r="E506" s="27" t="n"/>
      <c r="F506" s="29" t="n">
        <v>0</v>
      </c>
      <c r="G506" s="29" t="n">
        <v>890</v>
      </c>
      <c r="H506" s="27" t="inlineStr">
        <is>
          <t>Exclusive</t>
        </is>
      </c>
      <c r="I506" s="29" t="n">
        <v>720</v>
      </c>
      <c r="J506" s="27" t="inlineStr">
        <is>
          <t>Exclusive</t>
        </is>
      </c>
      <c r="K506" s="29" t="n">
        <v>930</v>
      </c>
      <c r="L506" s="29" t="n">
        <v>0</v>
      </c>
      <c r="M506" s="33" t="n">
        <v>1</v>
      </c>
      <c r="N506" s="27" t="inlineStr">
        <is>
          <t>Yes</t>
        </is>
      </c>
      <c r="O506" s="29" t="n">
        <v>0</v>
      </c>
      <c r="P506" s="30" t="n">
        <v>450</v>
      </c>
      <c r="Q506" s="31" t="inlineStr">
        <is>
          <t>In Stock</t>
        </is>
      </c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5" customHeight="1" s="85">
      <c r="A507" s="27" t="inlineStr">
        <is>
          <t>IDLI PLATE</t>
        </is>
      </c>
      <c r="B507" s="27" t="n"/>
      <c r="C507" s="27" t="inlineStr">
        <is>
          <t>Kitchen Utensils</t>
        </is>
      </c>
      <c r="D507" s="28" t="inlineStr">
        <is>
          <t>811678750021</t>
        </is>
      </c>
      <c r="E507" s="27" t="n"/>
      <c r="F507" s="29" t="n">
        <v>0</v>
      </c>
      <c r="G507" s="29" t="n">
        <v>870</v>
      </c>
      <c r="H507" s="27" t="inlineStr">
        <is>
          <t>Exclusive</t>
        </is>
      </c>
      <c r="I507" s="29" t="n">
        <v>770</v>
      </c>
      <c r="J507" s="27" t="inlineStr">
        <is>
          <t>Exclusive</t>
        </is>
      </c>
      <c r="K507" s="29" t="n">
        <v>890</v>
      </c>
      <c r="L507" s="29" t="n">
        <v>0</v>
      </c>
      <c r="M507" s="33" t="n">
        <v>1</v>
      </c>
      <c r="N507" s="27" t="inlineStr">
        <is>
          <t>Yes</t>
        </is>
      </c>
      <c r="O507" s="29" t="n">
        <v>0</v>
      </c>
      <c r="P507" s="30" t="n">
        <v>450</v>
      </c>
      <c r="Q507" s="31" t="inlineStr">
        <is>
          <t>In Stock</t>
        </is>
      </c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5" customHeight="1" s="85">
      <c r="A508" s="27" t="inlineStr">
        <is>
          <t>IDLI PLATE 3</t>
        </is>
      </c>
      <c r="B508" s="27" t="n"/>
      <c r="C508" s="27" t="inlineStr">
        <is>
          <t>Kitchen Utensils</t>
        </is>
      </c>
      <c r="D508" s="28" t="inlineStr">
        <is>
          <t>102636950760</t>
        </is>
      </c>
      <c r="E508" s="27" t="n"/>
      <c r="F508" s="29" t="n">
        <v>0</v>
      </c>
      <c r="G508" s="29" t="n">
        <v>190</v>
      </c>
      <c r="H508" s="27" t="inlineStr">
        <is>
          <t>Exclusive</t>
        </is>
      </c>
      <c r="I508" s="29" t="n">
        <v>130</v>
      </c>
      <c r="J508" s="27" t="inlineStr">
        <is>
          <t>Exclusive</t>
        </is>
      </c>
      <c r="K508" s="29" t="n">
        <v>210</v>
      </c>
      <c r="L508" s="29" t="n">
        <v>1</v>
      </c>
      <c r="M508" s="33" t="n">
        <v>1</v>
      </c>
      <c r="N508" s="27" t="inlineStr">
        <is>
          <t>Yes</t>
        </is>
      </c>
      <c r="O508" s="29" t="n">
        <v>0</v>
      </c>
      <c r="P508" s="30" t="n">
        <v>450</v>
      </c>
      <c r="Q508" s="31" t="inlineStr">
        <is>
          <t>In Stock</t>
        </is>
      </c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5" customHeight="1" s="85">
      <c r="A509" s="27" t="inlineStr">
        <is>
          <t>IDLI PLATE 4</t>
        </is>
      </c>
      <c r="B509" s="27" t="n"/>
      <c r="C509" s="27" t="inlineStr">
        <is>
          <t>Kitchen Utensils</t>
        </is>
      </c>
      <c r="D509" s="28" t="inlineStr">
        <is>
          <t>122524835994</t>
        </is>
      </c>
      <c r="E509" s="27" t="n"/>
      <c r="F509" s="29" t="n">
        <v>0</v>
      </c>
      <c r="G509" s="29" t="n">
        <v>220</v>
      </c>
      <c r="H509" s="27" t="inlineStr">
        <is>
          <t>Exclusive</t>
        </is>
      </c>
      <c r="I509" s="29" t="n">
        <v>150</v>
      </c>
      <c r="J509" s="27" t="inlineStr">
        <is>
          <t>Exclusive</t>
        </is>
      </c>
      <c r="K509" s="29" t="n">
        <v>275</v>
      </c>
      <c r="L509" s="29" t="n">
        <v>0</v>
      </c>
      <c r="M509" s="33" t="n">
        <v>1</v>
      </c>
      <c r="N509" s="27" t="inlineStr">
        <is>
          <t>Yes</t>
        </is>
      </c>
      <c r="O509" s="29" t="n">
        <v>0</v>
      </c>
      <c r="P509" s="30" t="n">
        <v>450</v>
      </c>
      <c r="Q509" s="31" t="inlineStr">
        <is>
          <t>In Stock</t>
        </is>
      </c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5" customHeight="1" s="85">
      <c r="A510" s="27" t="inlineStr">
        <is>
          <t>INDEX BIBLE LOW</t>
        </is>
      </c>
      <c r="B510" s="27" t="n"/>
      <c r="C510" s="27" t="inlineStr">
        <is>
          <t>Books &amp; Bibles</t>
        </is>
      </c>
      <c r="D510" s="32" t="inlineStr">
        <is>
          <t>100200</t>
        </is>
      </c>
      <c r="E510" s="27" t="n"/>
      <c r="F510" s="29" t="n">
        <v>0</v>
      </c>
      <c r="G510" s="29" t="n">
        <v>700</v>
      </c>
      <c r="H510" s="27" t="inlineStr">
        <is>
          <t>Exclusive</t>
        </is>
      </c>
      <c r="I510" s="29" t="n">
        <v>400</v>
      </c>
      <c r="J510" s="27" t="inlineStr">
        <is>
          <t>Exclusive</t>
        </is>
      </c>
      <c r="K510" s="29" t="n">
        <v>0</v>
      </c>
      <c r="L510" s="29" t="n">
        <v>0</v>
      </c>
      <c r="M510" s="33" t="n">
        <v>1</v>
      </c>
      <c r="N510" s="27" t="inlineStr">
        <is>
          <t>Yes</t>
        </is>
      </c>
      <c r="O510" s="29" t="n">
        <v>0</v>
      </c>
      <c r="P510" s="30" t="n">
        <v>450</v>
      </c>
      <c r="Q510" s="31" t="inlineStr">
        <is>
          <t>In Stock</t>
        </is>
      </c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5" customHeight="1" s="85">
      <c r="A511" s="27" t="inlineStr">
        <is>
          <t>INDUPP 1KG</t>
        </is>
      </c>
      <c r="B511" s="27" t="n"/>
      <c r="C511" s="27" t="inlineStr">
        <is>
          <t>Ready to Eat &amp; Mixes</t>
        </is>
      </c>
      <c r="D511" s="32" t="inlineStr">
        <is>
          <t>100201</t>
        </is>
      </c>
      <c r="E511" s="27" t="n"/>
      <c r="F511" s="29" t="n">
        <v>0</v>
      </c>
      <c r="G511" s="29" t="n">
        <v>80</v>
      </c>
      <c r="H511" s="27" t="inlineStr">
        <is>
          <t>Exclusive</t>
        </is>
      </c>
      <c r="I511" s="29" t="n">
        <v>40</v>
      </c>
      <c r="J511" s="27" t="inlineStr">
        <is>
          <t>Exclusive</t>
        </is>
      </c>
      <c r="K511" s="29" t="n">
        <v>90</v>
      </c>
      <c r="L511" s="29" t="n">
        <v>0</v>
      </c>
      <c r="M511" s="27" t="n"/>
      <c r="N511" s="27" t="inlineStr">
        <is>
          <t>Yes</t>
        </is>
      </c>
      <c r="O511" s="29" t="n">
        <v>0</v>
      </c>
      <c r="P511" s="30" t="n">
        <v>450</v>
      </c>
      <c r="Q511" s="31" t="inlineStr">
        <is>
          <t>In Stock</t>
        </is>
      </c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5" customHeight="1" s="85">
      <c r="A512" s="27" t="inlineStr">
        <is>
          <t>INDUPP 500GM</t>
        </is>
      </c>
      <c r="B512" s="27" t="n"/>
      <c r="C512" s="27" t="inlineStr">
        <is>
          <t>Ready to Eat &amp; Mixes</t>
        </is>
      </c>
      <c r="D512" s="28" t="inlineStr">
        <is>
          <t>968827610443</t>
        </is>
      </c>
      <c r="E512" s="27" t="n"/>
      <c r="F512" s="29" t="n">
        <v>0</v>
      </c>
      <c r="G512" s="29" t="n">
        <v>45</v>
      </c>
      <c r="H512" s="27" t="inlineStr">
        <is>
          <t>Exclusive</t>
        </is>
      </c>
      <c r="I512" s="29" t="n">
        <v>20</v>
      </c>
      <c r="J512" s="27" t="inlineStr">
        <is>
          <t>Exclusive</t>
        </is>
      </c>
      <c r="K512" s="29" t="n">
        <v>50</v>
      </c>
      <c r="L512" s="29" t="n">
        <v>0</v>
      </c>
      <c r="M512" s="27" t="n"/>
      <c r="N512" s="27" t="inlineStr">
        <is>
          <t>Yes</t>
        </is>
      </c>
      <c r="O512" s="29" t="n">
        <v>0</v>
      </c>
      <c r="P512" s="30" t="n">
        <v>450</v>
      </c>
      <c r="Q512" s="31" t="inlineStr">
        <is>
          <t>In Stock</t>
        </is>
      </c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5" customHeight="1" s="85">
      <c r="A513" s="27" t="inlineStr">
        <is>
          <t>INJIL E MUKDAS</t>
        </is>
      </c>
      <c r="B513" s="27" t="n"/>
      <c r="C513" s="27" t="inlineStr">
        <is>
          <t>Books &amp; Bibles</t>
        </is>
      </c>
      <c r="D513" s="28" t="inlineStr">
        <is>
          <t>636063732842</t>
        </is>
      </c>
      <c r="E513" s="27" t="n"/>
      <c r="F513" s="29" t="n">
        <v>0</v>
      </c>
      <c r="G513" s="29" t="n">
        <v>80</v>
      </c>
      <c r="H513" s="27" t="inlineStr">
        <is>
          <t>Exclusive</t>
        </is>
      </c>
      <c r="I513" s="29" t="n">
        <v>30</v>
      </c>
      <c r="J513" s="27" t="inlineStr">
        <is>
          <t>Exclusive</t>
        </is>
      </c>
      <c r="K513" s="29" t="n">
        <v>150</v>
      </c>
      <c r="L513" s="29" t="n">
        <v>0</v>
      </c>
      <c r="M513" s="27" t="n"/>
      <c r="N513" s="27" t="inlineStr">
        <is>
          <t>Yes</t>
        </is>
      </c>
      <c r="O513" s="29" t="n">
        <v>0</v>
      </c>
      <c r="P513" s="30" t="n">
        <v>450</v>
      </c>
      <c r="Q513" s="31" t="inlineStr">
        <is>
          <t>In Stock</t>
        </is>
      </c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5" customHeight="1" s="85">
      <c r="A514" s="27" t="inlineStr">
        <is>
          <t>INK BOTTLES</t>
        </is>
      </c>
      <c r="B514" s="27" t="n"/>
      <c r="C514" s="27" t="inlineStr">
        <is>
          <t>Stationery</t>
        </is>
      </c>
      <c r="D514" s="32" t="inlineStr">
        <is>
          <t>100202</t>
        </is>
      </c>
      <c r="E514" s="27" t="n"/>
      <c r="F514" s="29" t="n">
        <v>0</v>
      </c>
      <c r="G514" s="29" t="n">
        <v>100</v>
      </c>
      <c r="H514" s="27" t="inlineStr">
        <is>
          <t>Inclusive</t>
        </is>
      </c>
      <c r="I514" s="29" t="n">
        <v>55</v>
      </c>
      <c r="J514" s="27" t="inlineStr">
        <is>
          <t>Inclusive</t>
        </is>
      </c>
      <c r="K514" s="29" t="n">
        <v>120</v>
      </c>
      <c r="L514" s="29" t="n">
        <v>53</v>
      </c>
      <c r="M514" s="33" t="n">
        <v>1</v>
      </c>
      <c r="N514" s="27" t="inlineStr">
        <is>
          <t>No</t>
        </is>
      </c>
      <c r="O514" s="29" t="n">
        <v>0</v>
      </c>
      <c r="P514" s="30" t="n">
        <v>450</v>
      </c>
      <c r="Q514" s="31" t="inlineStr">
        <is>
          <t>In Stock</t>
        </is>
      </c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5" customHeight="1" s="85">
      <c r="A515" s="27" t="inlineStr">
        <is>
          <t>INTERNET SHARING</t>
        </is>
      </c>
      <c r="B515" s="27" t="n"/>
      <c r="C515" s="27" t="inlineStr">
        <is>
          <t>Household &amp; Cleaning</t>
        </is>
      </c>
      <c r="D515" s="32" t="inlineStr">
        <is>
          <t>100203</t>
        </is>
      </c>
      <c r="E515" s="27" t="n"/>
      <c r="F515" s="29" t="n">
        <v>0</v>
      </c>
      <c r="G515" s="29" t="n">
        <v>300</v>
      </c>
      <c r="H515" s="27" t="inlineStr">
        <is>
          <t>Exclusive</t>
        </is>
      </c>
      <c r="I515" s="29" t="n">
        <v>250</v>
      </c>
      <c r="J515" s="27" t="inlineStr">
        <is>
          <t>Exclusive</t>
        </is>
      </c>
      <c r="K515" s="29" t="n">
        <v>600</v>
      </c>
      <c r="L515" s="29" t="n">
        <v>0</v>
      </c>
      <c r="M515" s="33" t="n">
        <v>1</v>
      </c>
      <c r="N515" s="27" t="inlineStr">
        <is>
          <t>Yes</t>
        </is>
      </c>
      <c r="O515" s="29" t="n">
        <v>0</v>
      </c>
      <c r="P515" s="30" t="n">
        <v>450</v>
      </c>
      <c r="Q515" s="31" t="inlineStr">
        <is>
          <t>In Stock</t>
        </is>
      </c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5" customHeight="1" s="85">
      <c r="A516" s="27" t="inlineStr">
        <is>
          <t>INVERTER, BATTERY AND STAND</t>
        </is>
      </c>
      <c r="B516" s="27" t="n"/>
      <c r="C516" s="27" t="inlineStr">
        <is>
          <t>Fixed Assets</t>
        </is>
      </c>
      <c r="D516" s="32" t="inlineStr">
        <is>
          <t>100204</t>
        </is>
      </c>
      <c r="E516" s="27" t="n"/>
      <c r="F516" s="29" t="n">
        <v>0</v>
      </c>
      <c r="G516" s="29" t="n">
        <v>15550</v>
      </c>
      <c r="H516" s="27" t="inlineStr">
        <is>
          <t>Exclusive</t>
        </is>
      </c>
      <c r="I516" s="29" t="n">
        <v>15550</v>
      </c>
      <c r="J516" s="27" t="inlineStr">
        <is>
          <t>Exclusive</t>
        </is>
      </c>
      <c r="K516" s="29" t="n">
        <v>15550</v>
      </c>
      <c r="L516" s="29" t="n">
        <v>1</v>
      </c>
      <c r="M516" s="33" t="n">
        <v>1</v>
      </c>
      <c r="N516" s="27" t="inlineStr">
        <is>
          <t>No</t>
        </is>
      </c>
      <c r="O516" s="29" t="n">
        <v>0</v>
      </c>
      <c r="P516" s="30" t="n">
        <v>450</v>
      </c>
      <c r="Q516" s="31" t="inlineStr">
        <is>
          <t>In Stock</t>
        </is>
      </c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5" customHeight="1" s="85">
      <c r="A517" s="27" t="inlineStr">
        <is>
          <t>JACKFRUIT HALWA 300GM</t>
        </is>
      </c>
      <c r="B517" s="27" t="n"/>
      <c r="C517" s="27" t="inlineStr">
        <is>
          <t>Snacks</t>
        </is>
      </c>
      <c r="D517" s="32" t="inlineStr">
        <is>
          <t>100205</t>
        </is>
      </c>
      <c r="E517" s="27" t="n"/>
      <c r="F517" s="29" t="n">
        <v>0</v>
      </c>
      <c r="G517" s="29" t="n">
        <v>190</v>
      </c>
      <c r="H517" s="27" t="inlineStr">
        <is>
          <t>Exclusive</t>
        </is>
      </c>
      <c r="I517" s="29" t="n">
        <v>140</v>
      </c>
      <c r="J517" s="27" t="inlineStr">
        <is>
          <t>Exclusive</t>
        </is>
      </c>
      <c r="K517" s="29" t="n">
        <v>190</v>
      </c>
      <c r="L517" s="29" t="n">
        <v>0</v>
      </c>
      <c r="M517" s="33" t="n">
        <v>1</v>
      </c>
      <c r="N517" s="27" t="inlineStr">
        <is>
          <t>Yes</t>
        </is>
      </c>
      <c r="O517" s="29" t="n">
        <v>0</v>
      </c>
      <c r="P517" s="30" t="n">
        <v>450</v>
      </c>
      <c r="Q517" s="31" t="inlineStr">
        <is>
          <t>In Stock</t>
        </is>
      </c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5" customHeight="1" s="85">
      <c r="A518" s="27" t="inlineStr">
        <is>
          <t>JAGGERY KHAJURIYA 250GM</t>
        </is>
      </c>
      <c r="B518" s="27" t="n"/>
      <c r="C518" s="27" t="inlineStr">
        <is>
          <t>Ready to Eat &amp; Mixes</t>
        </is>
      </c>
      <c r="D518" s="28" t="inlineStr">
        <is>
          <t>270614140302</t>
        </is>
      </c>
      <c r="E518" s="27" t="n"/>
      <c r="F518" s="29" t="n">
        <v>0</v>
      </c>
      <c r="G518" s="29" t="n">
        <v>55</v>
      </c>
      <c r="H518" s="27" t="inlineStr">
        <is>
          <t>Exclusive</t>
        </is>
      </c>
      <c r="I518" s="29" t="n">
        <v>45</v>
      </c>
      <c r="J518" s="27" t="inlineStr">
        <is>
          <t>Exclusive</t>
        </is>
      </c>
      <c r="K518" s="29" t="n">
        <v>55</v>
      </c>
      <c r="L518" s="29" t="n">
        <v>0</v>
      </c>
      <c r="M518" s="33" t="n">
        <v>1</v>
      </c>
      <c r="N518" s="27" t="inlineStr">
        <is>
          <t>Yes</t>
        </is>
      </c>
      <c r="O518" s="29" t="n">
        <v>0</v>
      </c>
      <c r="P518" s="30" t="n">
        <v>450</v>
      </c>
      <c r="Q518" s="31" t="inlineStr">
        <is>
          <t>In Stock</t>
        </is>
      </c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5" customHeight="1" s="85">
      <c r="A519" s="27" t="inlineStr">
        <is>
          <t>JAGGERY POWDER</t>
        </is>
      </c>
      <c r="B519" s="27" t="n"/>
      <c r="C519" s="27" t="inlineStr">
        <is>
          <t>Ready to Eat &amp; Mixes</t>
        </is>
      </c>
      <c r="D519" s="28" t="inlineStr">
        <is>
          <t>8907093007843</t>
        </is>
      </c>
      <c r="E519" s="27" t="n"/>
      <c r="F519" s="29" t="n">
        <v>0</v>
      </c>
      <c r="G519" s="29" t="n">
        <v>110</v>
      </c>
      <c r="H519" s="27" t="inlineStr">
        <is>
          <t>Exclusive</t>
        </is>
      </c>
      <c r="I519" s="29" t="n">
        <v>92</v>
      </c>
      <c r="J519" s="27" t="inlineStr">
        <is>
          <t>Exclusive</t>
        </is>
      </c>
      <c r="K519" s="29" t="n">
        <v>90</v>
      </c>
      <c r="L519" s="29" t="n">
        <v>0</v>
      </c>
      <c r="M519" s="33" t="n">
        <v>1</v>
      </c>
      <c r="N519" s="27" t="inlineStr">
        <is>
          <t>Yes</t>
        </is>
      </c>
      <c r="O519" s="29" t="n">
        <v>0</v>
      </c>
      <c r="P519" s="30" t="n">
        <v>450</v>
      </c>
      <c r="Q519" s="31" t="inlineStr">
        <is>
          <t>In Stock</t>
        </is>
      </c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5" customHeight="1" s="85">
      <c r="A520" s="27" t="inlineStr">
        <is>
          <t>JAYA RICE 10KG</t>
        </is>
      </c>
      <c r="B520" s="27" t="n"/>
      <c r="C520" s="27" t="inlineStr">
        <is>
          <t>Rice Items</t>
        </is>
      </c>
      <c r="D520" s="32" t="inlineStr">
        <is>
          <t>100206</t>
        </is>
      </c>
      <c r="E520" s="27" t="n"/>
      <c r="F520" s="29" t="n">
        <v>0</v>
      </c>
      <c r="G520" s="29" t="n">
        <v>803</v>
      </c>
      <c r="H520" s="27" t="inlineStr">
        <is>
          <t>Exclusive</t>
        </is>
      </c>
      <c r="I520" s="29" t="n">
        <v>800</v>
      </c>
      <c r="J520" s="27" t="inlineStr">
        <is>
          <t>Exclusive</t>
        </is>
      </c>
      <c r="K520" s="29" t="n">
        <v>803</v>
      </c>
      <c r="L520" s="29" t="n">
        <v>0</v>
      </c>
      <c r="M520" s="27" t="n"/>
      <c r="N520" s="27" t="inlineStr">
        <is>
          <t>Yes</t>
        </is>
      </c>
      <c r="O520" s="29" t="n">
        <v>0</v>
      </c>
      <c r="P520" s="30" t="n">
        <v>450</v>
      </c>
      <c r="Q520" s="31" t="inlineStr">
        <is>
          <t>In Stock</t>
        </is>
      </c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5" customHeight="1" s="85">
      <c r="A521" s="27" t="inlineStr">
        <is>
          <t>JEERAKA ARISHTAM 450ML</t>
        </is>
      </c>
      <c r="B521" s="27" t="n"/>
      <c r="C521" s="27" t="inlineStr">
        <is>
          <t>Healthcare Items</t>
        </is>
      </c>
      <c r="D521" s="28" t="inlineStr">
        <is>
          <t>8904108010058</t>
        </is>
      </c>
      <c r="E521" s="27" t="n"/>
      <c r="F521" s="29" t="n">
        <v>0</v>
      </c>
      <c r="G521" s="29" t="n">
        <v>145</v>
      </c>
      <c r="H521" s="27" t="inlineStr">
        <is>
          <t>Inclusive</t>
        </is>
      </c>
      <c r="I521" s="29" t="n">
        <v>125</v>
      </c>
      <c r="J521" s="27" t="inlineStr">
        <is>
          <t>Inclusive</t>
        </is>
      </c>
      <c r="K521" s="29" t="n">
        <v>145</v>
      </c>
      <c r="L521" s="29" t="n">
        <v>1</v>
      </c>
      <c r="M521" s="33" t="n">
        <v>1</v>
      </c>
      <c r="N521" s="27" t="inlineStr">
        <is>
          <t>Yes</t>
        </is>
      </c>
      <c r="O521" s="29" t="n">
        <v>0</v>
      </c>
      <c r="P521" s="30" t="n">
        <v>450</v>
      </c>
      <c r="Q521" s="31" t="inlineStr">
        <is>
          <t>In Stock</t>
        </is>
      </c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5" customHeight="1" s="85">
      <c r="A522" s="27" t="inlineStr">
        <is>
          <t>JESUS LOVES PLATE(IVORY)</t>
        </is>
      </c>
      <c r="B522" s="27" t="n"/>
      <c r="C522" s="27" t="inlineStr">
        <is>
          <t>Church Articles</t>
        </is>
      </c>
      <c r="D522" s="28" t="inlineStr">
        <is>
          <t>255359217897</t>
        </is>
      </c>
      <c r="E522" s="27" t="n"/>
      <c r="F522" s="29" t="n">
        <v>0</v>
      </c>
      <c r="G522" s="29" t="n">
        <v>35</v>
      </c>
      <c r="H522" s="27" t="inlineStr">
        <is>
          <t>Exclusive</t>
        </is>
      </c>
      <c r="I522" s="29" t="n">
        <v>24</v>
      </c>
      <c r="J522" s="27" t="inlineStr">
        <is>
          <t>Exclusive</t>
        </is>
      </c>
      <c r="K522" s="29" t="n">
        <v>45</v>
      </c>
      <c r="L522" s="29" t="n">
        <v>6</v>
      </c>
      <c r="M522" s="27" t="n"/>
      <c r="N522" s="27" t="inlineStr">
        <is>
          <t>Yes</t>
        </is>
      </c>
      <c r="O522" s="29" t="n">
        <v>0</v>
      </c>
      <c r="P522" s="30" t="n">
        <v>450</v>
      </c>
      <c r="Q522" s="31" t="inlineStr">
        <is>
          <t>In Stock</t>
        </is>
      </c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5" customHeight="1" s="85">
      <c r="A523" s="27" t="inlineStr">
        <is>
          <t>JESUS LOVES STICKER (BIG)</t>
        </is>
      </c>
      <c r="B523" s="27" t="n"/>
      <c r="C523" s="27" t="inlineStr">
        <is>
          <t>Church Articles</t>
        </is>
      </c>
      <c r="D523" s="28" t="inlineStr">
        <is>
          <t>50168311025</t>
        </is>
      </c>
      <c r="E523" s="27" t="n"/>
      <c r="F523" s="29" t="n">
        <v>0</v>
      </c>
      <c r="G523" s="29" t="n">
        <v>20</v>
      </c>
      <c r="H523" s="27" t="inlineStr">
        <is>
          <t>Exclusive</t>
        </is>
      </c>
      <c r="I523" s="29" t="n">
        <v>10</v>
      </c>
      <c r="J523" s="27" t="inlineStr">
        <is>
          <t>Exclusive</t>
        </is>
      </c>
      <c r="K523" s="29" t="n">
        <v>25</v>
      </c>
      <c r="L523" s="29" t="n">
        <v>20</v>
      </c>
      <c r="M523" s="27" t="n"/>
      <c r="N523" s="27" t="inlineStr">
        <is>
          <t>Yes</t>
        </is>
      </c>
      <c r="O523" s="29" t="n">
        <v>0</v>
      </c>
      <c r="P523" s="30" t="n">
        <v>450</v>
      </c>
      <c r="Q523" s="31" t="inlineStr">
        <is>
          <t>In Stock</t>
        </is>
      </c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5" customHeight="1" s="85">
      <c r="A524" s="27" t="inlineStr">
        <is>
          <t>JOYOUS BUBBLES DISHWASH 500GM</t>
        </is>
      </c>
      <c r="B524" s="27" t="n"/>
      <c r="C524" s="27" t="inlineStr">
        <is>
          <t>Household &amp; Cleaning</t>
        </is>
      </c>
      <c r="D524" s="28" t="inlineStr">
        <is>
          <t>686136115045</t>
        </is>
      </c>
      <c r="E524" s="27" t="n"/>
      <c r="F524" s="29" t="n">
        <v>0</v>
      </c>
      <c r="G524" s="29" t="n">
        <v>89</v>
      </c>
      <c r="H524" s="27" t="inlineStr">
        <is>
          <t>Exclusive</t>
        </is>
      </c>
      <c r="I524" s="29" t="n">
        <v>60</v>
      </c>
      <c r="J524" s="27" t="inlineStr">
        <is>
          <t>Exclusive</t>
        </is>
      </c>
      <c r="K524" s="29" t="n">
        <v>89</v>
      </c>
      <c r="L524" s="29" t="n">
        <v>5</v>
      </c>
      <c r="M524" s="33" t="n">
        <v>1</v>
      </c>
      <c r="N524" s="27" t="inlineStr">
        <is>
          <t>Yes</t>
        </is>
      </c>
      <c r="O524" s="29" t="n">
        <v>0</v>
      </c>
      <c r="P524" s="30" t="n">
        <v>450</v>
      </c>
      <c r="Q524" s="31" t="inlineStr">
        <is>
          <t>In Stock</t>
        </is>
      </c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5" customHeight="1" s="85">
      <c r="A525" s="27" t="inlineStr">
        <is>
          <t>JOYOUS CAR WASH</t>
        </is>
      </c>
      <c r="B525" s="27" t="n"/>
      <c r="C525" s="27" t="inlineStr">
        <is>
          <t>Household &amp; Cleaning</t>
        </is>
      </c>
      <c r="D525" s="28" t="inlineStr">
        <is>
          <t>422243274458</t>
        </is>
      </c>
      <c r="E525" s="27" t="n"/>
      <c r="F525" s="29" t="n">
        <v>0</v>
      </c>
      <c r="G525" s="29" t="n">
        <v>180</v>
      </c>
      <c r="H525" s="27" t="inlineStr">
        <is>
          <t>Exclusive</t>
        </is>
      </c>
      <c r="I525" s="29" t="n">
        <v>60</v>
      </c>
      <c r="J525" s="27" t="inlineStr">
        <is>
          <t>Exclusive</t>
        </is>
      </c>
      <c r="K525" s="29" t="n">
        <v>220</v>
      </c>
      <c r="L525" s="29" t="n">
        <v>18</v>
      </c>
      <c r="M525" s="33" t="n">
        <v>1</v>
      </c>
      <c r="N525" s="27" t="inlineStr">
        <is>
          <t>Yes</t>
        </is>
      </c>
      <c r="O525" s="29" t="n">
        <v>0</v>
      </c>
      <c r="P525" s="30" t="n">
        <v>450</v>
      </c>
      <c r="Q525" s="31" t="inlineStr">
        <is>
          <t>In Stock</t>
        </is>
      </c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5" customHeight="1" s="85">
      <c r="A526" s="27" t="inlineStr">
        <is>
          <t>JOYOUS DROP TOILET CLEANER 500GM</t>
        </is>
      </c>
      <c r="B526" s="27" t="n"/>
      <c r="C526" s="27" t="inlineStr">
        <is>
          <t>Household &amp; Cleaning</t>
        </is>
      </c>
      <c r="D526" s="28" t="inlineStr">
        <is>
          <t>328017439020</t>
        </is>
      </c>
      <c r="E526" s="27" t="n"/>
      <c r="F526" s="29" t="n">
        <v>0</v>
      </c>
      <c r="G526" s="29" t="n">
        <v>89</v>
      </c>
      <c r="H526" s="27" t="inlineStr">
        <is>
          <t>Inclusive</t>
        </is>
      </c>
      <c r="I526" s="29" t="n">
        <v>60</v>
      </c>
      <c r="J526" s="27" t="inlineStr">
        <is>
          <t>Inclusive</t>
        </is>
      </c>
      <c r="K526" s="29" t="n">
        <v>89</v>
      </c>
      <c r="L526" s="29" t="n">
        <v>14</v>
      </c>
      <c r="M526" s="33" t="n">
        <v>1</v>
      </c>
      <c r="N526" s="27" t="inlineStr">
        <is>
          <t>Yes</t>
        </is>
      </c>
      <c r="O526" s="29" t="n">
        <v>0</v>
      </c>
      <c r="P526" s="30" t="n">
        <v>450</v>
      </c>
      <c r="Q526" s="31" t="inlineStr">
        <is>
          <t>In Stock</t>
        </is>
      </c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5" customHeight="1" s="85">
      <c r="A527" s="27" t="inlineStr">
        <is>
          <t>JOYOUS GLEAM - GLASS CLEANER</t>
        </is>
      </c>
      <c r="B527" s="27" t="n"/>
      <c r="C527" s="27" t="inlineStr">
        <is>
          <t>Household &amp; Cleaning</t>
        </is>
      </c>
      <c r="D527" s="28" t="inlineStr">
        <is>
          <t>898427948148</t>
        </is>
      </c>
      <c r="E527" s="27" t="n"/>
      <c r="F527" s="29" t="n">
        <v>0</v>
      </c>
      <c r="G527" s="29" t="n">
        <v>89</v>
      </c>
      <c r="H527" s="27" t="inlineStr">
        <is>
          <t>Inclusive</t>
        </is>
      </c>
      <c r="I527" s="29" t="n">
        <v>49</v>
      </c>
      <c r="J527" s="27" t="inlineStr">
        <is>
          <t>Inclusive</t>
        </is>
      </c>
      <c r="K527" s="29" t="n">
        <v>89</v>
      </c>
      <c r="L527" s="29" t="n">
        <v>0</v>
      </c>
      <c r="M527" s="33" t="n">
        <v>1</v>
      </c>
      <c r="N527" s="27" t="inlineStr">
        <is>
          <t>Yes</t>
        </is>
      </c>
      <c r="O527" s="29" t="n">
        <v>0</v>
      </c>
      <c r="P527" s="30" t="n">
        <v>450</v>
      </c>
      <c r="Q527" s="31" t="inlineStr">
        <is>
          <t>In Stock</t>
        </is>
      </c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5" customHeight="1" s="85">
      <c r="A528" s="27" t="inlineStr">
        <is>
          <t>JOYOUS SPLASH BATHROOM CLEANER</t>
        </is>
      </c>
      <c r="B528" s="27" t="n"/>
      <c r="C528" s="27" t="inlineStr">
        <is>
          <t>Household &amp; Cleaning</t>
        </is>
      </c>
      <c r="D528" s="28" t="inlineStr">
        <is>
          <t>635119116066</t>
        </is>
      </c>
      <c r="E528" s="27" t="n"/>
      <c r="F528" s="29" t="n">
        <v>0</v>
      </c>
      <c r="G528" s="29" t="n">
        <v>95</v>
      </c>
      <c r="H528" s="27" t="inlineStr">
        <is>
          <t>Inclusive</t>
        </is>
      </c>
      <c r="I528" s="29" t="n">
        <v>45</v>
      </c>
      <c r="J528" s="27" t="inlineStr">
        <is>
          <t>Inclusive</t>
        </is>
      </c>
      <c r="K528" s="29" t="n">
        <v>95</v>
      </c>
      <c r="L528" s="29" t="n">
        <v>15</v>
      </c>
      <c r="M528" s="33" t="n">
        <v>1</v>
      </c>
      <c r="N528" s="27" t="inlineStr">
        <is>
          <t>Yes</t>
        </is>
      </c>
      <c r="O528" s="29" t="n">
        <v>0</v>
      </c>
      <c r="P528" s="30" t="n">
        <v>450</v>
      </c>
      <c r="Q528" s="31" t="inlineStr">
        <is>
          <t>In Stock</t>
        </is>
      </c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5" customHeight="1" s="85">
      <c r="A529" s="27" t="inlineStr">
        <is>
          <t>JOYOUS SWIRL (DETERGENT LIQUID)</t>
        </is>
      </c>
      <c r="B529" s="27" t="n"/>
      <c r="C529" s="27" t="inlineStr">
        <is>
          <t>Household &amp; Cleaning</t>
        </is>
      </c>
      <c r="D529" s="28" t="inlineStr">
        <is>
          <t>490527144088</t>
        </is>
      </c>
      <c r="E529" s="27" t="n"/>
      <c r="F529" s="29" t="n">
        <v>0</v>
      </c>
      <c r="G529" s="29" t="n">
        <v>120</v>
      </c>
      <c r="H529" s="27" t="inlineStr">
        <is>
          <t>Inclusive</t>
        </is>
      </c>
      <c r="I529" s="29" t="n">
        <v>55</v>
      </c>
      <c r="J529" s="27" t="inlineStr">
        <is>
          <t>Inclusive</t>
        </is>
      </c>
      <c r="K529" s="29" t="n">
        <v>120</v>
      </c>
      <c r="L529" s="29" t="n">
        <v>11</v>
      </c>
      <c r="M529" s="33" t="n">
        <v>1</v>
      </c>
      <c r="N529" s="27" t="inlineStr">
        <is>
          <t>Yes</t>
        </is>
      </c>
      <c r="O529" s="29" t="n">
        <v>0</v>
      </c>
      <c r="P529" s="30" t="n">
        <v>450</v>
      </c>
      <c r="Q529" s="31" t="inlineStr">
        <is>
          <t>In Stock</t>
        </is>
      </c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5" customHeight="1" s="85">
      <c r="A530" s="27" t="inlineStr">
        <is>
          <t>JOYOUS ZEST FLOOR CLEANER</t>
        </is>
      </c>
      <c r="B530" s="27" t="n"/>
      <c r="C530" s="27" t="inlineStr">
        <is>
          <t>Household &amp; Cleaning</t>
        </is>
      </c>
      <c r="D530" s="28" t="inlineStr">
        <is>
          <t>902982343891</t>
        </is>
      </c>
      <c r="E530" s="27" t="n"/>
      <c r="F530" s="29" t="n">
        <v>0</v>
      </c>
      <c r="G530" s="29" t="n">
        <v>89</v>
      </c>
      <c r="H530" s="27" t="inlineStr">
        <is>
          <t>Inclusive</t>
        </is>
      </c>
      <c r="I530" s="29" t="n">
        <v>40</v>
      </c>
      <c r="J530" s="27" t="inlineStr">
        <is>
          <t>Inclusive</t>
        </is>
      </c>
      <c r="K530" s="29" t="n">
        <v>90</v>
      </c>
      <c r="L530" s="29" t="n">
        <v>8</v>
      </c>
      <c r="M530" s="33" t="n">
        <v>1</v>
      </c>
      <c r="N530" s="27" t="inlineStr">
        <is>
          <t>Yes</t>
        </is>
      </c>
      <c r="O530" s="29" t="n">
        <v>0</v>
      </c>
      <c r="P530" s="30" t="n">
        <v>450</v>
      </c>
      <c r="Q530" s="31" t="inlineStr">
        <is>
          <t>In Stock</t>
        </is>
      </c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5" customHeight="1" s="85">
      <c r="A531" s="27" t="inlineStr">
        <is>
          <t>JUICE MIXER</t>
        </is>
      </c>
      <c r="B531" s="27" t="n"/>
      <c r="C531" s="27" t="inlineStr">
        <is>
          <t>Kitchen Utensils</t>
        </is>
      </c>
      <c r="D531" s="32" t="inlineStr">
        <is>
          <t>100207</t>
        </is>
      </c>
      <c r="E531" s="27" t="n"/>
      <c r="F531" s="29" t="n">
        <v>0</v>
      </c>
      <c r="G531" s="29" t="n">
        <v>200</v>
      </c>
      <c r="H531" s="27" t="inlineStr">
        <is>
          <t>Inclusive</t>
        </is>
      </c>
      <c r="I531" s="29" t="n">
        <v>180</v>
      </c>
      <c r="J531" s="27" t="inlineStr">
        <is>
          <t>Inclusive</t>
        </is>
      </c>
      <c r="K531" s="29" t="n">
        <v>250</v>
      </c>
      <c r="L531" s="29" t="n">
        <v>2</v>
      </c>
      <c r="M531" s="33" t="n">
        <v>1</v>
      </c>
      <c r="N531" s="27" t="inlineStr">
        <is>
          <t>No</t>
        </is>
      </c>
      <c r="O531" s="29" t="n">
        <v>0</v>
      </c>
      <c r="P531" s="30" t="n">
        <v>450</v>
      </c>
      <c r="Q531" s="31" t="inlineStr">
        <is>
          <t>In Stock</t>
        </is>
      </c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5" customHeight="1" s="85">
      <c r="A532" s="27" t="inlineStr">
        <is>
          <t>K12 MIC SPEAKER</t>
        </is>
      </c>
      <c r="B532" s="27" t="n"/>
      <c r="C532" s="27" t="inlineStr">
        <is>
          <t>Electronics</t>
        </is>
      </c>
      <c r="D532" s="28" t="inlineStr">
        <is>
          <t>55313766462</t>
        </is>
      </c>
      <c r="E532" s="27" t="n"/>
      <c r="F532" s="29" t="n">
        <v>0</v>
      </c>
      <c r="G532" s="29" t="n">
        <v>370</v>
      </c>
      <c r="H532" s="27" t="inlineStr">
        <is>
          <t>Exclusive</t>
        </is>
      </c>
      <c r="I532" s="29" t="n">
        <v>200</v>
      </c>
      <c r="J532" s="27" t="inlineStr">
        <is>
          <t>Exclusive</t>
        </is>
      </c>
      <c r="K532" s="29" t="n">
        <v>425</v>
      </c>
      <c r="L532" s="29" t="n">
        <v>5</v>
      </c>
      <c r="M532" s="27" t="n"/>
      <c r="N532" s="27" t="inlineStr">
        <is>
          <t>Yes</t>
        </is>
      </c>
      <c r="O532" s="29" t="n">
        <v>0</v>
      </c>
      <c r="P532" s="30" t="n">
        <v>450</v>
      </c>
      <c r="Q532" s="31" t="inlineStr">
        <is>
          <t>In Stock</t>
        </is>
      </c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5" customHeight="1" s="85">
      <c r="A533" s="27" t="inlineStr">
        <is>
          <t>KACHIL</t>
        </is>
      </c>
      <c r="B533" s="27" t="n"/>
      <c r="C533" s="27" t="inlineStr">
        <is>
          <t>Raw Items &amp; Produce</t>
        </is>
      </c>
      <c r="D533" s="32" t="inlineStr">
        <is>
          <t>100208</t>
        </is>
      </c>
      <c r="E533" s="27" t="n"/>
      <c r="F533" s="29" t="n">
        <v>0</v>
      </c>
      <c r="G533" s="29" t="n">
        <v>135</v>
      </c>
      <c r="H533" s="27" t="inlineStr">
        <is>
          <t>Exclusive</t>
        </is>
      </c>
      <c r="I533" s="29" t="n">
        <v>105</v>
      </c>
      <c r="J533" s="27" t="inlineStr">
        <is>
          <t>Exclusive</t>
        </is>
      </c>
      <c r="K533" s="29" t="n">
        <v>140</v>
      </c>
      <c r="L533" s="29" t="n">
        <v>0</v>
      </c>
      <c r="M533" s="33" t="n">
        <v>1</v>
      </c>
      <c r="N533" s="27" t="inlineStr">
        <is>
          <t>Yes</t>
        </is>
      </c>
      <c r="O533" s="29" t="n">
        <v>0</v>
      </c>
      <c r="P533" s="30" t="n">
        <v>450</v>
      </c>
      <c r="Q533" s="31" t="inlineStr">
        <is>
          <t>In Stock</t>
        </is>
      </c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5" customHeight="1" s="85">
      <c r="A534" s="27" t="inlineStr">
        <is>
          <t>KADA MASALA 50GM</t>
        </is>
      </c>
      <c r="B534" s="27" t="n"/>
      <c r="C534" s="27" t="inlineStr">
        <is>
          <t>Masalas &amp; Spices</t>
        </is>
      </c>
      <c r="D534" s="28" t="inlineStr">
        <is>
          <t>328087992742</t>
        </is>
      </c>
      <c r="E534" s="27" t="n"/>
      <c r="F534" s="29" t="n">
        <v>0</v>
      </c>
      <c r="G534" s="29" t="n">
        <v>92</v>
      </c>
      <c r="H534" s="27" t="inlineStr">
        <is>
          <t>Inclusive</t>
        </is>
      </c>
      <c r="I534" s="29" t="n">
        <v>80</v>
      </c>
      <c r="J534" s="27" t="inlineStr">
        <is>
          <t>Inclusive</t>
        </is>
      </c>
      <c r="K534" s="29" t="n">
        <v>80</v>
      </c>
      <c r="L534" s="29" t="n">
        <v>0</v>
      </c>
      <c r="M534" s="33" t="n">
        <v>1</v>
      </c>
      <c r="N534" s="27" t="inlineStr">
        <is>
          <t>Yes</t>
        </is>
      </c>
      <c r="O534" s="29" t="n">
        <v>0</v>
      </c>
      <c r="P534" s="30" t="n">
        <v>450</v>
      </c>
      <c r="Q534" s="31" t="inlineStr">
        <is>
          <t>In Stock</t>
        </is>
      </c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5" customHeight="1" s="85">
      <c r="A535" s="27" t="inlineStr">
        <is>
          <t>KADA MASALA BOX 100GM</t>
        </is>
      </c>
      <c r="B535" s="27" t="n"/>
      <c r="C535" s="27" t="inlineStr">
        <is>
          <t>Masalas &amp; Spices</t>
        </is>
      </c>
      <c r="D535" s="28" t="inlineStr">
        <is>
          <t>261</t>
        </is>
      </c>
      <c r="E535" s="27" t="n"/>
      <c r="F535" s="29" t="n">
        <v>0</v>
      </c>
      <c r="G535" s="29" t="n">
        <v>180</v>
      </c>
      <c r="H535" s="27" t="inlineStr">
        <is>
          <t>Exclusive</t>
        </is>
      </c>
      <c r="I535" s="29" t="n">
        <v>120</v>
      </c>
      <c r="J535" s="27" t="inlineStr">
        <is>
          <t>Exclusive</t>
        </is>
      </c>
      <c r="K535" s="29" t="n">
        <v>180</v>
      </c>
      <c r="L535" s="29" t="n">
        <v>0</v>
      </c>
      <c r="M535" s="33" t="n">
        <v>1</v>
      </c>
      <c r="N535" s="27" t="inlineStr">
        <is>
          <t>Yes</t>
        </is>
      </c>
      <c r="O535" s="29" t="n">
        <v>0</v>
      </c>
      <c r="P535" s="30" t="n">
        <v>450</v>
      </c>
      <c r="Q535" s="31" t="inlineStr">
        <is>
          <t>In Stock</t>
        </is>
      </c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5" customHeight="1" s="85">
      <c r="A536" s="27" t="inlineStr">
        <is>
          <t>KAIRALI PAPPAD 100GM</t>
        </is>
      </c>
      <c r="B536" s="27" t="n"/>
      <c r="C536" s="27" t="inlineStr">
        <is>
          <t>Snacks</t>
        </is>
      </c>
      <c r="D536" s="32" t="inlineStr">
        <is>
          <t>100209</t>
        </is>
      </c>
      <c r="E536" s="27" t="n"/>
      <c r="F536" s="29" t="n">
        <v>0</v>
      </c>
      <c r="G536" s="29" t="n">
        <v>38</v>
      </c>
      <c r="H536" s="27" t="inlineStr">
        <is>
          <t>Exclusive</t>
        </is>
      </c>
      <c r="I536" s="29" t="n">
        <v>22</v>
      </c>
      <c r="J536" s="27" t="inlineStr">
        <is>
          <t>Exclusive</t>
        </is>
      </c>
      <c r="K536" s="29" t="n">
        <v>0</v>
      </c>
      <c r="L536" s="29" t="n">
        <v>27</v>
      </c>
      <c r="M536" s="27" t="n"/>
      <c r="N536" s="27" t="inlineStr">
        <is>
          <t>Yes</t>
        </is>
      </c>
      <c r="O536" s="29" t="n">
        <v>0</v>
      </c>
      <c r="P536" s="30" t="n">
        <v>450</v>
      </c>
      <c r="Q536" s="31" t="inlineStr">
        <is>
          <t>In Stock</t>
        </is>
      </c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5" customHeight="1" s="85">
      <c r="A537" s="27" t="inlineStr">
        <is>
          <t>KAIRALI PAPPAD 200 GM</t>
        </is>
      </c>
      <c r="B537" s="27" t="n"/>
      <c r="C537" s="27" t="inlineStr">
        <is>
          <t>Snacks</t>
        </is>
      </c>
      <c r="D537" s="34" t="inlineStr">
        <is>
          <t>163283064536-392</t>
        </is>
      </c>
      <c r="E537" s="27" t="n"/>
      <c r="F537" s="29" t="n">
        <v>0</v>
      </c>
      <c r="G537" s="29" t="n">
        <v>70</v>
      </c>
      <c r="H537" s="27" t="inlineStr">
        <is>
          <t>Exclusive</t>
        </is>
      </c>
      <c r="I537" s="29" t="n">
        <v>48</v>
      </c>
      <c r="J537" s="27" t="inlineStr">
        <is>
          <t>Exclusive</t>
        </is>
      </c>
      <c r="K537" s="29" t="n">
        <v>70</v>
      </c>
      <c r="L537" s="29" t="n">
        <v>0</v>
      </c>
      <c r="M537" s="33" t="n">
        <v>1</v>
      </c>
      <c r="N537" s="27" t="inlineStr">
        <is>
          <t>Yes</t>
        </is>
      </c>
      <c r="O537" s="29" t="n">
        <v>0</v>
      </c>
      <c r="P537" s="30" t="n">
        <v>450</v>
      </c>
      <c r="Q537" s="31" t="inlineStr">
        <is>
          <t>In Stock</t>
        </is>
      </c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5" customHeight="1" s="85">
      <c r="A538" s="27" t="inlineStr">
        <is>
          <t>KAIRALI PAPPADAM 100GM</t>
        </is>
      </c>
      <c r="B538" s="27" t="n"/>
      <c r="C538" s="27" t="inlineStr">
        <is>
          <t>Snacks</t>
        </is>
      </c>
      <c r="D538" s="32" t="inlineStr">
        <is>
          <t>100210</t>
        </is>
      </c>
      <c r="E538" s="27" t="n"/>
      <c r="F538" s="29" t="n">
        <v>0</v>
      </c>
      <c r="G538" s="29" t="n">
        <v>35</v>
      </c>
      <c r="H538" s="27" t="inlineStr">
        <is>
          <t>Exclusive</t>
        </is>
      </c>
      <c r="I538" s="29" t="n">
        <v>26</v>
      </c>
      <c r="J538" s="27" t="inlineStr">
        <is>
          <t>Exclusive</t>
        </is>
      </c>
      <c r="K538" s="29" t="n">
        <v>35</v>
      </c>
      <c r="L538" s="29" t="n">
        <v>0</v>
      </c>
      <c r="M538" s="33" t="n">
        <v>1</v>
      </c>
      <c r="N538" s="27" t="inlineStr">
        <is>
          <t>Yes</t>
        </is>
      </c>
      <c r="O538" s="29" t="n">
        <v>0</v>
      </c>
      <c r="P538" s="30" t="n">
        <v>450</v>
      </c>
      <c r="Q538" s="31" t="inlineStr">
        <is>
          <t>In Stock</t>
        </is>
      </c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5" customHeight="1" s="85">
      <c r="A539" s="27" t="inlineStr">
        <is>
          <t>KAJU BLUETOOTH HEADSET</t>
        </is>
      </c>
      <c r="B539" s="27" t="n"/>
      <c r="C539" s="27" t="inlineStr">
        <is>
          <t>Electronics</t>
        </is>
      </c>
      <c r="D539" s="34" t="inlineStr">
        <is>
          <t>BTKJ</t>
        </is>
      </c>
      <c r="E539" s="27" t="n"/>
      <c r="F539" s="29" t="n">
        <v>0</v>
      </c>
      <c r="G539" s="29" t="n">
        <v>180</v>
      </c>
      <c r="H539" s="27" t="inlineStr">
        <is>
          <t>Inclusive</t>
        </is>
      </c>
      <c r="I539" s="29" t="n">
        <v>65.5</v>
      </c>
      <c r="J539" s="27" t="inlineStr">
        <is>
          <t>Inclusive</t>
        </is>
      </c>
      <c r="K539" s="29" t="n">
        <v>300</v>
      </c>
      <c r="L539" s="29" t="n">
        <v>29</v>
      </c>
      <c r="M539" s="33" t="n">
        <v>1</v>
      </c>
      <c r="N539" s="27" t="inlineStr">
        <is>
          <t>No</t>
        </is>
      </c>
      <c r="O539" s="29" t="n">
        <v>0</v>
      </c>
      <c r="P539" s="30" t="n">
        <v>450</v>
      </c>
      <c r="Q539" s="31" t="inlineStr">
        <is>
          <t>In Stock</t>
        </is>
      </c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5" customHeight="1" s="85">
      <c r="A540" s="27" t="inlineStr">
        <is>
          <t>KALA CHANA 500GM</t>
        </is>
      </c>
      <c r="B540" s="27" t="n"/>
      <c r="C540" s="27" t="inlineStr">
        <is>
          <t>Grains &amp; Flours</t>
        </is>
      </c>
      <c r="D540" s="28" t="inlineStr">
        <is>
          <t>799040668277</t>
        </is>
      </c>
      <c r="E540" s="27" t="n"/>
      <c r="F540" s="29" t="n">
        <v>0</v>
      </c>
      <c r="G540" s="29" t="n">
        <v>86</v>
      </c>
      <c r="H540" s="27" t="inlineStr">
        <is>
          <t>Exclusive</t>
        </is>
      </c>
      <c r="I540" s="29" t="n">
        <v>66</v>
      </c>
      <c r="J540" s="27" t="inlineStr">
        <is>
          <t>Exclusive</t>
        </is>
      </c>
      <c r="K540" s="29" t="n">
        <v>86</v>
      </c>
      <c r="L540" s="29" t="n">
        <v>15</v>
      </c>
      <c r="M540" s="27" t="n"/>
      <c r="N540" s="27" t="inlineStr">
        <is>
          <t>Yes</t>
        </is>
      </c>
      <c r="O540" s="29" t="n">
        <v>0</v>
      </c>
      <c r="P540" s="30" t="n">
        <v>450</v>
      </c>
      <c r="Q540" s="31" t="inlineStr">
        <is>
          <t>In Stock</t>
        </is>
      </c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5" customHeight="1" s="85">
      <c r="A541" s="27" t="inlineStr">
        <is>
          <t>KALAN</t>
        </is>
      </c>
      <c r="B541" s="27" t="n"/>
      <c r="C541" s="27" t="inlineStr">
        <is>
          <t>Ready to Eat &amp; Mixes</t>
        </is>
      </c>
      <c r="D541" s="28" t="inlineStr">
        <is>
          <t>8907093007676</t>
        </is>
      </c>
      <c r="E541" s="27" t="n"/>
      <c r="F541" s="29" t="n">
        <v>0</v>
      </c>
      <c r="G541" s="29" t="n">
        <v>150</v>
      </c>
      <c r="H541" s="27" t="inlineStr">
        <is>
          <t>Exclusive</t>
        </is>
      </c>
      <c r="I541" s="29" t="n">
        <v>120</v>
      </c>
      <c r="J541" s="27" t="inlineStr">
        <is>
          <t>Exclusive</t>
        </is>
      </c>
      <c r="K541" s="29" t="n">
        <v>150</v>
      </c>
      <c r="L541" s="29" t="n">
        <v>0</v>
      </c>
      <c r="M541" s="27" t="n"/>
      <c r="N541" s="27" t="inlineStr">
        <is>
          <t>Yes</t>
        </is>
      </c>
      <c r="O541" s="29" t="n">
        <v>0</v>
      </c>
      <c r="P541" s="30" t="n">
        <v>450</v>
      </c>
      <c r="Q541" s="31" t="inlineStr">
        <is>
          <t>In Stock</t>
        </is>
      </c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5" customHeight="1" s="85">
      <c r="A542" s="27" t="inlineStr">
        <is>
          <t>KALIYADAKKA 200GM</t>
        </is>
      </c>
      <c r="B542" s="27" t="n"/>
      <c r="C542" s="27" t="inlineStr">
        <is>
          <t>Ready to Eat &amp; Mixes</t>
        </is>
      </c>
      <c r="D542" s="28" t="inlineStr">
        <is>
          <t>521833763748</t>
        </is>
      </c>
      <c r="E542" s="27" t="n"/>
      <c r="F542" s="29" t="n">
        <v>0</v>
      </c>
      <c r="G542" s="29" t="n">
        <v>80</v>
      </c>
      <c r="H542" s="27" t="inlineStr">
        <is>
          <t>Exclusive</t>
        </is>
      </c>
      <c r="I542" s="29" t="n">
        <v>48</v>
      </c>
      <c r="J542" s="27" t="inlineStr">
        <is>
          <t>Exclusive</t>
        </is>
      </c>
      <c r="K542" s="29" t="n">
        <v>77</v>
      </c>
      <c r="L542" s="29" t="n">
        <v>3</v>
      </c>
      <c r="M542" s="33" t="n">
        <v>1</v>
      </c>
      <c r="N542" s="27" t="inlineStr">
        <is>
          <t>Yes</t>
        </is>
      </c>
      <c r="O542" s="29" t="n">
        <v>0</v>
      </c>
      <c r="P542" s="30" t="n">
        <v>450</v>
      </c>
      <c r="Q542" s="31" t="inlineStr">
        <is>
          <t>In Stock</t>
        </is>
      </c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5" customHeight="1" s="85">
      <c r="A543" s="27" t="inlineStr">
        <is>
          <t>KANGAYAN VATI AYURVEDIC</t>
        </is>
      </c>
      <c r="B543" s="27" t="n"/>
      <c r="C543" s="27" t="inlineStr">
        <is>
          <t>Healthcare Items</t>
        </is>
      </c>
      <c r="D543" s="32" t="inlineStr">
        <is>
          <t>100211</t>
        </is>
      </c>
      <c r="E543" s="27" t="n"/>
      <c r="F543" s="29" t="n">
        <v>0</v>
      </c>
      <c r="G543" s="29" t="n">
        <v>110</v>
      </c>
      <c r="H543" s="27" t="inlineStr">
        <is>
          <t>Exclusive</t>
        </is>
      </c>
      <c r="I543" s="29" t="n">
        <v>65</v>
      </c>
      <c r="J543" s="27" t="inlineStr">
        <is>
          <t>Exclusive</t>
        </is>
      </c>
      <c r="K543" s="29" t="n">
        <v>100</v>
      </c>
      <c r="L543" s="29" t="n">
        <v>0</v>
      </c>
      <c r="M543" s="33" t="n">
        <v>1</v>
      </c>
      <c r="N543" s="27" t="inlineStr">
        <is>
          <t>Yes</t>
        </is>
      </c>
      <c r="O543" s="29" t="n">
        <v>0</v>
      </c>
      <c r="P543" s="30" t="n">
        <v>450</v>
      </c>
      <c r="Q543" s="31" t="inlineStr">
        <is>
          <t>In Stock</t>
        </is>
      </c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5" customHeight="1" s="85">
      <c r="A544" s="27" t="inlineStr">
        <is>
          <t>KANNAN DEVAN TEA 100GM</t>
        </is>
      </c>
      <c r="B544" s="27" t="n"/>
      <c r="C544" s="27" t="inlineStr">
        <is>
          <t>Beverages</t>
        </is>
      </c>
      <c r="D544" s="28" t="inlineStr">
        <is>
          <t>8901052031269</t>
        </is>
      </c>
      <c r="E544" s="27" t="n"/>
      <c r="F544" s="29" t="n">
        <v>0</v>
      </c>
      <c r="G544" s="29" t="n">
        <v>60</v>
      </c>
      <c r="H544" s="27" t="inlineStr">
        <is>
          <t>Exclusive</t>
        </is>
      </c>
      <c r="I544" s="29" t="n">
        <v>40</v>
      </c>
      <c r="J544" s="27" t="inlineStr">
        <is>
          <t>Exclusive</t>
        </is>
      </c>
      <c r="K544" s="29" t="n">
        <v>60</v>
      </c>
      <c r="L544" s="29" t="n">
        <v>0</v>
      </c>
      <c r="M544" s="33" t="n">
        <v>1</v>
      </c>
      <c r="N544" s="27" t="inlineStr">
        <is>
          <t>Yes</t>
        </is>
      </c>
      <c r="O544" s="29" t="n">
        <v>0</v>
      </c>
      <c r="P544" s="30" t="n">
        <v>450</v>
      </c>
      <c r="Q544" s="31" t="inlineStr">
        <is>
          <t>In Stock</t>
        </is>
      </c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5" customHeight="1" s="85">
      <c r="A545" s="27" t="inlineStr">
        <is>
          <t>KAPPA TAPIOCA</t>
        </is>
      </c>
      <c r="B545" s="27" t="n"/>
      <c r="C545" s="27" t="inlineStr">
        <is>
          <t>Raw Items &amp; Produce</t>
        </is>
      </c>
      <c r="D545" s="28" t="inlineStr">
        <is>
          <t>935082742084</t>
        </is>
      </c>
      <c r="E545" s="27" t="n"/>
      <c r="F545" s="29" t="n">
        <v>0</v>
      </c>
      <c r="G545" s="29" t="n">
        <v>90</v>
      </c>
      <c r="H545" s="27" t="inlineStr">
        <is>
          <t>Exclusive</t>
        </is>
      </c>
      <c r="I545" s="29" t="n">
        <v>70</v>
      </c>
      <c r="J545" s="27" t="inlineStr">
        <is>
          <t>Exclusive</t>
        </is>
      </c>
      <c r="K545" s="29" t="n">
        <v>95</v>
      </c>
      <c r="L545" s="29" t="n">
        <v>0</v>
      </c>
      <c r="M545" s="33" t="n">
        <v>1</v>
      </c>
      <c r="N545" s="27" t="inlineStr">
        <is>
          <t>Yes</t>
        </is>
      </c>
      <c r="O545" s="29" t="n">
        <v>0</v>
      </c>
      <c r="P545" s="30" t="n">
        <v>450</v>
      </c>
      <c r="Q545" s="31" t="inlineStr">
        <is>
          <t>In Stock</t>
        </is>
      </c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5" customHeight="1" s="85">
      <c r="A546" s="27" t="inlineStr">
        <is>
          <t>KARAOKE MIC</t>
        </is>
      </c>
      <c r="B546" s="27" t="n"/>
      <c r="C546" s="27" t="inlineStr">
        <is>
          <t>Electronics</t>
        </is>
      </c>
      <c r="D546" s="32" t="inlineStr">
        <is>
          <t>100212</t>
        </is>
      </c>
      <c r="E546" s="27" t="n"/>
      <c r="F546" s="29" t="n">
        <v>0</v>
      </c>
      <c r="G546" s="29" t="n">
        <v>300</v>
      </c>
      <c r="H546" s="27" t="inlineStr">
        <is>
          <t>Inclusive</t>
        </is>
      </c>
      <c r="I546" s="29" t="n">
        <v>250</v>
      </c>
      <c r="J546" s="27" t="inlineStr">
        <is>
          <t>Inclusive</t>
        </is>
      </c>
      <c r="K546" s="29" t="n">
        <v>350</v>
      </c>
      <c r="L546" s="29" t="n">
        <v>0</v>
      </c>
      <c r="M546" s="33" t="n">
        <v>1</v>
      </c>
      <c r="N546" s="27" t="inlineStr">
        <is>
          <t>No</t>
        </is>
      </c>
      <c r="O546" s="29" t="n">
        <v>0</v>
      </c>
      <c r="P546" s="30" t="n">
        <v>450</v>
      </c>
      <c r="Q546" s="31" t="inlineStr">
        <is>
          <t>In Stock</t>
        </is>
      </c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5" customHeight="1" s="85">
      <c r="A547" s="27" t="inlineStr">
        <is>
          <t>KARKIDAKA KIT</t>
        </is>
      </c>
      <c r="B547" s="27" t="n"/>
      <c r="C547" s="27" t="inlineStr">
        <is>
          <t>Healthcare Items</t>
        </is>
      </c>
      <c r="D547" s="32" t="inlineStr">
        <is>
          <t>100213</t>
        </is>
      </c>
      <c r="E547" s="27" t="n"/>
      <c r="F547" s="29" t="n">
        <v>0</v>
      </c>
      <c r="G547" s="29" t="n">
        <v>250</v>
      </c>
      <c r="H547" s="27" t="inlineStr">
        <is>
          <t>Inclusive</t>
        </is>
      </c>
      <c r="I547" s="29" t="n">
        <v>190</v>
      </c>
      <c r="J547" s="27" t="inlineStr">
        <is>
          <t>Inclusive</t>
        </is>
      </c>
      <c r="K547" s="29" t="n">
        <v>250</v>
      </c>
      <c r="L547" s="29" t="n">
        <v>10</v>
      </c>
      <c r="M547" s="33" t="n">
        <v>1</v>
      </c>
      <c r="N547" s="27" t="inlineStr">
        <is>
          <t>Yes</t>
        </is>
      </c>
      <c r="O547" s="29" t="n">
        <v>0</v>
      </c>
      <c r="P547" s="30" t="n">
        <v>450</v>
      </c>
      <c r="Q547" s="31" t="inlineStr">
        <is>
          <t>In Stock</t>
        </is>
      </c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5" customHeight="1" s="85">
      <c r="A548" s="27" t="inlineStr">
        <is>
          <t>KASAVU MUNDU MCR GOLD</t>
        </is>
      </c>
      <c r="B548" s="27" t="n"/>
      <c r="C548" s="27" t="inlineStr">
        <is>
          <t>Kerala Clothing</t>
        </is>
      </c>
      <c r="D548" s="32" t="inlineStr">
        <is>
          <t>100214</t>
        </is>
      </c>
      <c r="E548" s="27" t="n"/>
      <c r="F548" s="29" t="n">
        <v>0</v>
      </c>
      <c r="G548" s="29" t="n">
        <v>435</v>
      </c>
      <c r="H548" s="27" t="inlineStr">
        <is>
          <t>Exclusive</t>
        </is>
      </c>
      <c r="I548" s="29" t="n">
        <v>325</v>
      </c>
      <c r="J548" s="27" t="inlineStr">
        <is>
          <t>Exclusive</t>
        </is>
      </c>
      <c r="K548" s="29" t="n">
        <v>600</v>
      </c>
      <c r="L548" s="29" t="n">
        <v>0</v>
      </c>
      <c r="M548" s="33" t="n">
        <v>1</v>
      </c>
      <c r="N548" s="27" t="inlineStr">
        <is>
          <t>Yes</t>
        </is>
      </c>
      <c r="O548" s="29" t="n">
        <v>0</v>
      </c>
      <c r="P548" s="30" t="n">
        <v>450</v>
      </c>
      <c r="Q548" s="31" t="inlineStr">
        <is>
          <t>In Stock</t>
        </is>
      </c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5" customHeight="1" s="85">
      <c r="A549" s="27" t="inlineStr">
        <is>
          <t>KASAVU SAAREE SET</t>
        </is>
      </c>
      <c r="B549" s="27" t="n"/>
      <c r="C549" s="27" t="inlineStr">
        <is>
          <t>Kerala Clothing</t>
        </is>
      </c>
      <c r="D549" s="28" t="inlineStr">
        <is>
          <t>914113446747</t>
        </is>
      </c>
      <c r="E549" s="27" t="n"/>
      <c r="F549" s="29" t="n">
        <v>0</v>
      </c>
      <c r="G549" s="29" t="n">
        <v>750</v>
      </c>
      <c r="H549" s="27" t="inlineStr">
        <is>
          <t>Exclusive</t>
        </is>
      </c>
      <c r="I549" s="29" t="n">
        <v>650</v>
      </c>
      <c r="J549" s="27" t="inlineStr">
        <is>
          <t>Exclusive</t>
        </is>
      </c>
      <c r="K549" s="29" t="n">
        <v>750</v>
      </c>
      <c r="L549" s="29" t="n">
        <v>1</v>
      </c>
      <c r="M549" s="33" t="n">
        <v>1</v>
      </c>
      <c r="N549" s="27" t="inlineStr">
        <is>
          <t>Yes</t>
        </is>
      </c>
      <c r="O549" s="29" t="n">
        <v>0</v>
      </c>
      <c r="P549" s="30" t="n">
        <v>450</v>
      </c>
      <c r="Q549" s="31" t="inlineStr">
        <is>
          <t>In Stock</t>
        </is>
      </c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5" customHeight="1" s="85">
      <c r="A550" s="27" t="inlineStr">
        <is>
          <t>KASBA ARABIAN MANTI KIT</t>
        </is>
      </c>
      <c r="B550" s="27" t="n"/>
      <c r="C550" s="27" t="inlineStr">
        <is>
          <t>Ready to Eat &amp; Mixes</t>
        </is>
      </c>
      <c r="D550" s="28" t="inlineStr">
        <is>
          <t>8906091931747</t>
        </is>
      </c>
      <c r="E550" s="27" t="n"/>
      <c r="F550" s="29" t="n">
        <v>0</v>
      </c>
      <c r="G550" s="29" t="n">
        <v>221</v>
      </c>
      <c r="H550" s="27" t="inlineStr">
        <is>
          <t>Exclusive</t>
        </is>
      </c>
      <c r="I550" s="29" t="n">
        <v>187</v>
      </c>
      <c r="J550" s="27" t="inlineStr">
        <is>
          <t>Exclusive</t>
        </is>
      </c>
      <c r="K550" s="29" t="n">
        <v>221</v>
      </c>
      <c r="L550" s="29" t="n">
        <v>0</v>
      </c>
      <c r="M550" s="33" t="n">
        <v>1</v>
      </c>
      <c r="N550" s="27" t="inlineStr">
        <is>
          <t>Yes</t>
        </is>
      </c>
      <c r="O550" s="29" t="n">
        <v>0</v>
      </c>
      <c r="P550" s="30" t="n">
        <v>450</v>
      </c>
      <c r="Q550" s="31" t="inlineStr">
        <is>
          <t>In Stock</t>
        </is>
      </c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5" customHeight="1" s="85">
      <c r="A551" s="27" t="inlineStr">
        <is>
          <t>KASHMIRI WALNUT (AKHROT)</t>
        </is>
      </c>
      <c r="B551" s="27" t="n"/>
      <c r="C551" s="27" t="inlineStr">
        <is>
          <t>Snacks</t>
        </is>
      </c>
      <c r="D551" s="28" t="inlineStr">
        <is>
          <t>445944496995</t>
        </is>
      </c>
      <c r="E551" s="27" t="n"/>
      <c r="F551" s="29" t="n">
        <v>0</v>
      </c>
      <c r="G551" s="29" t="n">
        <v>50</v>
      </c>
      <c r="H551" s="27" t="inlineStr">
        <is>
          <t>Exclusive</t>
        </is>
      </c>
      <c r="I551" s="29" t="n">
        <v>40</v>
      </c>
      <c r="J551" s="27" t="inlineStr">
        <is>
          <t>Exclusive</t>
        </is>
      </c>
      <c r="K551" s="29" t="n">
        <v>65</v>
      </c>
      <c r="L551" s="29" t="n">
        <v>0</v>
      </c>
      <c r="M551" s="27" t="n"/>
      <c r="N551" s="27" t="inlineStr">
        <is>
          <t>Yes</t>
        </is>
      </c>
      <c r="O551" s="29" t="n">
        <v>0</v>
      </c>
      <c r="P551" s="30" t="n">
        <v>450</v>
      </c>
      <c r="Q551" s="31" t="inlineStr">
        <is>
          <t>In Stock</t>
        </is>
      </c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5" customHeight="1" s="85">
      <c r="A552" s="27" t="inlineStr">
        <is>
          <t>KASTURI MANJAL</t>
        </is>
      </c>
      <c r="B552" s="27" t="n"/>
      <c r="C552" s="27" t="inlineStr">
        <is>
          <t>Healthcare Items</t>
        </is>
      </c>
      <c r="D552" s="28" t="inlineStr">
        <is>
          <t>8904070905604</t>
        </is>
      </c>
      <c r="E552" s="27" t="n"/>
      <c r="F552" s="29" t="n">
        <v>0</v>
      </c>
      <c r="G552" s="29" t="n">
        <v>65</v>
      </c>
      <c r="H552" s="27" t="inlineStr">
        <is>
          <t>Exclusive</t>
        </is>
      </c>
      <c r="I552" s="29" t="n">
        <v>56</v>
      </c>
      <c r="J552" s="27" t="inlineStr">
        <is>
          <t>Exclusive</t>
        </is>
      </c>
      <c r="K552" s="29" t="n">
        <v>65</v>
      </c>
      <c r="L552" s="29" t="n">
        <v>0</v>
      </c>
      <c r="M552" s="33" t="n">
        <v>1</v>
      </c>
      <c r="N552" s="27" t="inlineStr">
        <is>
          <t>Yes</t>
        </is>
      </c>
      <c r="O552" s="29" t="n">
        <v>0</v>
      </c>
      <c r="P552" s="30" t="n">
        <v>450</v>
      </c>
      <c r="Q552" s="31" t="inlineStr">
        <is>
          <t>In Stock</t>
        </is>
      </c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5" customHeight="1" s="85">
      <c r="A553" s="27" t="inlineStr">
        <is>
          <t>KASTURI MANJAL PAUCH</t>
        </is>
      </c>
      <c r="B553" s="27" t="n"/>
      <c r="C553" s="27" t="inlineStr">
        <is>
          <t>Healthcare Items</t>
        </is>
      </c>
      <c r="D553" s="28" t="inlineStr">
        <is>
          <t>8904108040321</t>
        </is>
      </c>
      <c r="E553" s="27" t="n"/>
      <c r="F553" s="29" t="n">
        <v>0</v>
      </c>
      <c r="G553" s="29" t="n">
        <v>30</v>
      </c>
      <c r="H553" s="27" t="inlineStr">
        <is>
          <t>Exclusive</t>
        </is>
      </c>
      <c r="I553" s="29" t="n">
        <v>16</v>
      </c>
      <c r="J553" s="27" t="inlineStr">
        <is>
          <t>Exclusive</t>
        </is>
      </c>
      <c r="K553" s="29" t="n">
        <v>30</v>
      </c>
      <c r="L553" s="29" t="n">
        <v>7</v>
      </c>
      <c r="M553" s="33" t="n">
        <v>1</v>
      </c>
      <c r="N553" s="27" t="inlineStr">
        <is>
          <t>Yes</t>
        </is>
      </c>
      <c r="O553" s="29" t="n">
        <v>0</v>
      </c>
      <c r="P553" s="30" t="n">
        <v>450</v>
      </c>
      <c r="Q553" s="31" t="inlineStr">
        <is>
          <t>In Stock</t>
        </is>
      </c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5" customHeight="1" s="85">
      <c r="A554" s="27" t="inlineStr">
        <is>
          <t>KAVI MUNDU</t>
        </is>
      </c>
      <c r="B554" s="27" t="n"/>
      <c r="C554" s="27" t="inlineStr">
        <is>
          <t>Kerala Clothing</t>
        </is>
      </c>
      <c r="D554" s="32" t="inlineStr">
        <is>
          <t>100215</t>
        </is>
      </c>
      <c r="E554" s="27" t="n"/>
      <c r="F554" s="29" t="n">
        <v>0</v>
      </c>
      <c r="G554" s="29" t="n">
        <v>285</v>
      </c>
      <c r="H554" s="27" t="inlineStr">
        <is>
          <t>Exclusive</t>
        </is>
      </c>
      <c r="I554" s="29" t="n">
        <v>200</v>
      </c>
      <c r="J554" s="27" t="inlineStr">
        <is>
          <t>Exclusive</t>
        </is>
      </c>
      <c r="K554" s="29" t="n">
        <v>290</v>
      </c>
      <c r="L554" s="29" t="n">
        <v>0</v>
      </c>
      <c r="M554" s="33" t="n">
        <v>1</v>
      </c>
      <c r="N554" s="27" t="inlineStr">
        <is>
          <t>Yes</t>
        </is>
      </c>
      <c r="O554" s="29" t="n">
        <v>0</v>
      </c>
      <c r="P554" s="30" t="n">
        <v>450</v>
      </c>
      <c r="Q554" s="31" t="inlineStr">
        <is>
          <t>In Stock</t>
        </is>
      </c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5" customHeight="1" s="85">
      <c r="A555" s="27" t="inlineStr">
        <is>
          <t>KC MIXTURE 1 KG</t>
        </is>
      </c>
      <c r="B555" s="27" t="n"/>
      <c r="C555" s="27" t="inlineStr">
        <is>
          <t>Snacks</t>
        </is>
      </c>
      <c r="D555" s="28" t="inlineStr">
        <is>
          <t>338914877765</t>
        </is>
      </c>
      <c r="E555" s="27" t="n"/>
      <c r="F555" s="29" t="n">
        <v>0</v>
      </c>
      <c r="G555" s="29" t="n">
        <v>220</v>
      </c>
      <c r="H555" s="27" t="inlineStr">
        <is>
          <t>Exclusive</t>
        </is>
      </c>
      <c r="I555" s="29" t="n">
        <v>180</v>
      </c>
      <c r="J555" s="27" t="inlineStr">
        <is>
          <t>Exclusive</t>
        </is>
      </c>
      <c r="K555" s="29" t="n">
        <v>220</v>
      </c>
      <c r="L555" s="29" t="n">
        <v>0</v>
      </c>
      <c r="M555" s="33" t="n">
        <v>1</v>
      </c>
      <c r="N555" s="27" t="inlineStr">
        <is>
          <t>Yes</t>
        </is>
      </c>
      <c r="O555" s="29" t="n">
        <v>0</v>
      </c>
      <c r="P555" s="30" t="n">
        <v>450</v>
      </c>
      <c r="Q555" s="31" t="inlineStr">
        <is>
          <t>In Stock</t>
        </is>
      </c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5" customHeight="1" s="85">
      <c r="A556" s="27" t="inlineStr">
        <is>
          <t>KERA COCONUT OIL 1LITR</t>
        </is>
      </c>
      <c r="B556" s="27" t="n"/>
      <c r="C556" s="27" t="inlineStr">
        <is>
          <t>Edible Oils &amp; Ghee</t>
        </is>
      </c>
      <c r="D556" s="28" t="inlineStr">
        <is>
          <t>8906051345331</t>
        </is>
      </c>
      <c r="E556" s="27" t="n"/>
      <c r="F556" s="29" t="n">
        <v>0</v>
      </c>
      <c r="G556" s="29" t="n">
        <v>425</v>
      </c>
      <c r="H556" s="27" t="inlineStr">
        <is>
          <t>Inclusive</t>
        </is>
      </c>
      <c r="I556" s="29" t="n">
        <v>443</v>
      </c>
      <c r="J556" s="27" t="inlineStr">
        <is>
          <t>Inclusive</t>
        </is>
      </c>
      <c r="K556" s="29" t="n">
        <v>523</v>
      </c>
      <c r="L556" s="29" t="n">
        <v>0</v>
      </c>
      <c r="M556" s="27" t="n"/>
      <c r="N556" s="27" t="inlineStr">
        <is>
          <t>No</t>
        </is>
      </c>
      <c r="O556" s="29" t="n">
        <v>0</v>
      </c>
      <c r="P556" s="30" t="n">
        <v>450</v>
      </c>
      <c r="Q556" s="31" t="inlineStr">
        <is>
          <t>In Stock</t>
        </is>
      </c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5" customHeight="1" s="85">
      <c r="A557" s="27" t="inlineStr">
        <is>
          <t>KERA COCONUT OIL 500GM</t>
        </is>
      </c>
      <c r="B557" s="27" t="n"/>
      <c r="C557" s="27" t="inlineStr">
        <is>
          <t>Edible Oils &amp; Ghee</t>
        </is>
      </c>
      <c r="D557" s="28" t="inlineStr">
        <is>
          <t>8901385100243</t>
        </is>
      </c>
      <c r="E557" s="27" t="n"/>
      <c r="F557" s="29" t="n">
        <v>0</v>
      </c>
      <c r="G557" s="29" t="n">
        <v>229</v>
      </c>
      <c r="H557" s="27" t="inlineStr">
        <is>
          <t>Inclusive</t>
        </is>
      </c>
      <c r="I557" s="29" t="n">
        <v>227</v>
      </c>
      <c r="J557" s="27" t="inlineStr">
        <is>
          <t>Inclusive</t>
        </is>
      </c>
      <c r="K557" s="29" t="n">
        <v>267</v>
      </c>
      <c r="L557" s="29" t="n">
        <v>0</v>
      </c>
      <c r="M557" s="27" t="n"/>
      <c r="N557" s="27" t="inlineStr">
        <is>
          <t>No</t>
        </is>
      </c>
      <c r="O557" s="29" t="n">
        <v>0</v>
      </c>
      <c r="P557" s="30" t="n">
        <v>450</v>
      </c>
      <c r="Q557" s="31" t="inlineStr">
        <is>
          <t>In Stock</t>
        </is>
      </c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5" customHeight="1" s="85">
      <c r="A558" s="27" t="inlineStr">
        <is>
          <t>KERALA BANANA</t>
        </is>
      </c>
      <c r="B558" s="27" t="n"/>
      <c r="C558" s="27" t="inlineStr">
        <is>
          <t>Raw Items &amp; Produce</t>
        </is>
      </c>
      <c r="D558" s="28" t="inlineStr">
        <is>
          <t>483690516470</t>
        </is>
      </c>
      <c r="E558" s="27" t="n"/>
      <c r="F558" s="29" t="n">
        <v>0</v>
      </c>
      <c r="G558" s="29" t="n">
        <v>135</v>
      </c>
      <c r="H558" s="27" t="inlineStr">
        <is>
          <t>Exclusive</t>
        </is>
      </c>
      <c r="I558" s="29" t="n">
        <v>105</v>
      </c>
      <c r="J558" s="27" t="inlineStr">
        <is>
          <t>Exclusive</t>
        </is>
      </c>
      <c r="K558" s="29" t="n">
        <v>140</v>
      </c>
      <c r="L558" s="29" t="n">
        <v>0</v>
      </c>
      <c r="M558" s="33" t="n">
        <v>1</v>
      </c>
      <c r="N558" s="27" t="inlineStr">
        <is>
          <t>Yes</t>
        </is>
      </c>
      <c r="O558" s="29" t="n">
        <v>0</v>
      </c>
      <c r="P558" s="30" t="n">
        <v>450</v>
      </c>
      <c r="Q558" s="31" t="inlineStr">
        <is>
          <t>In Stock</t>
        </is>
      </c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5" customHeight="1" s="85">
      <c r="A559" s="27" t="inlineStr">
        <is>
          <t>KERALA BIG LOBIYA 1KG</t>
        </is>
      </c>
      <c r="B559" s="27" t="n"/>
      <c r="C559" s="27" t="inlineStr">
        <is>
          <t>Grains &amp; Flours</t>
        </is>
      </c>
      <c r="D559" s="28" t="inlineStr">
        <is>
          <t>995183030367</t>
        </is>
      </c>
      <c r="E559" s="27" t="n"/>
      <c r="F559" s="29" t="n">
        <v>0</v>
      </c>
      <c r="G559" s="29" t="n">
        <v>175</v>
      </c>
      <c r="H559" s="27" t="inlineStr">
        <is>
          <t>Inclusive</t>
        </is>
      </c>
      <c r="I559" s="29" t="n">
        <v>145</v>
      </c>
      <c r="J559" s="27" t="inlineStr">
        <is>
          <t>Inclusive</t>
        </is>
      </c>
      <c r="K559" s="29" t="n">
        <v>190</v>
      </c>
      <c r="L559" s="29" t="n">
        <v>19</v>
      </c>
      <c r="M559" s="33" t="n">
        <v>1</v>
      </c>
      <c r="N559" s="27" t="inlineStr">
        <is>
          <t>No</t>
        </is>
      </c>
      <c r="O559" s="29" t="n">
        <v>0</v>
      </c>
      <c r="P559" s="30" t="n">
        <v>450</v>
      </c>
      <c r="Q559" s="31" t="inlineStr">
        <is>
          <t>In Stock</t>
        </is>
      </c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5" customHeight="1" s="85">
      <c r="A560" s="27" t="inlineStr">
        <is>
          <t>KERALA CHAKKA CHIPS 250GM</t>
        </is>
      </c>
      <c r="B560" s="27" t="n"/>
      <c r="C560" s="27" t="inlineStr">
        <is>
          <t>Snacks</t>
        </is>
      </c>
      <c r="D560" s="28" t="inlineStr">
        <is>
          <t>330812494700</t>
        </is>
      </c>
      <c r="E560" s="27" t="n"/>
      <c r="F560" s="29" t="n">
        <v>0</v>
      </c>
      <c r="G560" s="29" t="n">
        <v>125</v>
      </c>
      <c r="H560" s="27" t="inlineStr">
        <is>
          <t>Exclusive</t>
        </is>
      </c>
      <c r="I560" s="29" t="n">
        <v>80</v>
      </c>
      <c r="J560" s="27" t="inlineStr">
        <is>
          <t>Exclusive</t>
        </is>
      </c>
      <c r="K560" s="29" t="n">
        <v>150</v>
      </c>
      <c r="L560" s="29" t="n">
        <v>100</v>
      </c>
      <c r="M560" s="33" t="n">
        <v>1</v>
      </c>
      <c r="N560" s="27" t="inlineStr">
        <is>
          <t>Yes</t>
        </is>
      </c>
      <c r="O560" s="29" t="n">
        <v>0</v>
      </c>
      <c r="P560" s="30" t="n">
        <v>450</v>
      </c>
      <c r="Q560" s="31" t="inlineStr">
        <is>
          <t>In Stock</t>
        </is>
      </c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5" customHeight="1" s="85">
      <c r="A561" s="27" t="inlineStr">
        <is>
          <t>KERALA CHEMBU</t>
        </is>
      </c>
      <c r="B561" s="27" t="n"/>
      <c r="C561" s="27" t="inlineStr">
        <is>
          <t>Raw Items &amp; Produce</t>
        </is>
      </c>
      <c r="D561" s="28" t="inlineStr">
        <is>
          <t>838967242797</t>
        </is>
      </c>
      <c r="E561" s="27" t="n"/>
      <c r="F561" s="29" t="n">
        <v>0</v>
      </c>
      <c r="G561" s="29" t="n">
        <v>120</v>
      </c>
      <c r="H561" s="27" t="inlineStr">
        <is>
          <t>Exclusive</t>
        </is>
      </c>
      <c r="I561" s="29" t="n">
        <v>120</v>
      </c>
      <c r="J561" s="27" t="inlineStr">
        <is>
          <t>Exclusive</t>
        </is>
      </c>
      <c r="K561" s="29" t="n">
        <v>140</v>
      </c>
      <c r="L561" s="29" t="n">
        <v>0</v>
      </c>
      <c r="M561" s="33" t="n">
        <v>1</v>
      </c>
      <c r="N561" s="27" t="inlineStr">
        <is>
          <t>Yes</t>
        </is>
      </c>
      <c r="O561" s="29" t="n">
        <v>0</v>
      </c>
      <c r="P561" s="30" t="n">
        <v>450</v>
      </c>
      <c r="Q561" s="31" t="inlineStr">
        <is>
          <t>In Stock</t>
        </is>
      </c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5" customHeight="1" s="85">
      <c r="A562" s="27" t="inlineStr">
        <is>
          <t>KERALA CHENA</t>
        </is>
      </c>
      <c r="B562" s="27" t="n"/>
      <c r="C562" s="27" t="inlineStr">
        <is>
          <t>Raw Items &amp; Produce</t>
        </is>
      </c>
      <c r="D562" s="32" t="inlineStr">
        <is>
          <t>100216</t>
        </is>
      </c>
      <c r="E562" s="27" t="n"/>
      <c r="F562" s="29" t="n">
        <v>0</v>
      </c>
      <c r="G562" s="29" t="n">
        <v>120</v>
      </c>
      <c r="H562" s="27" t="inlineStr">
        <is>
          <t>Exclusive</t>
        </is>
      </c>
      <c r="I562" s="29" t="n">
        <v>110</v>
      </c>
      <c r="J562" s="27" t="inlineStr">
        <is>
          <t>Exclusive</t>
        </is>
      </c>
      <c r="K562" s="29" t="n">
        <v>0</v>
      </c>
      <c r="L562" s="29" t="n">
        <v>0</v>
      </c>
      <c r="M562" s="33" t="n">
        <v>1</v>
      </c>
      <c r="N562" s="27" t="inlineStr">
        <is>
          <t>Yes</t>
        </is>
      </c>
      <c r="O562" s="29" t="n">
        <v>0</v>
      </c>
      <c r="P562" s="30" t="n">
        <v>450</v>
      </c>
      <c r="Q562" s="31" t="inlineStr">
        <is>
          <t>In Stock</t>
        </is>
      </c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5" customHeight="1" s="85">
      <c r="A563" s="27" t="inlineStr">
        <is>
          <t>KERALA DOUBLE MUNDU DHOTHI</t>
        </is>
      </c>
      <c r="B563" s="27" t="n"/>
      <c r="C563" s="27" t="inlineStr">
        <is>
          <t>Kerala Clothing</t>
        </is>
      </c>
      <c r="D563" s="32" t="inlineStr">
        <is>
          <t>100217</t>
        </is>
      </c>
      <c r="E563" s="27" t="n"/>
      <c r="F563" s="29" t="n">
        <v>0</v>
      </c>
      <c r="G563" s="29" t="n">
        <v>490</v>
      </c>
      <c r="H563" s="27" t="inlineStr">
        <is>
          <t>Exclusive</t>
        </is>
      </c>
      <c r="I563" s="29" t="n">
        <v>400</v>
      </c>
      <c r="J563" s="27" t="inlineStr">
        <is>
          <t>Exclusive</t>
        </is>
      </c>
      <c r="K563" s="29" t="n">
        <v>520</v>
      </c>
      <c r="L563" s="29" t="n">
        <v>0</v>
      </c>
      <c r="M563" s="33" t="n">
        <v>1</v>
      </c>
      <c r="N563" s="27" t="inlineStr">
        <is>
          <t>Yes</t>
        </is>
      </c>
      <c r="O563" s="29" t="n">
        <v>0</v>
      </c>
      <c r="P563" s="30" t="n">
        <v>450</v>
      </c>
      <c r="Q563" s="31" t="inlineStr">
        <is>
          <t>In Stock</t>
        </is>
      </c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5" customHeight="1" s="85">
      <c r="A564" s="27" t="inlineStr">
        <is>
          <t>KERALA GRAMBOO (CLOVE) 50GM</t>
        </is>
      </c>
      <c r="B564" s="27" t="n"/>
      <c r="C564" s="27" t="inlineStr">
        <is>
          <t>Masalas &amp; Spices</t>
        </is>
      </c>
      <c r="D564" s="28" t="inlineStr">
        <is>
          <t>642305829210</t>
        </is>
      </c>
      <c r="E564" s="27" t="n"/>
      <c r="F564" s="29" t="n">
        <v>0</v>
      </c>
      <c r="G564" s="29" t="n">
        <v>70</v>
      </c>
      <c r="H564" s="27" t="inlineStr">
        <is>
          <t>Inclusive</t>
        </is>
      </c>
      <c r="I564" s="29" t="n">
        <v>50</v>
      </c>
      <c r="J564" s="27" t="inlineStr">
        <is>
          <t>Inclusive</t>
        </is>
      </c>
      <c r="K564" s="29" t="n">
        <v>100</v>
      </c>
      <c r="L564" s="29" t="n">
        <v>3</v>
      </c>
      <c r="M564" s="33" t="n">
        <v>1</v>
      </c>
      <c r="N564" s="27" t="inlineStr">
        <is>
          <t>Yes</t>
        </is>
      </c>
      <c r="O564" s="29" t="n">
        <v>0</v>
      </c>
      <c r="P564" s="30" t="n">
        <v>450</v>
      </c>
      <c r="Q564" s="31" t="inlineStr">
        <is>
          <t>In Stock</t>
        </is>
      </c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5" customHeight="1" s="85">
      <c r="A565" s="27" t="inlineStr">
        <is>
          <t>KERALA JATIKKA (NUTMEG) 100GM</t>
        </is>
      </c>
      <c r="B565" s="27" t="n"/>
      <c r="C565" s="27" t="inlineStr">
        <is>
          <t>Masalas &amp; Spices</t>
        </is>
      </c>
      <c r="D565" s="28" t="inlineStr">
        <is>
          <t>92043995145</t>
        </is>
      </c>
      <c r="E565" s="27" t="n"/>
      <c r="F565" s="29" t="n">
        <v>0</v>
      </c>
      <c r="G565" s="29" t="n">
        <v>30</v>
      </c>
      <c r="H565" s="27" t="inlineStr">
        <is>
          <t>Inclusive</t>
        </is>
      </c>
      <c r="I565" s="29" t="n">
        <v>25</v>
      </c>
      <c r="J565" s="27" t="inlineStr">
        <is>
          <t>Inclusive</t>
        </is>
      </c>
      <c r="K565" s="29" t="n">
        <v>55</v>
      </c>
      <c r="L565" s="29" t="n">
        <v>2</v>
      </c>
      <c r="M565" s="33" t="n">
        <v>1</v>
      </c>
      <c r="N565" s="27" t="inlineStr">
        <is>
          <t>No</t>
        </is>
      </c>
      <c r="O565" s="29" t="n">
        <v>0</v>
      </c>
      <c r="P565" s="30" t="n">
        <v>450</v>
      </c>
      <c r="Q565" s="31" t="inlineStr">
        <is>
          <t>In Stock</t>
        </is>
      </c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5" customHeight="1" s="85">
      <c r="A566" s="27" t="inlineStr">
        <is>
          <t>KERALA JAVITRI (JATI PATRI) 25GM</t>
        </is>
      </c>
      <c r="B566" s="27" t="n"/>
      <c r="C566" s="27" t="inlineStr">
        <is>
          <t>Masalas &amp; Spices</t>
        </is>
      </c>
      <c r="D566" s="32" t="inlineStr">
        <is>
          <t>100218</t>
        </is>
      </c>
      <c r="E566" s="27" t="n"/>
      <c r="F566" s="29" t="n">
        <v>0</v>
      </c>
      <c r="G566" s="29" t="n">
        <v>100</v>
      </c>
      <c r="H566" s="27" t="inlineStr">
        <is>
          <t>Inclusive</t>
        </is>
      </c>
      <c r="I566" s="29" t="n">
        <v>85</v>
      </c>
      <c r="J566" s="27" t="inlineStr">
        <is>
          <t>Inclusive</t>
        </is>
      </c>
      <c r="K566" s="29" t="n">
        <v>140</v>
      </c>
      <c r="L566" s="29" t="n">
        <v>0</v>
      </c>
      <c r="M566" s="33" t="n">
        <v>1</v>
      </c>
      <c r="N566" s="27" t="inlineStr">
        <is>
          <t>Yes</t>
        </is>
      </c>
      <c r="O566" s="29" t="n">
        <v>0</v>
      </c>
      <c r="P566" s="30" t="n">
        <v>450</v>
      </c>
      <c r="Q566" s="31" t="inlineStr">
        <is>
          <t>In Stock</t>
        </is>
      </c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5" customHeight="1" s="85">
      <c r="A567" s="27" t="inlineStr">
        <is>
          <t>KERALA KARUVA PATTA (CINNAMON) 100GM</t>
        </is>
      </c>
      <c r="B567" s="27" t="n"/>
      <c r="C567" s="27" t="inlineStr">
        <is>
          <t>Masalas &amp; Spices</t>
        </is>
      </c>
      <c r="D567" s="28" t="inlineStr">
        <is>
          <t>819108474409</t>
        </is>
      </c>
      <c r="E567" s="27" t="n"/>
      <c r="F567" s="29" t="n">
        <v>0</v>
      </c>
      <c r="G567" s="29" t="n">
        <v>40</v>
      </c>
      <c r="H567" s="27" t="inlineStr">
        <is>
          <t>Inclusive</t>
        </is>
      </c>
      <c r="I567" s="29" t="n">
        <v>30</v>
      </c>
      <c r="J567" s="27" t="inlineStr">
        <is>
          <t>Inclusive</t>
        </is>
      </c>
      <c r="K567" s="29" t="n">
        <v>60</v>
      </c>
      <c r="L567" s="29" t="n">
        <v>0</v>
      </c>
      <c r="M567" s="33" t="n">
        <v>1</v>
      </c>
      <c r="N567" s="27" t="inlineStr">
        <is>
          <t>Yes</t>
        </is>
      </c>
      <c r="O567" s="29" t="n">
        <v>0</v>
      </c>
      <c r="P567" s="30" t="n">
        <v>450</v>
      </c>
      <c r="Q567" s="31" t="inlineStr">
        <is>
          <t>In Stock</t>
        </is>
      </c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5" customHeight="1" s="85">
      <c r="A568" s="27" t="inlineStr">
        <is>
          <t>KERALA MARKETFED MUSTARD 100GM</t>
        </is>
      </c>
      <c r="B568" s="27" t="n"/>
      <c r="C568" s="27" t="inlineStr">
        <is>
          <t>Masalas &amp; Spices</t>
        </is>
      </c>
      <c r="D568" s="28" t="inlineStr">
        <is>
          <t>8906051345317</t>
        </is>
      </c>
      <c r="E568" s="27" t="n"/>
      <c r="F568" s="29" t="n">
        <v>0</v>
      </c>
      <c r="G568" s="29" t="n">
        <v>29</v>
      </c>
      <c r="H568" s="27" t="inlineStr">
        <is>
          <t>Exclusive</t>
        </is>
      </c>
      <c r="I568" s="29" t="n">
        <v>19</v>
      </c>
      <c r="J568" s="27" t="inlineStr">
        <is>
          <t>Exclusive</t>
        </is>
      </c>
      <c r="K568" s="29" t="n">
        <v>29</v>
      </c>
      <c r="L568" s="29" t="n">
        <v>0</v>
      </c>
      <c r="M568" s="33" t="n">
        <v>1</v>
      </c>
      <c r="N568" s="27" t="inlineStr">
        <is>
          <t>Yes</t>
        </is>
      </c>
      <c r="O568" s="29" t="n">
        <v>0</v>
      </c>
      <c r="P568" s="30" t="n">
        <v>450</v>
      </c>
      <c r="Q568" s="31" t="inlineStr">
        <is>
          <t>In Stock</t>
        </is>
      </c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5" customHeight="1" s="85">
      <c r="A569" s="27" t="inlineStr">
        <is>
          <t>KERALA MFED JEERA 100GM</t>
        </is>
      </c>
      <c r="B569" s="27" t="n"/>
      <c r="C569" s="27" t="inlineStr">
        <is>
          <t>Masalas &amp; Spices</t>
        </is>
      </c>
      <c r="D569" s="28" t="inlineStr">
        <is>
          <t>8906051345171</t>
        </is>
      </c>
      <c r="E569" s="27" t="n"/>
      <c r="F569" s="29" t="n">
        <v>0</v>
      </c>
      <c r="G569" s="29" t="n">
        <v>77</v>
      </c>
      <c r="H569" s="27" t="inlineStr">
        <is>
          <t>Inclusive</t>
        </is>
      </c>
      <c r="I569" s="29" t="n">
        <v>55</v>
      </c>
      <c r="J569" s="27" t="inlineStr">
        <is>
          <t>Inclusive</t>
        </is>
      </c>
      <c r="K569" s="29" t="n">
        <v>77</v>
      </c>
      <c r="L569" s="29" t="n">
        <v>2</v>
      </c>
      <c r="M569" s="33" t="n">
        <v>1</v>
      </c>
      <c r="N569" s="27" t="inlineStr">
        <is>
          <t>Yes</t>
        </is>
      </c>
      <c r="O569" s="29" t="n">
        <v>0</v>
      </c>
      <c r="P569" s="30" t="n">
        <v>450</v>
      </c>
      <c r="Q569" s="31" t="inlineStr">
        <is>
          <t>In Stock</t>
        </is>
      </c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5" customHeight="1" s="85">
      <c r="A570" s="27" t="inlineStr">
        <is>
          <t>KERALA MFED SOUF (PERUM JEERAKAM) 100GM</t>
        </is>
      </c>
      <c r="B570" s="27" t="n"/>
      <c r="C570" s="27" t="inlineStr">
        <is>
          <t>Masalas &amp; Spices</t>
        </is>
      </c>
      <c r="D570" s="28" t="inlineStr">
        <is>
          <t>8906051345201</t>
        </is>
      </c>
      <c r="E570" s="27" t="n"/>
      <c r="F570" s="29" t="n">
        <v>0</v>
      </c>
      <c r="G570" s="29" t="n">
        <v>72</v>
      </c>
      <c r="H570" s="27" t="inlineStr">
        <is>
          <t>Inclusive</t>
        </is>
      </c>
      <c r="I570" s="29" t="n">
        <v>65</v>
      </c>
      <c r="J570" s="27" t="inlineStr">
        <is>
          <t>Inclusive</t>
        </is>
      </c>
      <c r="K570" s="29" t="n">
        <v>72</v>
      </c>
      <c r="L570" s="29" t="n">
        <v>0</v>
      </c>
      <c r="M570" s="33" t="n">
        <v>1</v>
      </c>
      <c r="N570" s="27" t="inlineStr">
        <is>
          <t>Yes</t>
        </is>
      </c>
      <c r="O570" s="29" t="n">
        <v>0</v>
      </c>
      <c r="P570" s="30" t="n">
        <v>450</v>
      </c>
      <c r="Q570" s="31" t="inlineStr">
        <is>
          <t>In Stock</t>
        </is>
      </c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5" customHeight="1" s="85">
      <c r="A571" s="27" t="inlineStr">
        <is>
          <t>KERALA MFED ULUVA 100GM</t>
        </is>
      </c>
      <c r="B571" s="27" t="n"/>
      <c r="C571" s="27" t="inlineStr">
        <is>
          <t>Masalas &amp; Spices</t>
        </is>
      </c>
      <c r="D571" s="28" t="inlineStr">
        <is>
          <t>8906051345379</t>
        </is>
      </c>
      <c r="E571" s="27" t="n"/>
      <c r="F571" s="29" t="n">
        <v>0</v>
      </c>
      <c r="G571" s="29" t="n">
        <v>26</v>
      </c>
      <c r="H571" s="27" t="inlineStr">
        <is>
          <t>Inclusive</t>
        </is>
      </c>
      <c r="I571" s="29" t="n">
        <v>19</v>
      </c>
      <c r="J571" s="27" t="inlineStr">
        <is>
          <t>Inclusive</t>
        </is>
      </c>
      <c r="K571" s="29" t="n">
        <v>26</v>
      </c>
      <c r="L571" s="29" t="n">
        <v>13</v>
      </c>
      <c r="M571" s="33" t="n">
        <v>1</v>
      </c>
      <c r="N571" s="27" t="inlineStr">
        <is>
          <t>Yes</t>
        </is>
      </c>
      <c r="O571" s="29" t="n">
        <v>0</v>
      </c>
      <c r="P571" s="30" t="n">
        <v>450</v>
      </c>
      <c r="Q571" s="31" t="inlineStr">
        <is>
          <t>In Stock</t>
        </is>
      </c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5" customHeight="1" s="85">
      <c r="A572" s="27" t="inlineStr">
        <is>
          <t>KERALA PAPPADAM 100GM</t>
        </is>
      </c>
      <c r="B572" s="27" t="n"/>
      <c r="C572" s="27" t="inlineStr">
        <is>
          <t>Snacks</t>
        </is>
      </c>
      <c r="D572" s="28" t="inlineStr">
        <is>
          <t>324677803473</t>
        </is>
      </c>
      <c r="E572" s="27" t="n"/>
      <c r="F572" s="29" t="n">
        <v>0</v>
      </c>
      <c r="G572" s="29" t="n">
        <v>40</v>
      </c>
      <c r="H572" s="27" t="inlineStr">
        <is>
          <t>Exclusive</t>
        </is>
      </c>
      <c r="I572" s="29" t="n">
        <v>22</v>
      </c>
      <c r="J572" s="27" t="inlineStr">
        <is>
          <t>Exclusive</t>
        </is>
      </c>
      <c r="K572" s="29" t="n">
        <v>40</v>
      </c>
      <c r="L572" s="29" t="n">
        <v>0</v>
      </c>
      <c r="M572" s="33" t="n">
        <v>1</v>
      </c>
      <c r="N572" s="27" t="inlineStr">
        <is>
          <t>Yes</t>
        </is>
      </c>
      <c r="O572" s="29" t="n">
        <v>0</v>
      </c>
      <c r="P572" s="30" t="n">
        <v>450</v>
      </c>
      <c r="Q572" s="31" t="inlineStr">
        <is>
          <t>In Stock</t>
        </is>
      </c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5" customHeight="1" s="85">
      <c r="A573" s="27" t="inlineStr">
        <is>
          <t>KERALA PARATTA</t>
        </is>
      </c>
      <c r="B573" s="27" t="n"/>
      <c r="C573" s="27" t="inlineStr">
        <is>
          <t>Ready to Eat &amp; Mixes</t>
        </is>
      </c>
      <c r="D573" s="32" t="inlineStr">
        <is>
          <t>100219</t>
        </is>
      </c>
      <c r="E573" s="27" t="n"/>
      <c r="F573" s="29" t="n">
        <v>0</v>
      </c>
      <c r="G573" s="29" t="n">
        <v>15</v>
      </c>
      <c r="H573" s="27" t="inlineStr">
        <is>
          <t>Exclusive</t>
        </is>
      </c>
      <c r="I573" s="29" t="n">
        <v>9</v>
      </c>
      <c r="J573" s="27" t="inlineStr">
        <is>
          <t>Exclusive</t>
        </is>
      </c>
      <c r="K573" s="29" t="n">
        <v>20</v>
      </c>
      <c r="L573" s="29" t="n">
        <v>0</v>
      </c>
      <c r="M573" s="33" t="n">
        <v>1</v>
      </c>
      <c r="N573" s="27" t="inlineStr">
        <is>
          <t>Yes</t>
        </is>
      </c>
      <c r="O573" s="29" t="n">
        <v>0</v>
      </c>
      <c r="P573" s="30" t="n">
        <v>450</v>
      </c>
      <c r="Q573" s="31" t="inlineStr">
        <is>
          <t>In Stock</t>
        </is>
      </c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5" customHeight="1" s="85">
      <c r="A574" s="27" t="inlineStr">
        <is>
          <t>KERALA TECH VIRGIN COCONUT OIL 500GM</t>
        </is>
      </c>
      <c r="B574" s="27" t="n"/>
      <c r="C574" s="27" t="inlineStr">
        <is>
          <t>Edible Oils &amp; Ghee</t>
        </is>
      </c>
      <c r="D574" s="28" t="inlineStr">
        <is>
          <t>8908000512122</t>
        </is>
      </c>
      <c r="E574" s="27" t="n"/>
      <c r="F574" s="29" t="n">
        <v>0</v>
      </c>
      <c r="G574" s="29" t="n">
        <v>385</v>
      </c>
      <c r="H574" s="27" t="inlineStr">
        <is>
          <t>Exclusive</t>
        </is>
      </c>
      <c r="I574" s="29" t="n">
        <v>378</v>
      </c>
      <c r="J574" s="27" t="inlineStr">
        <is>
          <t>Exclusive</t>
        </is>
      </c>
      <c r="K574" s="29" t="n">
        <v>385</v>
      </c>
      <c r="L574" s="29" t="n">
        <v>1</v>
      </c>
      <c r="M574" s="33" t="n">
        <v>1</v>
      </c>
      <c r="N574" s="27" t="inlineStr">
        <is>
          <t>Yes</t>
        </is>
      </c>
      <c r="O574" s="29" t="n">
        <v>0</v>
      </c>
      <c r="P574" s="30" t="n">
        <v>450</v>
      </c>
      <c r="Q574" s="31" t="inlineStr">
        <is>
          <t>In Stock</t>
        </is>
      </c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5" customHeight="1" s="85">
      <c r="A575" s="27" t="inlineStr">
        <is>
          <t>KEY CHAIN 23 BROWN STITCHED</t>
        </is>
      </c>
      <c r="B575" s="27" t="n"/>
      <c r="C575" s="27" t="inlineStr">
        <is>
          <t>Church Articles</t>
        </is>
      </c>
      <c r="D575" s="32" t="inlineStr">
        <is>
          <t>100220</t>
        </is>
      </c>
      <c r="E575" s="27" t="n"/>
      <c r="F575" s="29" t="n">
        <v>0</v>
      </c>
      <c r="G575" s="29" t="n">
        <v>160</v>
      </c>
      <c r="H575" s="27" t="inlineStr">
        <is>
          <t>Exclusive</t>
        </is>
      </c>
      <c r="I575" s="29" t="n">
        <v>80</v>
      </c>
      <c r="J575" s="27" t="inlineStr">
        <is>
          <t>Exclusive</t>
        </is>
      </c>
      <c r="K575" s="29" t="n">
        <v>175</v>
      </c>
      <c r="L575" s="29" t="n">
        <v>10</v>
      </c>
      <c r="M575" s="33" t="n">
        <v>1</v>
      </c>
      <c r="N575" s="27" t="inlineStr">
        <is>
          <t>Yes</t>
        </is>
      </c>
      <c r="O575" s="29" t="n">
        <v>0</v>
      </c>
      <c r="P575" s="30" t="n">
        <v>450</v>
      </c>
      <c r="Q575" s="31" t="inlineStr">
        <is>
          <t>In Stock</t>
        </is>
      </c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5" customHeight="1" s="85">
      <c r="A576" s="27" t="inlineStr">
        <is>
          <t>KEY CHAIN 23 JESUS PLASTIC</t>
        </is>
      </c>
      <c r="B576" s="27" t="n"/>
      <c r="C576" s="27" t="inlineStr">
        <is>
          <t>Church Articles</t>
        </is>
      </c>
      <c r="D576" s="32" t="inlineStr">
        <is>
          <t>100221</t>
        </is>
      </c>
      <c r="E576" s="27" t="n"/>
      <c r="F576" s="29" t="n">
        <v>0</v>
      </c>
      <c r="G576" s="29" t="n">
        <v>25</v>
      </c>
      <c r="H576" s="27" t="inlineStr">
        <is>
          <t>Exclusive</t>
        </is>
      </c>
      <c r="I576" s="29" t="n">
        <v>15</v>
      </c>
      <c r="J576" s="27" t="inlineStr">
        <is>
          <t>Exclusive</t>
        </is>
      </c>
      <c r="K576" s="29" t="n">
        <v>35</v>
      </c>
      <c r="L576" s="29" t="n">
        <v>0</v>
      </c>
      <c r="M576" s="33" t="n">
        <v>1</v>
      </c>
      <c r="N576" s="27" t="inlineStr">
        <is>
          <t>Yes</t>
        </is>
      </c>
      <c r="O576" s="29" t="n">
        <v>0</v>
      </c>
      <c r="P576" s="30" t="n">
        <v>450</v>
      </c>
      <c r="Q576" s="31" t="inlineStr">
        <is>
          <t>In Stock</t>
        </is>
      </c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5" customHeight="1" s="85">
      <c r="A577" s="27" t="inlineStr">
        <is>
          <t>KEY CHAIN 23 OVEL PLASTIC</t>
        </is>
      </c>
      <c r="B577" s="27" t="n"/>
      <c r="C577" s="27" t="inlineStr">
        <is>
          <t>Church Articles</t>
        </is>
      </c>
      <c r="D577" s="32" t="inlineStr">
        <is>
          <t>100222</t>
        </is>
      </c>
      <c r="E577" s="27" t="n"/>
      <c r="F577" s="29" t="n">
        <v>0</v>
      </c>
      <c r="G577" s="29" t="n">
        <v>40</v>
      </c>
      <c r="H577" s="27" t="inlineStr">
        <is>
          <t>Exclusive</t>
        </is>
      </c>
      <c r="I577" s="29" t="n">
        <v>20</v>
      </c>
      <c r="J577" s="27" t="inlineStr">
        <is>
          <t>Exclusive</t>
        </is>
      </c>
      <c r="K577" s="29" t="n">
        <v>50</v>
      </c>
      <c r="L577" s="29" t="n">
        <v>11</v>
      </c>
      <c r="M577" s="33" t="n">
        <v>1</v>
      </c>
      <c r="N577" s="27" t="inlineStr">
        <is>
          <t>Yes</t>
        </is>
      </c>
      <c r="O577" s="29" t="n">
        <v>0</v>
      </c>
      <c r="P577" s="30" t="n">
        <v>450</v>
      </c>
      <c r="Q577" s="31" t="inlineStr">
        <is>
          <t>In Stock</t>
        </is>
      </c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5" customHeight="1" s="85">
      <c r="A578" s="27" t="inlineStr">
        <is>
          <t>KEY CHAIN 23 PLASTIC</t>
        </is>
      </c>
      <c r="B578" s="27" t="n"/>
      <c r="C578" s="27" t="inlineStr">
        <is>
          <t>Church Articles</t>
        </is>
      </c>
      <c r="D578" s="32" t="inlineStr">
        <is>
          <t>100223</t>
        </is>
      </c>
      <c r="E578" s="27" t="n"/>
      <c r="F578" s="29" t="n">
        <v>0</v>
      </c>
      <c r="G578" s="29" t="n">
        <v>25</v>
      </c>
      <c r="H578" s="27" t="inlineStr">
        <is>
          <t>Exclusive</t>
        </is>
      </c>
      <c r="I578" s="29" t="n">
        <v>15</v>
      </c>
      <c r="J578" s="27" t="inlineStr">
        <is>
          <t>Exclusive</t>
        </is>
      </c>
      <c r="K578" s="29" t="n">
        <v>35</v>
      </c>
      <c r="L578" s="29" t="n">
        <v>11</v>
      </c>
      <c r="M578" s="33" t="n">
        <v>1</v>
      </c>
      <c r="N578" s="27" t="inlineStr">
        <is>
          <t>Yes</t>
        </is>
      </c>
      <c r="O578" s="29" t="n">
        <v>0</v>
      </c>
      <c r="P578" s="30" t="n">
        <v>450</v>
      </c>
      <c r="Q578" s="31" t="inlineStr">
        <is>
          <t>In Stock</t>
        </is>
      </c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5" customHeight="1" s="85">
      <c r="A579" s="27" t="inlineStr">
        <is>
          <t>KEY CHAIN 23 REXINE</t>
        </is>
      </c>
      <c r="B579" s="27" t="n"/>
      <c r="C579" s="27" t="inlineStr">
        <is>
          <t>Church Articles</t>
        </is>
      </c>
      <c r="D579" s="32" t="inlineStr">
        <is>
          <t>100224</t>
        </is>
      </c>
      <c r="E579" s="27" t="n"/>
      <c r="F579" s="29" t="n">
        <v>0</v>
      </c>
      <c r="G579" s="29" t="n">
        <v>80</v>
      </c>
      <c r="H579" s="27" t="inlineStr">
        <is>
          <t>Exclusive</t>
        </is>
      </c>
      <c r="I579" s="29" t="n">
        <v>50</v>
      </c>
      <c r="J579" s="27" t="inlineStr">
        <is>
          <t>Exclusive</t>
        </is>
      </c>
      <c r="K579" s="29" t="n">
        <v>100</v>
      </c>
      <c r="L579" s="29" t="n">
        <v>7</v>
      </c>
      <c r="M579" s="33" t="n">
        <v>1</v>
      </c>
      <c r="N579" s="27" t="inlineStr">
        <is>
          <t>Yes</t>
        </is>
      </c>
      <c r="O579" s="29" t="n">
        <v>0</v>
      </c>
      <c r="P579" s="30" t="n">
        <v>450</v>
      </c>
      <c r="Q579" s="31" t="inlineStr">
        <is>
          <t>In Stock</t>
        </is>
      </c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5" customHeight="1" s="85">
      <c r="A580" s="27" t="inlineStr">
        <is>
          <t>KEY CHAIN 23 ROUND STEEL CROSS 1</t>
        </is>
      </c>
      <c r="B580" s="27" t="n"/>
      <c r="C580" s="27" t="inlineStr">
        <is>
          <t>Church Articles</t>
        </is>
      </c>
      <c r="D580" s="32" t="inlineStr">
        <is>
          <t>100225</t>
        </is>
      </c>
      <c r="E580" s="27" t="n"/>
      <c r="F580" s="29" t="n">
        <v>0</v>
      </c>
      <c r="G580" s="29" t="n">
        <v>150</v>
      </c>
      <c r="H580" s="27" t="inlineStr">
        <is>
          <t>Exclusive</t>
        </is>
      </c>
      <c r="I580" s="29" t="n">
        <v>90</v>
      </c>
      <c r="J580" s="27" t="inlineStr">
        <is>
          <t>Exclusive</t>
        </is>
      </c>
      <c r="K580" s="29" t="n">
        <v>175</v>
      </c>
      <c r="L580" s="29" t="n">
        <v>10</v>
      </c>
      <c r="M580" s="33" t="n">
        <v>1</v>
      </c>
      <c r="N580" s="27" t="inlineStr">
        <is>
          <t>Yes</t>
        </is>
      </c>
      <c r="O580" s="29" t="n">
        <v>0</v>
      </c>
      <c r="P580" s="30" t="n">
        <v>450</v>
      </c>
      <c r="Q580" s="31" t="inlineStr">
        <is>
          <t>In Stock</t>
        </is>
      </c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5" customHeight="1" s="85">
      <c r="A581" s="27" t="inlineStr">
        <is>
          <t>KEY CHAIN 23 ROUND STEEL CROSS 2</t>
        </is>
      </c>
      <c r="B581" s="27" t="n"/>
      <c r="C581" s="27" t="inlineStr">
        <is>
          <t>Church Articles</t>
        </is>
      </c>
      <c r="D581" s="32" t="inlineStr">
        <is>
          <t>100226</t>
        </is>
      </c>
      <c r="E581" s="27" t="n"/>
      <c r="F581" s="29" t="n">
        <v>0</v>
      </c>
      <c r="G581" s="29" t="n">
        <v>140</v>
      </c>
      <c r="H581" s="27" t="inlineStr">
        <is>
          <t>Exclusive</t>
        </is>
      </c>
      <c r="I581" s="29" t="n">
        <v>80</v>
      </c>
      <c r="J581" s="27" t="inlineStr">
        <is>
          <t>Exclusive</t>
        </is>
      </c>
      <c r="K581" s="29" t="n">
        <v>160</v>
      </c>
      <c r="L581" s="29" t="n">
        <v>8</v>
      </c>
      <c r="M581" s="33" t="n">
        <v>1</v>
      </c>
      <c r="N581" s="27" t="inlineStr">
        <is>
          <t>Yes</t>
        </is>
      </c>
      <c r="O581" s="29" t="n">
        <v>0</v>
      </c>
      <c r="P581" s="30" t="n">
        <v>450</v>
      </c>
      <c r="Q581" s="31" t="inlineStr">
        <is>
          <t>In Stock</t>
        </is>
      </c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5" customHeight="1" s="85">
      <c r="A582" s="27" t="inlineStr">
        <is>
          <t>KEY CHAIN 23 STEEL 1</t>
        </is>
      </c>
      <c r="B582" s="27" t="n"/>
      <c r="C582" s="27" t="inlineStr">
        <is>
          <t>Church Articles</t>
        </is>
      </c>
      <c r="D582" s="32" t="inlineStr">
        <is>
          <t>100227</t>
        </is>
      </c>
      <c r="E582" s="27" t="n"/>
      <c r="F582" s="29" t="n">
        <v>0</v>
      </c>
      <c r="G582" s="29" t="n">
        <v>90</v>
      </c>
      <c r="H582" s="27" t="inlineStr">
        <is>
          <t>Exclusive</t>
        </is>
      </c>
      <c r="I582" s="29" t="n">
        <v>60</v>
      </c>
      <c r="J582" s="27" t="inlineStr">
        <is>
          <t>Exclusive</t>
        </is>
      </c>
      <c r="K582" s="29" t="n">
        <v>100</v>
      </c>
      <c r="L582" s="29" t="n">
        <v>5</v>
      </c>
      <c r="M582" s="33" t="n">
        <v>1</v>
      </c>
      <c r="N582" s="27" t="inlineStr">
        <is>
          <t>Yes</t>
        </is>
      </c>
      <c r="O582" s="29" t="n">
        <v>0</v>
      </c>
      <c r="P582" s="30" t="n">
        <v>450</v>
      </c>
      <c r="Q582" s="31" t="inlineStr">
        <is>
          <t>In Stock</t>
        </is>
      </c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5" customHeight="1" s="85">
      <c r="A583" s="27" t="inlineStr">
        <is>
          <t>KEY CHAIN 23 STEEL 2</t>
        </is>
      </c>
      <c r="B583" s="27" t="n"/>
      <c r="C583" s="27" t="inlineStr">
        <is>
          <t>Church Articles</t>
        </is>
      </c>
      <c r="D583" s="32" t="inlineStr">
        <is>
          <t>100228</t>
        </is>
      </c>
      <c r="E583" s="27" t="n"/>
      <c r="F583" s="29" t="n">
        <v>0</v>
      </c>
      <c r="G583" s="29" t="n">
        <v>90</v>
      </c>
      <c r="H583" s="27" t="inlineStr">
        <is>
          <t>Exclusive</t>
        </is>
      </c>
      <c r="I583" s="29" t="n">
        <v>60</v>
      </c>
      <c r="J583" s="27" t="inlineStr">
        <is>
          <t>Exclusive</t>
        </is>
      </c>
      <c r="K583" s="29" t="n">
        <v>100</v>
      </c>
      <c r="L583" s="29" t="n">
        <v>10</v>
      </c>
      <c r="M583" s="33" t="n">
        <v>1</v>
      </c>
      <c r="N583" s="27" t="inlineStr">
        <is>
          <t>Yes</t>
        </is>
      </c>
      <c r="O583" s="29" t="n">
        <v>0</v>
      </c>
      <c r="P583" s="30" t="n">
        <v>450</v>
      </c>
      <c r="Q583" s="31" t="inlineStr">
        <is>
          <t>In Stock</t>
        </is>
      </c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5" customHeight="1" s="85">
      <c r="A584" s="27" t="inlineStr">
        <is>
          <t>KEY CHAIN 23 WOODEN</t>
        </is>
      </c>
      <c r="B584" s="27" t="n"/>
      <c r="C584" s="27" t="inlineStr">
        <is>
          <t>Church Articles</t>
        </is>
      </c>
      <c r="D584" s="32" t="inlineStr">
        <is>
          <t>100229</t>
        </is>
      </c>
      <c r="E584" s="27" t="n"/>
      <c r="F584" s="29" t="n">
        <v>0</v>
      </c>
      <c r="G584" s="29" t="n">
        <v>40</v>
      </c>
      <c r="H584" s="27" t="inlineStr">
        <is>
          <t>Exclusive</t>
        </is>
      </c>
      <c r="I584" s="29" t="n">
        <v>25</v>
      </c>
      <c r="J584" s="27" t="inlineStr">
        <is>
          <t>Exclusive</t>
        </is>
      </c>
      <c r="K584" s="29" t="n">
        <v>50</v>
      </c>
      <c r="L584" s="29" t="n">
        <v>8</v>
      </c>
      <c r="M584" s="33" t="n">
        <v>1</v>
      </c>
      <c r="N584" s="27" t="inlineStr">
        <is>
          <t>Yes</t>
        </is>
      </c>
      <c r="O584" s="29" t="n">
        <v>0</v>
      </c>
      <c r="P584" s="30" t="n">
        <v>450</v>
      </c>
      <c r="Q584" s="31" t="inlineStr">
        <is>
          <t>In Stock</t>
        </is>
      </c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5" customHeight="1" s="85">
      <c r="A585" s="27" t="inlineStr">
        <is>
          <t>KEY CHAIN PLASTIC</t>
        </is>
      </c>
      <c r="B585" s="27" t="n"/>
      <c r="C585" s="27" t="inlineStr">
        <is>
          <t>Church Articles</t>
        </is>
      </c>
      <c r="D585" s="34" t="inlineStr">
        <is>
          <t>KCPl</t>
        </is>
      </c>
      <c r="E585" s="27" t="n"/>
      <c r="F585" s="29" t="n">
        <v>0</v>
      </c>
      <c r="G585" s="29" t="n">
        <v>25</v>
      </c>
      <c r="H585" s="27" t="inlineStr">
        <is>
          <t>Inclusive</t>
        </is>
      </c>
      <c r="I585" s="29" t="n">
        <v>10</v>
      </c>
      <c r="J585" s="27" t="inlineStr">
        <is>
          <t>Inclusive</t>
        </is>
      </c>
      <c r="K585" s="29" t="n">
        <v>35</v>
      </c>
      <c r="L585" s="29" t="n">
        <v>0</v>
      </c>
      <c r="M585" s="33" t="n">
        <v>1</v>
      </c>
      <c r="N585" s="27" t="inlineStr">
        <is>
          <t>Yes</t>
        </is>
      </c>
      <c r="O585" s="29" t="n">
        <v>0</v>
      </c>
      <c r="P585" s="30" t="n">
        <v>450</v>
      </c>
      <c r="Q585" s="31" t="inlineStr">
        <is>
          <t>In Stock</t>
        </is>
      </c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5" customHeight="1" s="85">
      <c r="A586" s="27" t="inlineStr">
        <is>
          <t>KEY CHAIN STEEL CROSS</t>
        </is>
      </c>
      <c r="B586" s="27" t="n"/>
      <c r="C586" s="27" t="inlineStr">
        <is>
          <t>Church Articles</t>
        </is>
      </c>
      <c r="D586" s="32" t="inlineStr">
        <is>
          <t>100231</t>
        </is>
      </c>
      <c r="E586" s="27" t="n"/>
      <c r="F586" s="29" t="n">
        <v>0</v>
      </c>
      <c r="G586" s="29" t="n">
        <v>35</v>
      </c>
      <c r="H586" s="27" t="inlineStr">
        <is>
          <t>Exclusive</t>
        </is>
      </c>
      <c r="I586" s="29" t="n">
        <v>30</v>
      </c>
      <c r="J586" s="27" t="inlineStr">
        <is>
          <t>Exclusive</t>
        </is>
      </c>
      <c r="K586" s="29" t="n">
        <v>50</v>
      </c>
      <c r="L586" s="29" t="n">
        <v>11</v>
      </c>
      <c r="M586" s="33" t="n">
        <v>1</v>
      </c>
      <c r="N586" s="27" t="inlineStr">
        <is>
          <t>Yes</t>
        </is>
      </c>
      <c r="O586" s="29" t="n">
        <v>0</v>
      </c>
      <c r="P586" s="30" t="n">
        <v>450</v>
      </c>
      <c r="Q586" s="31" t="inlineStr">
        <is>
          <t>In Stock</t>
        </is>
      </c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5" customHeight="1" s="85">
      <c r="A587" s="27" t="inlineStr">
        <is>
          <t>KEY CHAIN- WOOD CROSS</t>
        </is>
      </c>
      <c r="B587" s="27" t="n"/>
      <c r="C587" s="27" t="inlineStr">
        <is>
          <t>Church Articles</t>
        </is>
      </c>
      <c r="D587" s="32" t="inlineStr">
        <is>
          <t>100232</t>
        </is>
      </c>
      <c r="E587" s="27" t="n"/>
      <c r="F587" s="29" t="n">
        <v>0</v>
      </c>
      <c r="G587" s="29" t="n">
        <v>40</v>
      </c>
      <c r="H587" s="27" t="inlineStr">
        <is>
          <t>Inclusive</t>
        </is>
      </c>
      <c r="I587" s="29" t="n">
        <v>22.5</v>
      </c>
      <c r="J587" s="27" t="inlineStr">
        <is>
          <t>Inclusive</t>
        </is>
      </c>
      <c r="K587" s="29" t="n">
        <v>40</v>
      </c>
      <c r="L587" s="29" t="n">
        <v>0</v>
      </c>
      <c r="M587" s="33" t="n">
        <v>1</v>
      </c>
      <c r="N587" s="27" t="inlineStr">
        <is>
          <t>Yes</t>
        </is>
      </c>
      <c r="O587" s="29" t="n">
        <v>0</v>
      </c>
      <c r="P587" s="30" t="n">
        <v>450</v>
      </c>
      <c r="Q587" s="31" t="inlineStr">
        <is>
          <t>In Stock</t>
        </is>
      </c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5" customHeight="1" s="85">
      <c r="A588" s="27" t="inlineStr">
        <is>
          <t>KIDS KASAV MUNDU</t>
        </is>
      </c>
      <c r="B588" s="27" t="n"/>
      <c r="C588" s="27" t="inlineStr">
        <is>
          <t>Kerala Clothing</t>
        </is>
      </c>
      <c r="D588" s="32" t="inlineStr">
        <is>
          <t>100233</t>
        </is>
      </c>
      <c r="E588" s="27" t="n"/>
      <c r="F588" s="29" t="n">
        <v>0</v>
      </c>
      <c r="G588" s="29" t="n">
        <v>230</v>
      </c>
      <c r="H588" s="27" t="inlineStr">
        <is>
          <t>Inclusive</t>
        </is>
      </c>
      <c r="I588" s="29" t="n">
        <v>140</v>
      </c>
      <c r="J588" s="27" t="inlineStr">
        <is>
          <t>Inclusive</t>
        </is>
      </c>
      <c r="K588" s="29" t="n">
        <v>270</v>
      </c>
      <c r="L588" s="29" t="n">
        <v>0</v>
      </c>
      <c r="M588" s="33" t="n">
        <v>1</v>
      </c>
      <c r="N588" s="27" t="inlineStr">
        <is>
          <t>No</t>
        </is>
      </c>
      <c r="O588" s="29" t="n">
        <v>0</v>
      </c>
      <c r="P588" s="30" t="n">
        <v>450</v>
      </c>
      <c r="Q588" s="31" t="inlineStr">
        <is>
          <t>In Stock</t>
        </is>
      </c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5" customHeight="1" s="85">
      <c r="A589" s="27" t="inlineStr">
        <is>
          <t>KIRUBAI ANDHRA MURUK 150 GM</t>
        </is>
      </c>
      <c r="B589" s="27" t="n"/>
      <c r="C589" s="27" t="inlineStr">
        <is>
          <t>Snacks</t>
        </is>
      </c>
      <c r="D589" s="28" t="inlineStr">
        <is>
          <t>8906069900171</t>
        </is>
      </c>
      <c r="E589" s="27" t="n"/>
      <c r="F589" s="29" t="n">
        <v>0</v>
      </c>
      <c r="G589" s="29" t="n">
        <v>77</v>
      </c>
      <c r="H589" s="27" t="inlineStr">
        <is>
          <t>Exclusive</t>
        </is>
      </c>
      <c r="I589" s="29" t="n">
        <v>55</v>
      </c>
      <c r="J589" s="27" t="inlineStr">
        <is>
          <t>Exclusive</t>
        </is>
      </c>
      <c r="K589" s="29" t="n">
        <v>80</v>
      </c>
      <c r="L589" s="29" t="n">
        <v>0</v>
      </c>
      <c r="M589" s="33" t="n">
        <v>1</v>
      </c>
      <c r="N589" s="27" t="inlineStr">
        <is>
          <t>Yes</t>
        </is>
      </c>
      <c r="O589" s="29" t="n">
        <v>0</v>
      </c>
      <c r="P589" s="30" t="n">
        <v>450</v>
      </c>
      <c r="Q589" s="31" t="inlineStr">
        <is>
          <t>In Stock</t>
        </is>
      </c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5" customHeight="1" s="85">
      <c r="A590" s="27" t="inlineStr">
        <is>
          <t>KIRUBAI ANDHRA MURUK WHITE 159</t>
        </is>
      </c>
      <c r="B590" s="27" t="n"/>
      <c r="C590" s="27" t="inlineStr">
        <is>
          <t>Snacks</t>
        </is>
      </c>
      <c r="D590" s="28" t="inlineStr">
        <is>
          <t>8906069900164</t>
        </is>
      </c>
      <c r="E590" s="27" t="n"/>
      <c r="F590" s="29" t="n">
        <v>0</v>
      </c>
      <c r="G590" s="29" t="n">
        <v>80</v>
      </c>
      <c r="H590" s="27" t="inlineStr">
        <is>
          <t>Exclusive</t>
        </is>
      </c>
      <c r="I590" s="29" t="n">
        <v>55</v>
      </c>
      <c r="J590" s="27" t="inlineStr">
        <is>
          <t>Exclusive</t>
        </is>
      </c>
      <c r="K590" s="29" t="n">
        <v>80</v>
      </c>
      <c r="L590" s="29" t="n">
        <v>3</v>
      </c>
      <c r="M590" s="33" t="n">
        <v>1</v>
      </c>
      <c r="N590" s="27" t="inlineStr">
        <is>
          <t>Yes</t>
        </is>
      </c>
      <c r="O590" s="29" t="n">
        <v>0</v>
      </c>
      <c r="P590" s="30" t="n">
        <v>450</v>
      </c>
      <c r="Q590" s="31" t="inlineStr">
        <is>
          <t>In Stock</t>
        </is>
      </c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5" customHeight="1" s="85">
      <c r="A591" s="27" t="inlineStr">
        <is>
          <t>KIRUBAI BUTTER MURUK 150GM</t>
        </is>
      </c>
      <c r="B591" s="27" t="n"/>
      <c r="C591" s="27" t="inlineStr">
        <is>
          <t>Snacks</t>
        </is>
      </c>
      <c r="D591" s="28" t="inlineStr">
        <is>
          <t>8906069900133</t>
        </is>
      </c>
      <c r="E591" s="27" t="n"/>
      <c r="F591" s="29" t="n">
        <v>0</v>
      </c>
      <c r="G591" s="29" t="n">
        <v>77</v>
      </c>
      <c r="H591" s="27" t="inlineStr">
        <is>
          <t>Exclusive</t>
        </is>
      </c>
      <c r="I591" s="29" t="n">
        <v>55</v>
      </c>
      <c r="J591" s="27" t="inlineStr">
        <is>
          <t>Exclusive</t>
        </is>
      </c>
      <c r="K591" s="29" t="n">
        <v>80</v>
      </c>
      <c r="L591" s="29" t="n">
        <v>0</v>
      </c>
      <c r="M591" s="33" t="n">
        <v>1</v>
      </c>
      <c r="N591" s="27" t="inlineStr">
        <is>
          <t>Yes</t>
        </is>
      </c>
      <c r="O591" s="29" t="n">
        <v>0</v>
      </c>
      <c r="P591" s="30" t="n">
        <v>450</v>
      </c>
      <c r="Q591" s="31" t="inlineStr">
        <is>
          <t>In Stock</t>
        </is>
      </c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5" customHeight="1" s="85">
      <c r="A592" s="27" t="inlineStr">
        <is>
          <t>KIRUBAI CHILLI TAPIOCA STICK</t>
        </is>
      </c>
      <c r="B592" s="27" t="n"/>
      <c r="C592" s="27" t="inlineStr">
        <is>
          <t>Snacks</t>
        </is>
      </c>
      <c r="D592" s="32" t="inlineStr">
        <is>
          <t>100234</t>
        </is>
      </c>
      <c r="E592" s="27" t="n"/>
      <c r="F592" s="29" t="n">
        <v>0</v>
      </c>
      <c r="G592" s="29" t="n">
        <v>80</v>
      </c>
      <c r="H592" s="27" t="inlineStr">
        <is>
          <t>Exclusive</t>
        </is>
      </c>
      <c r="I592" s="29" t="n">
        <v>70</v>
      </c>
      <c r="J592" s="27" t="inlineStr">
        <is>
          <t>Exclusive</t>
        </is>
      </c>
      <c r="K592" s="29" t="n">
        <v>80</v>
      </c>
      <c r="L592" s="29" t="n">
        <v>17</v>
      </c>
      <c r="M592" s="33" t="n">
        <v>1</v>
      </c>
      <c r="N592" s="27" t="inlineStr">
        <is>
          <t>Yes</t>
        </is>
      </c>
      <c r="O592" s="29" t="n">
        <v>0</v>
      </c>
      <c r="P592" s="30" t="n">
        <v>450</v>
      </c>
      <c r="Q592" s="31" t="inlineStr">
        <is>
          <t>In Stock</t>
        </is>
      </c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5" customHeight="1" s="85">
      <c r="A593" s="27" t="inlineStr">
        <is>
          <t>KIRUBAI MANAPARAI MURUK RED/WHITE</t>
        </is>
      </c>
      <c r="B593" s="27" t="n"/>
      <c r="C593" s="27" t="inlineStr">
        <is>
          <t>Snacks</t>
        </is>
      </c>
      <c r="D593" s="28" t="inlineStr">
        <is>
          <t>8906069901031</t>
        </is>
      </c>
      <c r="E593" s="27" t="n"/>
      <c r="F593" s="29" t="n">
        <v>0</v>
      </c>
      <c r="G593" s="29" t="n">
        <v>77</v>
      </c>
      <c r="H593" s="27" t="inlineStr">
        <is>
          <t>Exclusive</t>
        </is>
      </c>
      <c r="I593" s="29" t="n">
        <v>55</v>
      </c>
      <c r="J593" s="27" t="inlineStr">
        <is>
          <t>Exclusive</t>
        </is>
      </c>
      <c r="K593" s="29" t="n">
        <v>80</v>
      </c>
      <c r="L593" s="29" t="n">
        <v>20</v>
      </c>
      <c r="M593" s="33" t="n">
        <v>1</v>
      </c>
      <c r="N593" s="27" t="inlineStr">
        <is>
          <t>Yes</t>
        </is>
      </c>
      <c r="O593" s="29" t="n">
        <v>0</v>
      </c>
      <c r="P593" s="30" t="n">
        <v>450</v>
      </c>
      <c r="Q593" s="31" t="inlineStr">
        <is>
          <t>In Stock</t>
        </is>
      </c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5" customHeight="1" s="85">
      <c r="A594" s="27" t="inlineStr">
        <is>
          <t>KIRUBAI MURUK CHILLY</t>
        </is>
      </c>
      <c r="B594" s="27" t="n"/>
      <c r="C594" s="27" t="inlineStr">
        <is>
          <t>Snacks</t>
        </is>
      </c>
      <c r="D594" s="28" t="inlineStr">
        <is>
          <t>8906069900577</t>
        </is>
      </c>
      <c r="E594" s="27" t="n"/>
      <c r="F594" s="29" t="n">
        <v>0</v>
      </c>
      <c r="G594" s="29" t="n">
        <v>80</v>
      </c>
      <c r="H594" s="27" t="inlineStr">
        <is>
          <t>Exclusive</t>
        </is>
      </c>
      <c r="I594" s="29" t="n">
        <v>55</v>
      </c>
      <c r="J594" s="27" t="inlineStr">
        <is>
          <t>Exclusive</t>
        </is>
      </c>
      <c r="K594" s="29" t="n">
        <v>80</v>
      </c>
      <c r="L594" s="29" t="n">
        <v>0</v>
      </c>
      <c r="M594" s="33" t="n">
        <v>1</v>
      </c>
      <c r="N594" s="27" t="inlineStr">
        <is>
          <t>Yes</t>
        </is>
      </c>
      <c r="O594" s="29" t="n">
        <v>0</v>
      </c>
      <c r="P594" s="30" t="n">
        <v>450</v>
      </c>
      <c r="Q594" s="31" t="inlineStr">
        <is>
          <t>In Stock</t>
        </is>
      </c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5" customHeight="1" s="85">
      <c r="A595" s="27" t="inlineStr">
        <is>
          <t>KITAB E MUQADUS ROMAN HB</t>
        </is>
      </c>
      <c r="B595" s="27" t="n"/>
      <c r="C595" s="27" t="inlineStr">
        <is>
          <t>Books &amp; Bibles</t>
        </is>
      </c>
      <c r="D595" s="28" t="inlineStr">
        <is>
          <t>431123565597</t>
        </is>
      </c>
      <c r="E595" s="27" t="n"/>
      <c r="F595" s="29" t="n">
        <v>0</v>
      </c>
      <c r="G595" s="29" t="n">
        <v>250</v>
      </c>
      <c r="H595" s="27" t="inlineStr">
        <is>
          <t>Exclusive</t>
        </is>
      </c>
      <c r="I595" s="29" t="n">
        <v>170</v>
      </c>
      <c r="J595" s="27" t="inlineStr">
        <is>
          <t>Exclusive</t>
        </is>
      </c>
      <c r="K595" s="29" t="n">
        <v>300</v>
      </c>
      <c r="L595" s="29" t="n">
        <v>28</v>
      </c>
      <c r="M595" s="33" t="n">
        <v>1</v>
      </c>
      <c r="N595" s="27" t="inlineStr">
        <is>
          <t>Yes</t>
        </is>
      </c>
      <c r="O595" s="29" t="n">
        <v>0</v>
      </c>
      <c r="P595" s="30" t="n">
        <v>450</v>
      </c>
      <c r="Q595" s="31" t="inlineStr">
        <is>
          <t>In Stock</t>
        </is>
      </c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5" customHeight="1" s="85">
      <c r="A596" s="27" t="inlineStr">
        <is>
          <t>KITCHEN KNIFE LONG SIZE</t>
        </is>
      </c>
      <c r="B596" s="27" t="n"/>
      <c r="C596" s="27" t="inlineStr">
        <is>
          <t>Kitchen Utensils</t>
        </is>
      </c>
      <c r="D596" s="28" t="inlineStr">
        <is>
          <t>497962386198</t>
        </is>
      </c>
      <c r="E596" s="27" t="n"/>
      <c r="F596" s="29" t="n">
        <v>0</v>
      </c>
      <c r="G596" s="29" t="n">
        <v>60</v>
      </c>
      <c r="H596" s="27" t="inlineStr">
        <is>
          <t>Exclusive</t>
        </is>
      </c>
      <c r="I596" s="29" t="n">
        <v>32</v>
      </c>
      <c r="J596" s="27" t="inlineStr">
        <is>
          <t>Exclusive</t>
        </is>
      </c>
      <c r="K596" s="29" t="n">
        <v>75</v>
      </c>
      <c r="L596" s="29" t="n">
        <v>2</v>
      </c>
      <c r="M596" s="27" t="n"/>
      <c r="N596" s="27" t="inlineStr">
        <is>
          <t>Yes</t>
        </is>
      </c>
      <c r="O596" s="29" t="n">
        <v>0</v>
      </c>
      <c r="P596" s="30" t="n">
        <v>450</v>
      </c>
      <c r="Q596" s="31" t="inlineStr">
        <is>
          <t>In Stock</t>
        </is>
      </c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5" customHeight="1" s="85">
      <c r="A597" s="27" t="inlineStr">
        <is>
          <t>KITCHEN KNIFE MEDIUM SIZE</t>
        </is>
      </c>
      <c r="B597" s="27" t="n"/>
      <c r="C597" s="27" t="inlineStr">
        <is>
          <t>Kitchen Utensils</t>
        </is>
      </c>
      <c r="D597" s="28" t="inlineStr">
        <is>
          <t>585480942837</t>
        </is>
      </c>
      <c r="E597" s="27" t="n"/>
      <c r="F597" s="29" t="n">
        <v>0</v>
      </c>
      <c r="G597" s="29" t="n">
        <v>50</v>
      </c>
      <c r="H597" s="27" t="inlineStr">
        <is>
          <t>Exclusive</t>
        </is>
      </c>
      <c r="I597" s="29" t="n">
        <v>25</v>
      </c>
      <c r="J597" s="27" t="inlineStr">
        <is>
          <t>Exclusive</t>
        </is>
      </c>
      <c r="K597" s="29" t="n">
        <v>65</v>
      </c>
      <c r="L597" s="29" t="n">
        <v>9</v>
      </c>
      <c r="M597" s="27" t="n"/>
      <c r="N597" s="27" t="inlineStr">
        <is>
          <t>Yes</t>
        </is>
      </c>
      <c r="O597" s="29" t="n">
        <v>0</v>
      </c>
      <c r="P597" s="30" t="n">
        <v>450</v>
      </c>
      <c r="Q597" s="31" t="inlineStr">
        <is>
          <t>In Stock</t>
        </is>
      </c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5" customHeight="1" s="85">
      <c r="A598" s="27" t="inlineStr">
        <is>
          <t>KITCHEN SARTHI SARSU 100GM</t>
        </is>
      </c>
      <c r="B598" s="27" t="n"/>
      <c r="C598" s="27" t="inlineStr">
        <is>
          <t>Masalas &amp; Spices</t>
        </is>
      </c>
      <c r="D598" s="28" t="inlineStr">
        <is>
          <t>8908013206490</t>
        </is>
      </c>
      <c r="E598" s="27" t="n"/>
      <c r="F598" s="29" t="n">
        <v>0</v>
      </c>
      <c r="G598" s="29" t="n">
        <v>28</v>
      </c>
      <c r="H598" s="27" t="inlineStr">
        <is>
          <t>Exclusive</t>
        </is>
      </c>
      <c r="I598" s="29" t="n">
        <v>22</v>
      </c>
      <c r="J598" s="27" t="inlineStr">
        <is>
          <t>Exclusive</t>
        </is>
      </c>
      <c r="K598" s="29" t="n">
        <v>28</v>
      </c>
      <c r="L598" s="29" t="n">
        <v>0</v>
      </c>
      <c r="M598" s="33" t="n">
        <v>1</v>
      </c>
      <c r="N598" s="27" t="inlineStr">
        <is>
          <t>Yes</t>
        </is>
      </c>
      <c r="O598" s="29" t="n">
        <v>0</v>
      </c>
      <c r="P598" s="30" t="n">
        <v>450</v>
      </c>
      <c r="Q598" s="31" t="inlineStr">
        <is>
          <t>In Stock</t>
        </is>
      </c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5" customHeight="1" s="85">
      <c r="A599" s="27" t="inlineStr">
        <is>
          <t>KITCHEN TOOLS 1</t>
        </is>
      </c>
      <c r="B599" s="27" t="n"/>
      <c r="C599" s="27" t="inlineStr">
        <is>
          <t>Kitchen Utensils</t>
        </is>
      </c>
      <c r="D599" s="28" t="inlineStr">
        <is>
          <t>230813233770</t>
        </is>
      </c>
      <c r="E599" s="27" t="n"/>
      <c r="F599" s="29" t="n">
        <v>0</v>
      </c>
      <c r="G599" s="29" t="n">
        <v>20</v>
      </c>
      <c r="H599" s="27" t="inlineStr">
        <is>
          <t>Exclusive</t>
        </is>
      </c>
      <c r="I599" s="29" t="n">
        <v>10</v>
      </c>
      <c r="J599" s="27" t="inlineStr">
        <is>
          <t>Exclusive</t>
        </is>
      </c>
      <c r="K599" s="29" t="n">
        <v>25</v>
      </c>
      <c r="L599" s="29" t="n">
        <v>2</v>
      </c>
      <c r="M599" s="33" t="n">
        <v>1</v>
      </c>
      <c r="N599" s="27" t="inlineStr">
        <is>
          <t>Yes</t>
        </is>
      </c>
      <c r="O599" s="29" t="n">
        <v>0</v>
      </c>
      <c r="P599" s="30" t="n">
        <v>450</v>
      </c>
      <c r="Q599" s="31" t="inlineStr">
        <is>
          <t>In Stock</t>
        </is>
      </c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5" customHeight="1" s="85">
      <c r="A600" s="27" t="inlineStr">
        <is>
          <t>KITCHEN TOOLS 2</t>
        </is>
      </c>
      <c r="B600" s="27" t="n"/>
      <c r="C600" s="27" t="inlineStr">
        <is>
          <t>Kitchen Utensils</t>
        </is>
      </c>
      <c r="D600" s="28" t="inlineStr">
        <is>
          <t>848484773632</t>
        </is>
      </c>
      <c r="E600" s="27" t="n"/>
      <c r="F600" s="29" t="n">
        <v>0</v>
      </c>
      <c r="G600" s="29" t="n">
        <v>40</v>
      </c>
      <c r="H600" s="27" t="inlineStr">
        <is>
          <t>Exclusive</t>
        </is>
      </c>
      <c r="I600" s="29" t="n">
        <v>20</v>
      </c>
      <c r="J600" s="27" t="inlineStr">
        <is>
          <t>Exclusive</t>
        </is>
      </c>
      <c r="K600" s="29" t="n">
        <v>50</v>
      </c>
      <c r="L600" s="29" t="n">
        <v>4</v>
      </c>
      <c r="M600" s="33" t="n">
        <v>1</v>
      </c>
      <c r="N600" s="27" t="inlineStr">
        <is>
          <t>Yes</t>
        </is>
      </c>
      <c r="O600" s="29" t="n">
        <v>0</v>
      </c>
      <c r="P600" s="30" t="n">
        <v>450</v>
      </c>
      <c r="Q600" s="31" t="inlineStr">
        <is>
          <t>In Stock</t>
        </is>
      </c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5" customHeight="1" s="85">
      <c r="A601" s="27" t="inlineStr">
        <is>
          <t>KITCHEN TOOLS 3</t>
        </is>
      </c>
      <c r="B601" s="27" t="n"/>
      <c r="C601" s="27" t="inlineStr">
        <is>
          <t>Kitchen Utensils</t>
        </is>
      </c>
      <c r="D601" s="28" t="inlineStr">
        <is>
          <t>747815377008</t>
        </is>
      </c>
      <c r="E601" s="27" t="n"/>
      <c r="F601" s="29" t="n">
        <v>0</v>
      </c>
      <c r="G601" s="29" t="n">
        <v>60</v>
      </c>
      <c r="H601" s="27" t="inlineStr">
        <is>
          <t>Exclusive</t>
        </is>
      </c>
      <c r="I601" s="29" t="n">
        <v>30</v>
      </c>
      <c r="J601" s="27" t="inlineStr">
        <is>
          <t>Exclusive</t>
        </is>
      </c>
      <c r="K601" s="29" t="n">
        <v>75</v>
      </c>
      <c r="L601" s="29" t="n">
        <v>1</v>
      </c>
      <c r="M601" s="33" t="n">
        <v>1</v>
      </c>
      <c r="N601" s="27" t="inlineStr">
        <is>
          <t>Yes</t>
        </is>
      </c>
      <c r="O601" s="29" t="n">
        <v>0</v>
      </c>
      <c r="P601" s="30" t="n">
        <v>450</v>
      </c>
      <c r="Q601" s="31" t="inlineStr">
        <is>
          <t>In Stock</t>
        </is>
      </c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5" customHeight="1" s="85">
      <c r="A602" s="27" t="inlineStr">
        <is>
          <t>KITCHEN TOOLS 4</t>
        </is>
      </c>
      <c r="B602" s="27" t="n"/>
      <c r="C602" s="27" t="inlineStr">
        <is>
          <t>Kitchen Utensils</t>
        </is>
      </c>
      <c r="D602" s="28" t="inlineStr">
        <is>
          <t>709251941071</t>
        </is>
      </c>
      <c r="E602" s="27" t="n"/>
      <c r="F602" s="29" t="n">
        <v>0</v>
      </c>
      <c r="G602" s="29" t="n">
        <v>80</v>
      </c>
      <c r="H602" s="27" t="inlineStr">
        <is>
          <t>Exclusive</t>
        </is>
      </c>
      <c r="I602" s="29" t="n">
        <v>40</v>
      </c>
      <c r="J602" s="27" t="inlineStr">
        <is>
          <t>Exclusive</t>
        </is>
      </c>
      <c r="K602" s="29" t="n">
        <v>100</v>
      </c>
      <c r="L602" s="29" t="n">
        <v>0</v>
      </c>
      <c r="M602" s="33" t="n">
        <v>1</v>
      </c>
      <c r="N602" s="27" t="inlineStr">
        <is>
          <t>Yes</t>
        </is>
      </c>
      <c r="O602" s="29" t="n">
        <v>0</v>
      </c>
      <c r="P602" s="30" t="n">
        <v>450</v>
      </c>
      <c r="Q602" s="31" t="inlineStr">
        <is>
          <t>In Stock</t>
        </is>
      </c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5" customHeight="1" s="85">
      <c r="A603" s="27" t="inlineStr">
        <is>
          <t>KITEX LUNGI</t>
        </is>
      </c>
      <c r="B603" s="27" t="n"/>
      <c r="C603" s="27" t="inlineStr">
        <is>
          <t>Kerala Clothing</t>
        </is>
      </c>
      <c r="D603" s="28" t="inlineStr">
        <is>
          <t>9249712843166</t>
        </is>
      </c>
      <c r="E603" s="27" t="n"/>
      <c r="F603" s="29" t="n">
        <v>0</v>
      </c>
      <c r="G603" s="29" t="n">
        <v>265</v>
      </c>
      <c r="H603" s="27" t="inlineStr">
        <is>
          <t>Exclusive</t>
        </is>
      </c>
      <c r="I603" s="29" t="n">
        <v>240</v>
      </c>
      <c r="J603" s="27" t="inlineStr">
        <is>
          <t>Exclusive</t>
        </is>
      </c>
      <c r="K603" s="29" t="n">
        <v>265</v>
      </c>
      <c r="L603" s="29" t="n">
        <v>0</v>
      </c>
      <c r="M603" s="27" t="n"/>
      <c r="N603" s="27" t="inlineStr">
        <is>
          <t>Yes</t>
        </is>
      </c>
      <c r="O603" s="29" t="n">
        <v>0</v>
      </c>
      <c r="P603" s="30" t="n">
        <v>450</v>
      </c>
      <c r="Q603" s="31" t="inlineStr">
        <is>
          <t>In Stock</t>
        </is>
      </c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5" customHeight="1" s="85">
      <c r="A604" s="27" t="inlineStr">
        <is>
          <t>KITEX LUNGI</t>
        </is>
      </c>
      <c r="B604" s="27" t="n"/>
      <c r="C604" s="27" t="inlineStr">
        <is>
          <t>Kerala Clothing</t>
        </is>
      </c>
      <c r="D604" s="28" t="inlineStr">
        <is>
          <t>8906034070731</t>
        </is>
      </c>
      <c r="E604" s="27" t="n"/>
      <c r="F604" s="29" t="n">
        <v>0</v>
      </c>
      <c r="G604" s="29" t="n">
        <v>350</v>
      </c>
      <c r="H604" s="27" t="inlineStr">
        <is>
          <t>Inclusive</t>
        </is>
      </c>
      <c r="I604" s="29" t="n">
        <v>240</v>
      </c>
      <c r="J604" s="27" t="inlineStr">
        <is>
          <t>Inclusive</t>
        </is>
      </c>
      <c r="K604" s="29" t="n">
        <v>350</v>
      </c>
      <c r="L604" s="29" t="n">
        <v>4</v>
      </c>
      <c r="M604" s="33" t="n">
        <v>1</v>
      </c>
      <c r="N604" s="27" t="inlineStr">
        <is>
          <t>Yes</t>
        </is>
      </c>
      <c r="O604" s="29" t="n">
        <v>0</v>
      </c>
      <c r="P604" s="30" t="n">
        <v>450</v>
      </c>
      <c r="Q604" s="31" t="inlineStr">
        <is>
          <t>In Stock</t>
        </is>
      </c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5" customHeight="1" s="85">
      <c r="A605" s="27" t="inlineStr">
        <is>
          <t>KJV - KJV SMALL BIBLE</t>
        </is>
      </c>
      <c r="B605" s="27" t="n"/>
      <c r="C605" s="27" t="inlineStr">
        <is>
          <t>Books &amp; Bibles</t>
        </is>
      </c>
      <c r="D605" s="28" t="inlineStr">
        <is>
          <t>230958306963</t>
        </is>
      </c>
      <c r="E605" s="27" t="n"/>
      <c r="F605" s="29" t="n">
        <v>0</v>
      </c>
      <c r="G605" s="29" t="n">
        <v>850</v>
      </c>
      <c r="H605" s="27" t="inlineStr">
        <is>
          <t>Exclusive</t>
        </is>
      </c>
      <c r="I605" s="29" t="n">
        <v>650</v>
      </c>
      <c r="J605" s="27" t="inlineStr">
        <is>
          <t>Exclusive</t>
        </is>
      </c>
      <c r="K605" s="29" t="n">
        <v>900</v>
      </c>
      <c r="L605" s="29" t="n">
        <v>2</v>
      </c>
      <c r="M605" s="33" t="n">
        <v>1</v>
      </c>
      <c r="N605" s="27" t="inlineStr">
        <is>
          <t>Yes</t>
        </is>
      </c>
      <c r="O605" s="29" t="n">
        <v>0</v>
      </c>
      <c r="P605" s="30" t="n">
        <v>450</v>
      </c>
      <c r="Q605" s="31" t="inlineStr">
        <is>
          <t>In Stock</t>
        </is>
      </c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5" customHeight="1" s="85">
      <c r="A606" s="27" t="inlineStr">
        <is>
          <t>KK RICE POWDER IDIYAPPAM PODI 500GM</t>
        </is>
      </c>
      <c r="B606" s="27" t="n"/>
      <c r="C606" s="27" t="inlineStr">
        <is>
          <t>Grains &amp; Flours</t>
        </is>
      </c>
      <c r="D606" s="28" t="inlineStr">
        <is>
          <t>8906097081040</t>
        </is>
      </c>
      <c r="E606" s="27" t="n"/>
      <c r="F606" s="29" t="n">
        <v>0</v>
      </c>
      <c r="G606" s="29" t="n">
        <v>62</v>
      </c>
      <c r="H606" s="27" t="inlineStr">
        <is>
          <t>Exclusive</t>
        </is>
      </c>
      <c r="I606" s="29" t="n">
        <v>55</v>
      </c>
      <c r="J606" s="27" t="inlineStr">
        <is>
          <t>Exclusive</t>
        </is>
      </c>
      <c r="K606" s="29" t="n">
        <v>62</v>
      </c>
      <c r="L606" s="29" t="n">
        <v>3</v>
      </c>
      <c r="M606" s="33" t="n">
        <v>1</v>
      </c>
      <c r="N606" s="27" t="inlineStr">
        <is>
          <t>Yes</t>
        </is>
      </c>
      <c r="O606" s="29" t="n">
        <v>0</v>
      </c>
      <c r="P606" s="30" t="n">
        <v>450</v>
      </c>
      <c r="Q606" s="31" t="inlineStr">
        <is>
          <t>In Stock</t>
        </is>
      </c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5" customHeight="1" s="85">
      <c r="A607" s="27" t="inlineStr">
        <is>
          <t>KM GARLIC MURUK WHITE/RED 150GM</t>
        </is>
      </c>
      <c r="B607" s="27" t="n"/>
      <c r="C607" s="27" t="inlineStr">
        <is>
          <t>Snacks</t>
        </is>
      </c>
      <c r="D607" s="28" t="inlineStr">
        <is>
          <t>8906069900140</t>
        </is>
      </c>
      <c r="E607" s="27" t="n"/>
      <c r="F607" s="29" t="n">
        <v>0</v>
      </c>
      <c r="G607" s="29" t="n">
        <v>80</v>
      </c>
      <c r="H607" s="27" t="inlineStr">
        <is>
          <t>Exclusive</t>
        </is>
      </c>
      <c r="I607" s="29" t="n">
        <v>75</v>
      </c>
      <c r="J607" s="27" t="inlineStr">
        <is>
          <t>Exclusive</t>
        </is>
      </c>
      <c r="K607" s="29" t="n">
        <v>80</v>
      </c>
      <c r="L607" s="29" t="n">
        <v>17</v>
      </c>
      <c r="M607" s="33" t="n">
        <v>1</v>
      </c>
      <c r="N607" s="27" t="inlineStr">
        <is>
          <t>Yes</t>
        </is>
      </c>
      <c r="O607" s="29" t="n">
        <v>0</v>
      </c>
      <c r="P607" s="30" t="n">
        <v>450</v>
      </c>
      <c r="Q607" s="31" t="inlineStr">
        <is>
          <t>In Stock</t>
        </is>
      </c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5" customHeight="1" s="85">
      <c r="A608" s="27" t="inlineStr">
        <is>
          <t>KM THENKUZHAL MURUK RED</t>
        </is>
      </c>
      <c r="B608" s="27" t="n"/>
      <c r="C608" s="27" t="inlineStr">
        <is>
          <t>Snacks</t>
        </is>
      </c>
      <c r="D608" s="28" t="inlineStr">
        <is>
          <t>8906069900614</t>
        </is>
      </c>
      <c r="E608" s="27" t="n"/>
      <c r="F608" s="29" t="n">
        <v>0</v>
      </c>
      <c r="G608" s="29" t="n">
        <v>77</v>
      </c>
      <c r="H608" s="27" t="inlineStr">
        <is>
          <t>Exclusive</t>
        </is>
      </c>
      <c r="I608" s="29" t="n">
        <v>55</v>
      </c>
      <c r="J608" s="27" t="inlineStr">
        <is>
          <t>Exclusive</t>
        </is>
      </c>
      <c r="K608" s="29" t="n">
        <v>80</v>
      </c>
      <c r="L608" s="29" t="n">
        <v>38</v>
      </c>
      <c r="M608" s="33" t="n">
        <v>1</v>
      </c>
      <c r="N608" s="27" t="inlineStr">
        <is>
          <t>Yes</t>
        </is>
      </c>
      <c r="O608" s="29" t="n">
        <v>0</v>
      </c>
      <c r="P608" s="30" t="n">
        <v>450</v>
      </c>
      <c r="Q608" s="31" t="inlineStr">
        <is>
          <t>In Stock</t>
        </is>
      </c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5" customHeight="1" s="85">
      <c r="A609" s="27" t="inlineStr">
        <is>
          <t>KOHINOOR BASUMATI RICE 1KG</t>
        </is>
      </c>
      <c r="B609" s="27" t="n"/>
      <c r="C609" s="27" t="inlineStr">
        <is>
          <t>Rice Items</t>
        </is>
      </c>
      <c r="D609" s="28" t="inlineStr">
        <is>
          <t>8906008813999</t>
        </is>
      </c>
      <c r="E609" s="27" t="n"/>
      <c r="F609" s="29" t="n">
        <v>0</v>
      </c>
      <c r="G609" s="29" t="n">
        <v>139</v>
      </c>
      <c r="H609" s="27" t="inlineStr">
        <is>
          <t>Exclusive</t>
        </is>
      </c>
      <c r="I609" s="29" t="n">
        <v>110</v>
      </c>
      <c r="J609" s="27" t="inlineStr">
        <is>
          <t>Exclusive</t>
        </is>
      </c>
      <c r="K609" s="29" t="n">
        <v>169</v>
      </c>
      <c r="L609" s="29" t="n">
        <v>2</v>
      </c>
      <c r="M609" s="33" t="n">
        <v>1</v>
      </c>
      <c r="N609" s="27" t="inlineStr">
        <is>
          <t>Yes</t>
        </is>
      </c>
      <c r="O609" s="29" t="n">
        <v>0</v>
      </c>
      <c r="P609" s="30" t="n">
        <v>450</v>
      </c>
      <c r="Q609" s="31" t="inlineStr">
        <is>
          <t>In Stock</t>
        </is>
      </c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5" customHeight="1" s="85">
      <c r="A610" s="27" t="inlineStr">
        <is>
          <t>KOLATHI DAL 500GM</t>
        </is>
      </c>
      <c r="B610" s="27" t="n"/>
      <c r="C610" s="27" t="inlineStr">
        <is>
          <t>Grains &amp; Flours</t>
        </is>
      </c>
      <c r="D610" s="28" t="inlineStr">
        <is>
          <t>788343738840</t>
        </is>
      </c>
      <c r="E610" s="27" t="n"/>
      <c r="F610" s="29" t="n">
        <v>0</v>
      </c>
      <c r="G610" s="29" t="n">
        <v>60</v>
      </c>
      <c r="H610" s="27" t="inlineStr">
        <is>
          <t>Exclusive</t>
        </is>
      </c>
      <c r="I610" s="29" t="n">
        <v>45</v>
      </c>
      <c r="J610" s="27" t="inlineStr">
        <is>
          <t>Exclusive</t>
        </is>
      </c>
      <c r="K610" s="29" t="n">
        <v>60</v>
      </c>
      <c r="L610" s="29" t="n">
        <v>2</v>
      </c>
      <c r="M610" s="27" t="n"/>
      <c r="N610" s="27" t="inlineStr">
        <is>
          <t>Yes</t>
        </is>
      </c>
      <c r="O610" s="29" t="n">
        <v>0</v>
      </c>
      <c r="P610" s="30" t="n">
        <v>450</v>
      </c>
      <c r="Q610" s="31" t="inlineStr">
        <is>
          <t>In Stock</t>
        </is>
      </c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5" customHeight="1" s="85">
      <c r="A611" s="27" t="inlineStr">
        <is>
          <t>KOORKA</t>
        </is>
      </c>
      <c r="B611" s="27" t="n"/>
      <c r="C611" s="27" t="inlineStr">
        <is>
          <t>Raw Items &amp; Produce</t>
        </is>
      </c>
      <c r="D611" s="28" t="inlineStr">
        <is>
          <t>341262709982</t>
        </is>
      </c>
      <c r="E611" s="27" t="n"/>
      <c r="F611" s="29" t="n">
        <v>0</v>
      </c>
      <c r="G611" s="29" t="n">
        <v>135</v>
      </c>
      <c r="H611" s="27" t="inlineStr">
        <is>
          <t>Exclusive</t>
        </is>
      </c>
      <c r="I611" s="29" t="n">
        <v>155</v>
      </c>
      <c r="J611" s="27" t="inlineStr">
        <is>
          <t>Exclusive</t>
        </is>
      </c>
      <c r="K611" s="29" t="n">
        <v>160</v>
      </c>
      <c r="L611" s="29" t="n">
        <v>0</v>
      </c>
      <c r="M611" s="33" t="n">
        <v>1</v>
      </c>
      <c r="N611" s="27" t="inlineStr">
        <is>
          <t>Yes</t>
        </is>
      </c>
      <c r="O611" s="29" t="n">
        <v>0</v>
      </c>
      <c r="P611" s="30" t="n">
        <v>450</v>
      </c>
      <c r="Q611" s="31" t="inlineStr">
        <is>
          <t>In Stock</t>
        </is>
      </c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5" customHeight="1" s="85">
      <c r="A612" s="27" t="inlineStr">
        <is>
          <t>KOOVA POWDER</t>
        </is>
      </c>
      <c r="B612" s="27" t="n"/>
      <c r="C612" s="27" t="inlineStr">
        <is>
          <t>Grains &amp; Flours</t>
        </is>
      </c>
      <c r="D612" s="28" t="inlineStr">
        <is>
          <t>797776446988</t>
        </is>
      </c>
      <c r="E612" s="27" t="n"/>
      <c r="F612" s="29" t="n">
        <v>0</v>
      </c>
      <c r="G612" s="29" t="n">
        <v>120</v>
      </c>
      <c r="H612" s="27" t="inlineStr">
        <is>
          <t>Inclusive</t>
        </is>
      </c>
      <c r="I612" s="29" t="n">
        <v>100</v>
      </c>
      <c r="J612" s="27" t="inlineStr">
        <is>
          <t>Inclusive</t>
        </is>
      </c>
      <c r="K612" s="29" t="n">
        <v>120</v>
      </c>
      <c r="L612" s="29" t="n">
        <v>1</v>
      </c>
      <c r="M612" s="33" t="n">
        <v>1</v>
      </c>
      <c r="N612" s="27" t="inlineStr">
        <is>
          <t>No</t>
        </is>
      </c>
      <c r="O612" s="29" t="n">
        <v>0</v>
      </c>
      <c r="P612" s="30" t="n">
        <v>450</v>
      </c>
      <c r="Q612" s="31" t="inlineStr">
        <is>
          <t>In Stock</t>
        </is>
      </c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5" customHeight="1" s="85">
      <c r="A613" s="27" t="inlineStr">
        <is>
          <t>KOREAN BLACK LUXURY BIBLE</t>
        </is>
      </c>
      <c r="B613" s="27" t="n"/>
      <c r="C613" s="27" t="inlineStr">
        <is>
          <t>Books &amp; Bibles</t>
        </is>
      </c>
      <c r="D613" s="32" t="inlineStr">
        <is>
          <t>100235</t>
        </is>
      </c>
      <c r="E613" s="27" t="n"/>
      <c r="F613" s="29" t="n">
        <v>0</v>
      </c>
      <c r="G613" s="29" t="n">
        <v>1500</v>
      </c>
      <c r="H613" s="27" t="inlineStr">
        <is>
          <t>Exclusive</t>
        </is>
      </c>
      <c r="I613" s="29" t="n">
        <v>600</v>
      </c>
      <c r="J613" s="27" t="inlineStr">
        <is>
          <t>Exclusive</t>
        </is>
      </c>
      <c r="K613" s="29" t="n">
        <v>1500</v>
      </c>
      <c r="L613" s="29" t="n">
        <v>7</v>
      </c>
      <c r="M613" s="33" t="n">
        <v>1</v>
      </c>
      <c r="N613" s="27" t="inlineStr">
        <is>
          <t>Yes</t>
        </is>
      </c>
      <c r="O613" s="29" t="n">
        <v>0</v>
      </c>
      <c r="P613" s="30" t="n">
        <v>450</v>
      </c>
      <c r="Q613" s="31" t="inlineStr">
        <is>
          <t>In Stock</t>
        </is>
      </c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5" customHeight="1" s="85">
      <c r="A614" s="27" t="inlineStr">
        <is>
          <t>KOZHIKODAN DOUBLE MUNDU</t>
        </is>
      </c>
      <c r="B614" s="27" t="n"/>
      <c r="C614" s="27" t="inlineStr">
        <is>
          <t>Kerala Clothing</t>
        </is>
      </c>
      <c r="D614" s="32" t="inlineStr">
        <is>
          <t>100236</t>
        </is>
      </c>
      <c r="E614" s="27" t="n"/>
      <c r="F614" s="29" t="n">
        <v>0</v>
      </c>
      <c r="G614" s="29" t="n">
        <v>570</v>
      </c>
      <c r="H614" s="27" t="inlineStr">
        <is>
          <t>Exclusive</t>
        </is>
      </c>
      <c r="I614" s="29" t="n">
        <v>525</v>
      </c>
      <c r="J614" s="27" t="inlineStr">
        <is>
          <t>Exclusive</t>
        </is>
      </c>
      <c r="K614" s="29" t="n">
        <v>570</v>
      </c>
      <c r="L614" s="29" t="n">
        <v>3</v>
      </c>
      <c r="M614" s="33" t="n">
        <v>1</v>
      </c>
      <c r="N614" s="27" t="inlineStr">
        <is>
          <t>Yes</t>
        </is>
      </c>
      <c r="O614" s="29" t="n">
        <v>0</v>
      </c>
      <c r="P614" s="30" t="n">
        <v>450</v>
      </c>
      <c r="Q614" s="31" t="inlineStr">
        <is>
          <t>In Stock</t>
        </is>
      </c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5" customHeight="1" s="85">
      <c r="A615" s="27" t="inlineStr">
        <is>
          <t>KPL COCONUT OIL 500GM</t>
        </is>
      </c>
      <c r="B615" s="27" t="n"/>
      <c r="C615" s="27" t="inlineStr">
        <is>
          <t>Edible Oils &amp; Ghee</t>
        </is>
      </c>
      <c r="D615" s="28" t="inlineStr">
        <is>
          <t>8906005451149</t>
        </is>
      </c>
      <c r="E615" s="27" t="n"/>
      <c r="F615" s="29" t="n">
        <v>0</v>
      </c>
      <c r="G615" s="29" t="n">
        <v>365</v>
      </c>
      <c r="H615" s="27" t="inlineStr">
        <is>
          <t>Exclusive</t>
        </is>
      </c>
      <c r="I615" s="29" t="n">
        <v>295</v>
      </c>
      <c r="J615" s="27" t="inlineStr">
        <is>
          <t>Exclusive</t>
        </is>
      </c>
      <c r="K615" s="29" t="n">
        <v>365</v>
      </c>
      <c r="L615" s="29" t="n">
        <v>4</v>
      </c>
      <c r="M615" s="33" t="n">
        <v>1</v>
      </c>
      <c r="N615" s="27" t="inlineStr">
        <is>
          <t>Yes</t>
        </is>
      </c>
      <c r="O615" s="29" t="n">
        <v>0</v>
      </c>
      <c r="P615" s="30" t="n">
        <v>450</v>
      </c>
      <c r="Q615" s="31" t="inlineStr">
        <is>
          <t>In Stock</t>
        </is>
      </c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5" customHeight="1" s="85">
      <c r="A616" s="27" t="inlineStr">
        <is>
          <t>KPL SHUDHI COCONUT OIL 1LTR</t>
        </is>
      </c>
      <c r="B616" s="27" t="n"/>
      <c r="C616" s="27" t="inlineStr">
        <is>
          <t>Edible Oils &amp; Ghee</t>
        </is>
      </c>
      <c r="D616" s="28" t="inlineStr">
        <is>
          <t>8906005451132</t>
        </is>
      </c>
      <c r="E616" s="27" t="n"/>
      <c r="F616" s="29" t="n">
        <v>0</v>
      </c>
      <c r="G616" s="29" t="n">
        <v>680</v>
      </c>
      <c r="H616" s="27" t="inlineStr">
        <is>
          <t>Exclusive</t>
        </is>
      </c>
      <c r="I616" s="29" t="n">
        <v>560</v>
      </c>
      <c r="J616" s="27" t="inlineStr">
        <is>
          <t>Exclusive</t>
        </is>
      </c>
      <c r="K616" s="29" t="n">
        <v>510</v>
      </c>
      <c r="L616" s="29" t="n">
        <v>1</v>
      </c>
      <c r="M616" s="33" t="n">
        <v>1</v>
      </c>
      <c r="N616" s="27" t="inlineStr">
        <is>
          <t>Yes</t>
        </is>
      </c>
      <c r="O616" s="29" t="n">
        <v>0</v>
      </c>
      <c r="P616" s="30" t="n">
        <v>450</v>
      </c>
      <c r="Q616" s="31" t="inlineStr">
        <is>
          <t>In Stock</t>
        </is>
      </c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5" customHeight="1" s="85">
      <c r="A617" s="27" t="inlineStr">
        <is>
          <t>KPN AEDA RAMACHAM HERBAL SOAP</t>
        </is>
      </c>
      <c r="B617" s="27" t="n"/>
      <c r="C617" s="27" t="inlineStr">
        <is>
          <t>Healthcare Items</t>
        </is>
      </c>
      <c r="D617" s="28" t="inlineStr">
        <is>
          <t>8906007750240</t>
        </is>
      </c>
      <c r="E617" s="27" t="n"/>
      <c r="F617" s="29" t="n">
        <v>0</v>
      </c>
      <c r="G617" s="29" t="n">
        <v>28</v>
      </c>
      <c r="H617" s="27" t="inlineStr">
        <is>
          <t>Exclusive</t>
        </is>
      </c>
      <c r="I617" s="29" t="n">
        <v>27</v>
      </c>
      <c r="J617" s="27" t="inlineStr">
        <is>
          <t>Exclusive</t>
        </is>
      </c>
      <c r="K617" s="29" t="n">
        <v>28</v>
      </c>
      <c r="L617" s="29" t="n">
        <v>0</v>
      </c>
      <c r="M617" s="33" t="n">
        <v>1</v>
      </c>
      <c r="N617" s="27" t="inlineStr">
        <is>
          <t>Yes</t>
        </is>
      </c>
      <c r="O617" s="29" t="n">
        <v>0</v>
      </c>
      <c r="P617" s="30" t="n">
        <v>450</v>
      </c>
      <c r="Q617" s="31" t="inlineStr">
        <is>
          <t>In Stock</t>
        </is>
      </c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5" customHeight="1" s="85">
      <c r="A618" s="27" t="inlineStr">
        <is>
          <t>KPN KARPOORADI THAILAM 200ML</t>
        </is>
      </c>
      <c r="B618" s="27" t="n"/>
      <c r="C618" s="27" t="inlineStr">
        <is>
          <t>Healthcare Items</t>
        </is>
      </c>
      <c r="D618" s="28" t="inlineStr">
        <is>
          <t>8901497100360</t>
        </is>
      </c>
      <c r="E618" s="27" t="n"/>
      <c r="F618" s="29" t="n">
        <v>0</v>
      </c>
      <c r="G618" s="29" t="n">
        <v>190</v>
      </c>
      <c r="H618" s="27" t="inlineStr">
        <is>
          <t>Inclusive</t>
        </is>
      </c>
      <c r="I618" s="29" t="n">
        <v>146</v>
      </c>
      <c r="J618" s="27" t="inlineStr">
        <is>
          <t>Inclusive</t>
        </is>
      </c>
      <c r="K618" s="29" t="n">
        <v>190</v>
      </c>
      <c r="L618" s="29" t="n">
        <v>0</v>
      </c>
      <c r="M618" s="27" t="n"/>
      <c r="N618" s="27" t="inlineStr">
        <is>
          <t>No</t>
        </is>
      </c>
      <c r="O618" s="29" t="n">
        <v>0</v>
      </c>
      <c r="P618" s="30" t="n">
        <v>450</v>
      </c>
      <c r="Q618" s="31" t="inlineStr">
        <is>
          <t>In Stock</t>
        </is>
      </c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5" customHeight="1" s="85">
      <c r="A619" s="27" t="inlineStr">
        <is>
          <t>KPN NEEM TULSI SOAP</t>
        </is>
      </c>
      <c r="B619" s="27" t="n"/>
      <c r="C619" s="27" t="inlineStr">
        <is>
          <t>Healthcare Items</t>
        </is>
      </c>
      <c r="D619" s="28" t="inlineStr">
        <is>
          <t>8906007750363</t>
        </is>
      </c>
      <c r="E619" s="27" t="n"/>
      <c r="F619" s="29" t="n">
        <v>0</v>
      </c>
      <c r="G619" s="29" t="n">
        <v>28</v>
      </c>
      <c r="H619" s="27" t="inlineStr">
        <is>
          <t>Exclusive</t>
        </is>
      </c>
      <c r="I619" s="29" t="n">
        <v>26</v>
      </c>
      <c r="J619" s="27" t="inlineStr">
        <is>
          <t>Exclusive</t>
        </is>
      </c>
      <c r="K619" s="29" t="n">
        <v>28</v>
      </c>
      <c r="L619" s="29" t="n">
        <v>3</v>
      </c>
      <c r="M619" s="33" t="n">
        <v>1</v>
      </c>
      <c r="N619" s="27" t="inlineStr">
        <is>
          <t>Yes</t>
        </is>
      </c>
      <c r="O619" s="29" t="n">
        <v>0</v>
      </c>
      <c r="P619" s="30" t="n">
        <v>450</v>
      </c>
      <c r="Q619" s="31" t="inlineStr">
        <is>
          <t>In Stock</t>
        </is>
      </c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5" customHeight="1" s="85">
      <c r="A620" s="27" t="inlineStr">
        <is>
          <t>KPN SANDAL SOAP</t>
        </is>
      </c>
      <c r="B620" s="27" t="n"/>
      <c r="C620" s="27" t="inlineStr">
        <is>
          <t>Healthcare Items</t>
        </is>
      </c>
      <c r="D620" s="28" t="inlineStr">
        <is>
          <t>8906007750226</t>
        </is>
      </c>
      <c r="E620" s="27" t="n"/>
      <c r="F620" s="29" t="n">
        <v>0</v>
      </c>
      <c r="G620" s="29" t="n">
        <v>28</v>
      </c>
      <c r="H620" s="27" t="inlineStr">
        <is>
          <t>Exclusive</t>
        </is>
      </c>
      <c r="I620" s="29" t="n">
        <v>26</v>
      </c>
      <c r="J620" s="27" t="inlineStr">
        <is>
          <t>Exclusive</t>
        </is>
      </c>
      <c r="K620" s="29" t="n">
        <v>28</v>
      </c>
      <c r="L620" s="29" t="n">
        <v>1</v>
      </c>
      <c r="M620" s="33" t="n">
        <v>1</v>
      </c>
      <c r="N620" s="27" t="inlineStr">
        <is>
          <t>Yes</t>
        </is>
      </c>
      <c r="O620" s="29" t="n">
        <v>0</v>
      </c>
      <c r="P620" s="30" t="n">
        <v>450</v>
      </c>
      <c r="Q620" s="31" t="inlineStr">
        <is>
          <t>In Stock</t>
        </is>
      </c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5" customHeight="1" s="85">
      <c r="A621" s="27" t="inlineStr">
        <is>
          <t>KPN TURMERIC SOAP</t>
        </is>
      </c>
      <c r="B621" s="27" t="n"/>
      <c r="C621" s="27" t="inlineStr">
        <is>
          <t>Healthcare Items</t>
        </is>
      </c>
      <c r="D621" s="28" t="inlineStr">
        <is>
          <t>8906007750233</t>
        </is>
      </c>
      <c r="E621" s="27" t="n"/>
      <c r="F621" s="29" t="n">
        <v>0</v>
      </c>
      <c r="G621" s="29" t="n">
        <v>28</v>
      </c>
      <c r="H621" s="27" t="inlineStr">
        <is>
          <t>Inclusive</t>
        </is>
      </c>
      <c r="I621" s="29" t="n">
        <v>26</v>
      </c>
      <c r="J621" s="27" t="inlineStr">
        <is>
          <t>Inclusive</t>
        </is>
      </c>
      <c r="K621" s="29" t="n">
        <v>28</v>
      </c>
      <c r="L621" s="29" t="n">
        <v>1</v>
      </c>
      <c r="M621" s="33" t="n">
        <v>1</v>
      </c>
      <c r="N621" s="27" t="inlineStr">
        <is>
          <t>Yes</t>
        </is>
      </c>
      <c r="O621" s="29" t="n">
        <v>0</v>
      </c>
      <c r="P621" s="30" t="n">
        <v>450</v>
      </c>
      <c r="Q621" s="31" t="inlineStr">
        <is>
          <t>In Stock</t>
        </is>
      </c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5" customHeight="1" s="85">
      <c r="A622" s="27" t="inlineStr">
        <is>
          <t>KPR DOUBLE MUND 5001</t>
        </is>
      </c>
      <c r="B622" s="27" t="n"/>
      <c r="C622" s="27" t="inlineStr">
        <is>
          <t>Kerala Clothing</t>
        </is>
      </c>
      <c r="D622" s="28" t="inlineStr">
        <is>
          <t>940056424635</t>
        </is>
      </c>
      <c r="E622" s="27" t="n"/>
      <c r="F622" s="29" t="n">
        <v>0</v>
      </c>
      <c r="G622" s="29" t="n">
        <v>380</v>
      </c>
      <c r="H622" s="27" t="inlineStr">
        <is>
          <t>Exclusive</t>
        </is>
      </c>
      <c r="I622" s="29" t="n">
        <v>300</v>
      </c>
      <c r="J622" s="27" t="inlineStr">
        <is>
          <t>Exclusive</t>
        </is>
      </c>
      <c r="K622" s="29" t="n">
        <v>590</v>
      </c>
      <c r="L622" s="29" t="n">
        <v>1</v>
      </c>
      <c r="M622" s="33" t="n">
        <v>1</v>
      </c>
      <c r="N622" s="27" t="inlineStr">
        <is>
          <t>Yes</t>
        </is>
      </c>
      <c r="O622" s="29" t="n">
        <v>0</v>
      </c>
      <c r="P622" s="30" t="n">
        <v>450</v>
      </c>
      <c r="Q622" s="31" t="inlineStr">
        <is>
          <t>In Stock</t>
        </is>
      </c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5" customHeight="1" s="85">
      <c r="A623" s="27" t="inlineStr">
        <is>
          <t>KPR LUNGI</t>
        </is>
      </c>
      <c r="B623" s="27" t="n"/>
      <c r="C623" s="27" t="inlineStr">
        <is>
          <t>Kerala Clothing</t>
        </is>
      </c>
      <c r="D623" s="28" t="inlineStr">
        <is>
          <t>743944828276</t>
        </is>
      </c>
      <c r="E623" s="27" t="n"/>
      <c r="F623" s="29" t="n">
        <v>0</v>
      </c>
      <c r="G623" s="29" t="n">
        <v>335</v>
      </c>
      <c r="H623" s="27" t="inlineStr">
        <is>
          <t>Exclusive</t>
        </is>
      </c>
      <c r="I623" s="29" t="n">
        <v>240</v>
      </c>
      <c r="J623" s="27" t="inlineStr">
        <is>
          <t>Exclusive</t>
        </is>
      </c>
      <c r="K623" s="29" t="n">
        <v>380</v>
      </c>
      <c r="L623" s="29" t="n">
        <v>3</v>
      </c>
      <c r="M623" s="33" t="n">
        <v>1</v>
      </c>
      <c r="N623" s="27" t="inlineStr">
        <is>
          <t>Yes</t>
        </is>
      </c>
      <c r="O623" s="29" t="n">
        <v>0</v>
      </c>
      <c r="P623" s="30" t="n">
        <v>450</v>
      </c>
      <c r="Q623" s="31" t="inlineStr">
        <is>
          <t>In Stock</t>
        </is>
      </c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5" customHeight="1" s="85">
      <c r="A624" s="27" t="inlineStr">
        <is>
          <t>KRISHNA APPALAM 100GM</t>
        </is>
      </c>
      <c r="B624" s="27" t="n"/>
      <c r="C624" s="27" t="inlineStr">
        <is>
          <t>Snacks</t>
        </is>
      </c>
      <c r="D624" s="32" t="inlineStr">
        <is>
          <t>100237</t>
        </is>
      </c>
      <c r="E624" s="27" t="n"/>
      <c r="F624" s="29" t="n">
        <v>0</v>
      </c>
      <c r="G624" s="29" t="n">
        <v>38</v>
      </c>
      <c r="H624" s="27" t="inlineStr">
        <is>
          <t>Exclusive</t>
        </is>
      </c>
      <c r="I624" s="29" t="n">
        <v>26</v>
      </c>
      <c r="J624" s="27" t="inlineStr">
        <is>
          <t>Exclusive</t>
        </is>
      </c>
      <c r="K624" s="29" t="n">
        <v>0</v>
      </c>
      <c r="L624" s="29" t="n">
        <v>23</v>
      </c>
      <c r="M624" s="27" t="n"/>
      <c r="N624" s="27" t="inlineStr">
        <is>
          <t>Yes</t>
        </is>
      </c>
      <c r="O624" s="29" t="n">
        <v>0</v>
      </c>
      <c r="P624" s="30" t="n">
        <v>450</v>
      </c>
      <c r="Q624" s="31" t="inlineStr">
        <is>
          <t>In Stock</t>
        </is>
      </c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5" customHeight="1" s="85">
      <c r="A625" s="27" t="inlineStr">
        <is>
          <t>KRISHNA BITTER GOURD KONDATTAM 100GM</t>
        </is>
      </c>
      <c r="B625" s="27" t="n"/>
      <c r="C625" s="27" t="inlineStr">
        <is>
          <t>Snacks</t>
        </is>
      </c>
      <c r="D625" s="28" t="inlineStr">
        <is>
          <t>550257204337</t>
        </is>
      </c>
      <c r="E625" s="27" t="n"/>
      <c r="F625" s="29" t="n">
        <v>0</v>
      </c>
      <c r="G625" s="29" t="n">
        <v>90</v>
      </c>
      <c r="H625" s="27" t="inlineStr">
        <is>
          <t>Exclusive</t>
        </is>
      </c>
      <c r="I625" s="29" t="n">
        <v>61.91</v>
      </c>
      <c r="J625" s="27" t="inlineStr">
        <is>
          <t>Exclusive</t>
        </is>
      </c>
      <c r="K625" s="29" t="n">
        <v>0</v>
      </c>
      <c r="L625" s="29" t="n">
        <v>7</v>
      </c>
      <c r="M625" s="27" t="n"/>
      <c r="N625" s="27" t="inlineStr">
        <is>
          <t>Yes</t>
        </is>
      </c>
      <c r="O625" s="29" t="n">
        <v>0</v>
      </c>
      <c r="P625" s="30" t="n">
        <v>450</v>
      </c>
      <c r="Q625" s="31" t="inlineStr">
        <is>
          <t>In Stock</t>
        </is>
      </c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5" customHeight="1" s="85">
      <c r="A626" s="27" t="inlineStr">
        <is>
          <t>KRISHNA COCONUT CHAMMANTHI PODI 100GM</t>
        </is>
      </c>
      <c r="B626" s="27" t="n"/>
      <c r="C626" s="27" t="inlineStr">
        <is>
          <t>Ready to Eat &amp; Mixes</t>
        </is>
      </c>
      <c r="D626" s="32" t="inlineStr">
        <is>
          <t>100238</t>
        </is>
      </c>
      <c r="E626" s="27" t="n"/>
      <c r="F626" s="29" t="n">
        <v>0</v>
      </c>
      <c r="G626" s="29" t="n">
        <v>90</v>
      </c>
      <c r="H626" s="27" t="inlineStr">
        <is>
          <t>Exclusive</t>
        </is>
      </c>
      <c r="I626" s="29" t="n">
        <v>64.29000000000001</v>
      </c>
      <c r="J626" s="27" t="inlineStr">
        <is>
          <t>Exclusive</t>
        </is>
      </c>
      <c r="K626" s="29" t="n">
        <v>0</v>
      </c>
      <c r="L626" s="29" t="n">
        <v>0</v>
      </c>
      <c r="M626" s="27" t="n"/>
      <c r="N626" s="27" t="inlineStr">
        <is>
          <t>Yes</t>
        </is>
      </c>
      <c r="O626" s="29" t="n">
        <v>0</v>
      </c>
      <c r="P626" s="30" t="n">
        <v>450</v>
      </c>
      <c r="Q626" s="31" t="inlineStr">
        <is>
          <t>In Stock</t>
        </is>
      </c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5" customHeight="1" s="85">
      <c r="A627" s="27" t="inlineStr">
        <is>
          <t>KRISHNA COFFEE 100GM</t>
        </is>
      </c>
      <c r="B627" s="27" t="n"/>
      <c r="C627" s="27" t="inlineStr">
        <is>
          <t>Beverages</t>
        </is>
      </c>
      <c r="D627" s="28" t="inlineStr">
        <is>
          <t>701142119093</t>
        </is>
      </c>
      <c r="E627" s="27" t="n"/>
      <c r="F627" s="29" t="n">
        <v>0</v>
      </c>
      <c r="G627" s="29" t="n">
        <v>130</v>
      </c>
      <c r="H627" s="27" t="inlineStr">
        <is>
          <t>Exclusive</t>
        </is>
      </c>
      <c r="I627" s="29" t="n">
        <v>103</v>
      </c>
      <c r="J627" s="27" t="inlineStr">
        <is>
          <t>Exclusive</t>
        </is>
      </c>
      <c r="K627" s="29" t="n">
        <v>110</v>
      </c>
      <c r="L627" s="29" t="n">
        <v>2</v>
      </c>
      <c r="M627" s="33" t="n">
        <v>1</v>
      </c>
      <c r="N627" s="27" t="inlineStr">
        <is>
          <t>Yes</t>
        </is>
      </c>
      <c r="O627" s="29" t="n">
        <v>0</v>
      </c>
      <c r="P627" s="30" t="n">
        <v>450</v>
      </c>
      <c r="Q627" s="31" t="inlineStr">
        <is>
          <t>In Stock</t>
        </is>
      </c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5" customHeight="1" s="85">
      <c r="A628" s="27" t="inlineStr">
        <is>
          <t>KRISHNA CURD CHILLY KONDATTAM 100GM</t>
        </is>
      </c>
      <c r="B628" s="27" t="n"/>
      <c r="C628" s="27" t="inlineStr">
        <is>
          <t>Snacks</t>
        </is>
      </c>
      <c r="D628" s="28" t="inlineStr">
        <is>
          <t>312147232624</t>
        </is>
      </c>
      <c r="E628" s="27" t="n"/>
      <c r="F628" s="29" t="n">
        <v>0</v>
      </c>
      <c r="G628" s="29" t="n">
        <v>60</v>
      </c>
      <c r="H628" s="27" t="inlineStr">
        <is>
          <t>Inclusive</t>
        </is>
      </c>
      <c r="I628" s="29" t="n">
        <v>36</v>
      </c>
      <c r="J628" s="27" t="inlineStr">
        <is>
          <t>Inclusive</t>
        </is>
      </c>
      <c r="K628" s="29" t="n">
        <v>60</v>
      </c>
      <c r="L628" s="29" t="n">
        <v>0</v>
      </c>
      <c r="M628" s="33" t="n">
        <v>1</v>
      </c>
      <c r="N628" s="27" t="inlineStr">
        <is>
          <t>Yes</t>
        </is>
      </c>
      <c r="O628" s="29" t="n">
        <v>0</v>
      </c>
      <c r="P628" s="30" t="n">
        <v>450</v>
      </c>
      <c r="Q628" s="31" t="inlineStr">
        <is>
          <t>In Stock</t>
        </is>
      </c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5" customHeight="1" s="85">
      <c r="A629" s="27" t="inlineStr">
        <is>
          <t>KRISHNA JAGGERY POWDER 500GN</t>
        </is>
      </c>
      <c r="B629" s="27" t="n"/>
      <c r="C629" s="27" t="inlineStr">
        <is>
          <t>Ready to Eat &amp; Mixes</t>
        </is>
      </c>
      <c r="D629" s="28" t="inlineStr">
        <is>
          <t>8901304245093</t>
        </is>
      </c>
      <c r="E629" s="27" t="n"/>
      <c r="F629" s="29" t="n">
        <v>0</v>
      </c>
      <c r="G629" s="29" t="n">
        <v>80</v>
      </c>
      <c r="H629" s="27" t="inlineStr">
        <is>
          <t>Exclusive</t>
        </is>
      </c>
      <c r="I629" s="29" t="n">
        <v>61</v>
      </c>
      <c r="J629" s="27" t="inlineStr">
        <is>
          <t>Exclusive</t>
        </is>
      </c>
      <c r="K629" s="29" t="n">
        <v>8</v>
      </c>
      <c r="L629" s="29" t="n">
        <v>0</v>
      </c>
      <c r="M629" s="33" t="n">
        <v>1</v>
      </c>
      <c r="N629" s="27" t="inlineStr">
        <is>
          <t>Yes</t>
        </is>
      </c>
      <c r="O629" s="29" t="n">
        <v>0</v>
      </c>
      <c r="P629" s="30" t="n">
        <v>450</v>
      </c>
      <c r="Q629" s="31" t="inlineStr">
        <is>
          <t>In Stock</t>
        </is>
      </c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5" customHeight="1" s="85">
      <c r="A630" s="27" t="inlineStr">
        <is>
          <t>KRISHNA JAGGERY UNDA 1KG</t>
        </is>
      </c>
      <c r="B630" s="27" t="n"/>
      <c r="C630" s="27" t="inlineStr">
        <is>
          <t>Ready to Eat &amp; Mixes</t>
        </is>
      </c>
      <c r="D630" s="32" t="inlineStr">
        <is>
          <t>100239</t>
        </is>
      </c>
      <c r="E630" s="29" t="n">
        <v>17011310</v>
      </c>
      <c r="F630" s="29" t="n">
        <v>0</v>
      </c>
      <c r="G630" s="29" t="n">
        <v>140</v>
      </c>
      <c r="H630" s="27" t="inlineStr">
        <is>
          <t>Exclusive</t>
        </is>
      </c>
      <c r="I630" s="29" t="n">
        <v>130</v>
      </c>
      <c r="J630" s="27" t="inlineStr">
        <is>
          <t>Exclusive</t>
        </is>
      </c>
      <c r="K630" s="29" t="n">
        <v>0</v>
      </c>
      <c r="L630" s="29" t="n">
        <v>11</v>
      </c>
      <c r="M630" s="27" t="n"/>
      <c r="N630" s="27" t="inlineStr">
        <is>
          <t>Yes</t>
        </is>
      </c>
      <c r="O630" s="29" t="n">
        <v>0</v>
      </c>
      <c r="P630" s="30" t="n">
        <v>450</v>
      </c>
      <c r="Q630" s="31" t="inlineStr">
        <is>
          <t>In Stock</t>
        </is>
      </c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5" customHeight="1" s="85">
      <c r="A631" s="27" t="inlineStr">
        <is>
          <t>KRISHNA PALM JAGGERY (KARUPPETTI) 400GM</t>
        </is>
      </c>
      <c r="B631" s="27" t="n"/>
      <c r="C631" s="27" t="inlineStr">
        <is>
          <t>Ready to Eat &amp; Mixes</t>
        </is>
      </c>
      <c r="D631" s="28" t="inlineStr">
        <is>
          <t>939314491536</t>
        </is>
      </c>
      <c r="E631" s="27" t="n"/>
      <c r="F631" s="29" t="n">
        <v>0</v>
      </c>
      <c r="G631" s="29" t="n">
        <v>165</v>
      </c>
      <c r="H631" s="27" t="inlineStr">
        <is>
          <t>Inclusive</t>
        </is>
      </c>
      <c r="I631" s="29" t="n">
        <v>116</v>
      </c>
      <c r="J631" s="27" t="inlineStr">
        <is>
          <t>Inclusive</t>
        </is>
      </c>
      <c r="K631" s="29" t="n">
        <v>165</v>
      </c>
      <c r="L631" s="29" t="n">
        <v>0</v>
      </c>
      <c r="M631" s="33" t="n">
        <v>1</v>
      </c>
      <c r="N631" s="27" t="inlineStr">
        <is>
          <t>Yes</t>
        </is>
      </c>
      <c r="O631" s="29" t="n">
        <v>0</v>
      </c>
      <c r="P631" s="30" t="n">
        <v>450</v>
      </c>
      <c r="Q631" s="31" t="inlineStr">
        <is>
          <t>In Stock</t>
        </is>
      </c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5" customHeight="1" s="85">
      <c r="A632" s="27" t="inlineStr">
        <is>
          <t>KRISHNA PREMIUM FILTER COFFEE 250GM</t>
        </is>
      </c>
      <c r="B632" s="27" t="n"/>
      <c r="C632" s="27" t="inlineStr">
        <is>
          <t>Beverages</t>
        </is>
      </c>
      <c r="D632" s="28" t="inlineStr">
        <is>
          <t>8901304245116</t>
        </is>
      </c>
      <c r="E632" s="27" t="n"/>
      <c r="F632" s="29" t="n">
        <v>0</v>
      </c>
      <c r="G632" s="29" t="n">
        <v>280</v>
      </c>
      <c r="H632" s="27" t="inlineStr">
        <is>
          <t>Exclusive</t>
        </is>
      </c>
      <c r="I632" s="29" t="n">
        <v>260</v>
      </c>
      <c r="J632" s="27" t="inlineStr">
        <is>
          <t>Exclusive</t>
        </is>
      </c>
      <c r="K632" s="29" t="n">
        <v>280</v>
      </c>
      <c r="L632" s="29" t="n">
        <v>0</v>
      </c>
      <c r="M632" s="27" t="n"/>
      <c r="N632" s="27" t="inlineStr">
        <is>
          <t>Yes</t>
        </is>
      </c>
      <c r="O632" s="29" t="n">
        <v>0</v>
      </c>
      <c r="P632" s="30" t="n">
        <v>450</v>
      </c>
      <c r="Q632" s="31" t="inlineStr">
        <is>
          <t>In Stock</t>
        </is>
      </c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5" customHeight="1" s="85">
      <c r="A633" s="27" t="inlineStr">
        <is>
          <t>KRISHNA RED CHILLY 100GM</t>
        </is>
      </c>
      <c r="B633" s="27" t="n"/>
      <c r="C633" s="27" t="inlineStr">
        <is>
          <t>Masalas &amp; Spices</t>
        </is>
      </c>
      <c r="D633" s="28" t="inlineStr">
        <is>
          <t>766570806766</t>
        </is>
      </c>
      <c r="E633" s="27" t="n"/>
      <c r="F633" s="29" t="n">
        <v>0</v>
      </c>
      <c r="G633" s="29" t="n">
        <v>68</v>
      </c>
      <c r="H633" s="27" t="inlineStr">
        <is>
          <t>Inclusive</t>
        </is>
      </c>
      <c r="I633" s="29" t="n">
        <v>50</v>
      </c>
      <c r="J633" s="27" t="inlineStr">
        <is>
          <t>Inclusive</t>
        </is>
      </c>
      <c r="K633" s="29" t="n">
        <v>60</v>
      </c>
      <c r="L633" s="29" t="n">
        <v>0</v>
      </c>
      <c r="M633" s="33" t="n">
        <v>1</v>
      </c>
      <c r="N633" s="27" t="inlineStr">
        <is>
          <t>Yes</t>
        </is>
      </c>
      <c r="O633" s="29" t="n">
        <v>0</v>
      </c>
      <c r="P633" s="30" t="n">
        <v>450</v>
      </c>
      <c r="Q633" s="31" t="inlineStr">
        <is>
          <t>In Stock</t>
        </is>
      </c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5" customHeight="1" s="85">
      <c r="A634" s="27" t="inlineStr">
        <is>
          <t>KRISHNA ROUND DRY CHILLY 100GM</t>
        </is>
      </c>
      <c r="B634" s="27" t="n"/>
      <c r="C634" s="27" t="inlineStr">
        <is>
          <t>Masalas &amp; Spices</t>
        </is>
      </c>
      <c r="D634" s="28" t="inlineStr">
        <is>
          <t>510469782884</t>
        </is>
      </c>
      <c r="E634" s="27" t="n"/>
      <c r="F634" s="29" t="n">
        <v>0</v>
      </c>
      <c r="G634" s="29" t="n">
        <v>85</v>
      </c>
      <c r="H634" s="27" t="inlineStr">
        <is>
          <t>Exclusive</t>
        </is>
      </c>
      <c r="I634" s="29" t="n">
        <v>48.57</v>
      </c>
      <c r="J634" s="27" t="inlineStr">
        <is>
          <t>Exclusive</t>
        </is>
      </c>
      <c r="K634" s="29" t="n">
        <v>85</v>
      </c>
      <c r="L634" s="29" t="n">
        <v>1</v>
      </c>
      <c r="M634" s="27" t="n"/>
      <c r="N634" s="27" t="inlineStr">
        <is>
          <t>Yes</t>
        </is>
      </c>
      <c r="O634" s="29" t="n">
        <v>0</v>
      </c>
      <c r="P634" s="30" t="n">
        <v>450</v>
      </c>
      <c r="Q634" s="31" t="inlineStr">
        <is>
          <t>In Stock</t>
        </is>
      </c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5" customHeight="1" s="85">
      <c r="A635" s="27" t="inlineStr">
        <is>
          <t>KRISHNA TAMARIND PULI 250GM</t>
        </is>
      </c>
      <c r="B635" s="27" t="n"/>
      <c r="C635" s="27" t="inlineStr">
        <is>
          <t>Masalas &amp; Spices</t>
        </is>
      </c>
      <c r="D635" s="28" t="inlineStr">
        <is>
          <t>862825120206</t>
        </is>
      </c>
      <c r="E635" s="27" t="n"/>
      <c r="F635" s="29" t="n">
        <v>0</v>
      </c>
      <c r="G635" s="29" t="n">
        <v>85</v>
      </c>
      <c r="H635" s="27" t="inlineStr">
        <is>
          <t>Inclusive</t>
        </is>
      </c>
      <c r="I635" s="29" t="n">
        <v>65</v>
      </c>
      <c r="J635" s="27" t="inlineStr">
        <is>
          <t>Inclusive</t>
        </is>
      </c>
      <c r="K635" s="29" t="n">
        <v>85</v>
      </c>
      <c r="L635" s="29" t="n">
        <v>0</v>
      </c>
      <c r="M635" s="33" t="n">
        <v>1</v>
      </c>
      <c r="N635" s="27" t="inlineStr">
        <is>
          <t>Yes</t>
        </is>
      </c>
      <c r="O635" s="29" t="n">
        <v>0</v>
      </c>
      <c r="P635" s="30" t="n">
        <v>450</v>
      </c>
      <c r="Q635" s="31" t="inlineStr">
        <is>
          <t>In Stock</t>
        </is>
      </c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5" customHeight="1" s="85">
      <c r="A636" s="27" t="inlineStr">
        <is>
          <t>KRISHNA TAMARIND PULI 500GM</t>
        </is>
      </c>
      <c r="B636" s="27" t="n"/>
      <c r="C636" s="27" t="inlineStr">
        <is>
          <t>Masalas &amp; Spices</t>
        </is>
      </c>
      <c r="D636" s="28" t="inlineStr">
        <is>
          <t>750521508204</t>
        </is>
      </c>
      <c r="E636" s="27" t="n"/>
      <c r="F636" s="29" t="n">
        <v>0</v>
      </c>
      <c r="G636" s="29" t="n">
        <v>140</v>
      </c>
      <c r="H636" s="27" t="inlineStr">
        <is>
          <t>Inclusive</t>
        </is>
      </c>
      <c r="I636" s="29" t="n">
        <v>86</v>
      </c>
      <c r="J636" s="27" t="inlineStr">
        <is>
          <t>Inclusive</t>
        </is>
      </c>
      <c r="K636" s="29" t="n">
        <v>0</v>
      </c>
      <c r="L636" s="29" t="n">
        <v>0</v>
      </c>
      <c r="M636" s="33" t="n">
        <v>1</v>
      </c>
      <c r="N636" s="27" t="inlineStr">
        <is>
          <t>Yes</t>
        </is>
      </c>
      <c r="O636" s="29" t="n">
        <v>0</v>
      </c>
      <c r="P636" s="30" t="n">
        <v>450</v>
      </c>
      <c r="Q636" s="31" t="inlineStr">
        <is>
          <t>In Stock</t>
        </is>
      </c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5" customHeight="1" s="85">
      <c r="A637" s="27" t="inlineStr">
        <is>
          <t>KRISHNA TULSI COUGH SYRUP</t>
        </is>
      </c>
      <c r="B637" s="27" t="n"/>
      <c r="C637" s="27" t="inlineStr">
        <is>
          <t>Healthcare Items</t>
        </is>
      </c>
      <c r="D637" s="32" t="inlineStr">
        <is>
          <t>100243</t>
        </is>
      </c>
      <c r="E637" s="27" t="n"/>
      <c r="F637" s="29" t="n">
        <v>0</v>
      </c>
      <c r="G637" s="29" t="n">
        <v>70</v>
      </c>
      <c r="H637" s="27" t="inlineStr">
        <is>
          <t>Inclusive</t>
        </is>
      </c>
      <c r="I637" s="29" t="n">
        <v>50</v>
      </c>
      <c r="J637" s="27" t="inlineStr">
        <is>
          <t>Inclusive</t>
        </is>
      </c>
      <c r="K637" s="29" t="n">
        <v>70</v>
      </c>
      <c r="L637" s="29" t="n">
        <v>0</v>
      </c>
      <c r="M637" s="33" t="n">
        <v>1</v>
      </c>
      <c r="N637" s="27" t="inlineStr">
        <is>
          <t>No</t>
        </is>
      </c>
      <c r="O637" s="29" t="n">
        <v>0</v>
      </c>
      <c r="P637" s="30" t="n">
        <v>450</v>
      </c>
      <c r="Q637" s="31" t="inlineStr">
        <is>
          <t>In Stock</t>
        </is>
      </c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5" customHeight="1" s="85">
      <c r="A638" s="27" t="inlineStr">
        <is>
          <t>KRISHNA VELLAM SHARKKARA 1KG</t>
        </is>
      </c>
      <c r="B638" s="27" t="n"/>
      <c r="C638" s="27" t="inlineStr">
        <is>
          <t>Ready to Eat &amp; Mixes</t>
        </is>
      </c>
      <c r="D638" s="28" t="inlineStr">
        <is>
          <t>668413722211</t>
        </is>
      </c>
      <c r="E638" s="27" t="n"/>
      <c r="F638" s="29" t="n">
        <v>0</v>
      </c>
      <c r="G638" s="29" t="n">
        <v>140</v>
      </c>
      <c r="H638" s="27" t="inlineStr">
        <is>
          <t>Exclusive</t>
        </is>
      </c>
      <c r="I638" s="29" t="n">
        <v>110</v>
      </c>
      <c r="J638" s="27" t="inlineStr">
        <is>
          <t>Exclusive</t>
        </is>
      </c>
      <c r="K638" s="29" t="n">
        <v>140</v>
      </c>
      <c r="L638" s="29" t="n">
        <v>0</v>
      </c>
      <c r="M638" s="33" t="n">
        <v>1</v>
      </c>
      <c r="N638" s="27" t="inlineStr">
        <is>
          <t>Yes</t>
        </is>
      </c>
      <c r="O638" s="29" t="n">
        <v>0</v>
      </c>
      <c r="P638" s="30" t="n">
        <v>450</v>
      </c>
      <c r="Q638" s="31" t="inlineStr">
        <is>
          <t>In Stock</t>
        </is>
      </c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5" customHeight="1" s="85">
      <c r="A639" s="27" t="inlineStr">
        <is>
          <t>KS RICE VADI 10KG</t>
        </is>
      </c>
      <c r="B639" s="27" t="n"/>
      <c r="C639" s="27" t="inlineStr">
        <is>
          <t>Rice Items</t>
        </is>
      </c>
      <c r="D639" s="28" t="inlineStr">
        <is>
          <t>8906105810020</t>
        </is>
      </c>
      <c r="E639" s="27" t="n"/>
      <c r="F639" s="29" t="n">
        <v>0</v>
      </c>
      <c r="G639" s="29" t="n">
        <v>1000</v>
      </c>
      <c r="H639" s="27" t="inlineStr">
        <is>
          <t>Exclusive</t>
        </is>
      </c>
      <c r="I639" s="29" t="n">
        <v>800</v>
      </c>
      <c r="J639" s="27" t="inlineStr">
        <is>
          <t>Exclusive</t>
        </is>
      </c>
      <c r="K639" s="29" t="n">
        <v>1000</v>
      </c>
      <c r="L639" s="29" t="n">
        <v>0</v>
      </c>
      <c r="M639" s="33" t="n">
        <v>1</v>
      </c>
      <c r="N639" s="27" t="inlineStr">
        <is>
          <t>Yes</t>
        </is>
      </c>
      <c r="O639" s="29" t="n">
        <v>0</v>
      </c>
      <c r="P639" s="30" t="n">
        <v>450</v>
      </c>
      <c r="Q639" s="31" t="inlineStr">
        <is>
          <t>In Stock</t>
        </is>
      </c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5" customHeight="1" s="85">
      <c r="A640" s="27" t="inlineStr">
        <is>
          <t>KS RICE VADI 5KG</t>
        </is>
      </c>
      <c r="B640" s="27" t="n"/>
      <c r="C640" s="27" t="inlineStr">
        <is>
          <t>Rice Items</t>
        </is>
      </c>
      <c r="D640" s="28" t="inlineStr">
        <is>
          <t>8906105810037</t>
        </is>
      </c>
      <c r="E640" s="27" t="n"/>
      <c r="F640" s="29" t="n">
        <v>0</v>
      </c>
      <c r="G640" s="29" t="n">
        <v>500</v>
      </c>
      <c r="H640" s="27" t="inlineStr">
        <is>
          <t>Exclusive</t>
        </is>
      </c>
      <c r="I640" s="29" t="n">
        <v>440</v>
      </c>
      <c r="J640" s="27" t="inlineStr">
        <is>
          <t>Exclusive</t>
        </is>
      </c>
      <c r="K640" s="29" t="n">
        <v>500</v>
      </c>
      <c r="L640" s="29" t="n">
        <v>2</v>
      </c>
      <c r="M640" s="33" t="n">
        <v>1</v>
      </c>
      <c r="N640" s="27" t="inlineStr">
        <is>
          <t>Yes</t>
        </is>
      </c>
      <c r="O640" s="29" t="n">
        <v>0</v>
      </c>
      <c r="P640" s="30" t="n">
        <v>450</v>
      </c>
      <c r="Q640" s="31" t="inlineStr">
        <is>
          <t>In Stock</t>
        </is>
      </c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5" customHeight="1" s="85">
      <c r="A641" s="27" t="inlineStr">
        <is>
          <t>KS UNDA RICE 10KG</t>
        </is>
      </c>
      <c r="B641" s="27" t="n"/>
      <c r="C641" s="27" t="inlineStr">
        <is>
          <t>Rice Items</t>
        </is>
      </c>
      <c r="D641" s="28" t="inlineStr">
        <is>
          <t>8906105810044</t>
        </is>
      </c>
      <c r="E641" s="27" t="n"/>
      <c r="F641" s="29" t="n">
        <v>0</v>
      </c>
      <c r="G641" s="29" t="n">
        <v>900</v>
      </c>
      <c r="H641" s="27" t="inlineStr">
        <is>
          <t>Inclusive</t>
        </is>
      </c>
      <c r="I641" s="29" t="n">
        <v>700</v>
      </c>
      <c r="J641" s="27" t="inlineStr">
        <is>
          <t>Inclusive</t>
        </is>
      </c>
      <c r="K641" s="29" t="n">
        <v>900</v>
      </c>
      <c r="L641" s="29" t="n">
        <v>1</v>
      </c>
      <c r="M641" s="33" t="n">
        <v>1</v>
      </c>
      <c r="N641" s="27" t="inlineStr">
        <is>
          <t>Yes</t>
        </is>
      </c>
      <c r="O641" s="29" t="n">
        <v>0</v>
      </c>
      <c r="P641" s="30" t="n">
        <v>450</v>
      </c>
      <c r="Q641" s="31" t="inlineStr">
        <is>
          <t>In Stock</t>
        </is>
      </c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5" customHeight="1" s="85">
      <c r="A642" s="27" t="inlineStr">
        <is>
          <t>KS UNDA RICE 5KG</t>
        </is>
      </c>
      <c r="B642" s="27" t="n"/>
      <c r="C642" s="27" t="inlineStr">
        <is>
          <t>Rice Items</t>
        </is>
      </c>
      <c r="D642" s="28" t="inlineStr">
        <is>
          <t>8906105810051</t>
        </is>
      </c>
      <c r="E642" s="27" t="n"/>
      <c r="F642" s="29" t="n">
        <v>0</v>
      </c>
      <c r="G642" s="29" t="n">
        <v>450</v>
      </c>
      <c r="H642" s="27" t="inlineStr">
        <is>
          <t>Inclusive</t>
        </is>
      </c>
      <c r="I642" s="29" t="n">
        <v>350</v>
      </c>
      <c r="J642" s="27" t="inlineStr">
        <is>
          <t>Inclusive</t>
        </is>
      </c>
      <c r="K642" s="29" t="n">
        <v>450</v>
      </c>
      <c r="L642" s="29" t="n">
        <v>0</v>
      </c>
      <c r="M642" s="33" t="n">
        <v>1</v>
      </c>
      <c r="N642" s="27" t="inlineStr">
        <is>
          <t>Yes</t>
        </is>
      </c>
      <c r="O642" s="29" t="n">
        <v>0</v>
      </c>
      <c r="P642" s="30" t="n">
        <v>450</v>
      </c>
      <c r="Q642" s="31" t="inlineStr">
        <is>
          <t>In Stock</t>
        </is>
      </c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5" customHeight="1" s="85">
      <c r="A643" s="27" t="inlineStr">
        <is>
          <t>KUDAM PULI 250GM 85</t>
        </is>
      </c>
      <c r="B643" s="27" t="n"/>
      <c r="C643" s="27" t="inlineStr">
        <is>
          <t>Masalas &amp; Spices</t>
        </is>
      </c>
      <c r="D643" s="28" t="inlineStr">
        <is>
          <t>211312389045</t>
        </is>
      </c>
      <c r="E643" s="27" t="n"/>
      <c r="F643" s="29" t="n">
        <v>0</v>
      </c>
      <c r="G643" s="29" t="n">
        <v>105</v>
      </c>
      <c r="H643" s="27" t="inlineStr">
        <is>
          <t>Exclusive</t>
        </is>
      </c>
      <c r="I643" s="29" t="n">
        <v>75</v>
      </c>
      <c r="J643" s="27" t="inlineStr">
        <is>
          <t>Exclusive</t>
        </is>
      </c>
      <c r="K643" s="29" t="n">
        <v>125</v>
      </c>
      <c r="L643" s="29" t="n">
        <v>1</v>
      </c>
      <c r="M643" s="33" t="n">
        <v>1</v>
      </c>
      <c r="N643" s="27" t="inlineStr">
        <is>
          <t>Yes</t>
        </is>
      </c>
      <c r="O643" s="29" t="n">
        <v>0</v>
      </c>
      <c r="P643" s="30" t="n">
        <v>450</v>
      </c>
      <c r="Q643" s="31" t="inlineStr">
        <is>
          <t>In Stock</t>
        </is>
      </c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5" customHeight="1" s="85">
      <c r="A644" s="27" t="inlineStr">
        <is>
          <t>KUMBALANGA</t>
        </is>
      </c>
      <c r="B644" s="27" t="n"/>
      <c r="C644" s="27" t="inlineStr">
        <is>
          <t>Raw Items &amp; Produce</t>
        </is>
      </c>
      <c r="D644" s="32" t="inlineStr">
        <is>
          <t>100245</t>
        </is>
      </c>
      <c r="E644" s="27" t="n"/>
      <c r="F644" s="29" t="n">
        <v>0</v>
      </c>
      <c r="G644" s="29" t="n">
        <v>80</v>
      </c>
      <c r="H644" s="27" t="inlineStr">
        <is>
          <t>Exclusive</t>
        </is>
      </c>
      <c r="I644" s="29" t="n">
        <v>70</v>
      </c>
      <c r="J644" s="27" t="inlineStr">
        <is>
          <t>Exclusive</t>
        </is>
      </c>
      <c r="K644" s="29" t="n">
        <v>80</v>
      </c>
      <c r="L644" s="29" t="n">
        <v>0</v>
      </c>
      <c r="M644" s="27" t="n"/>
      <c r="N644" s="27" t="inlineStr">
        <is>
          <t>Yes</t>
        </is>
      </c>
      <c r="O644" s="29" t="n">
        <v>0</v>
      </c>
      <c r="P644" s="30" t="n">
        <v>450</v>
      </c>
      <c r="Q644" s="31" t="inlineStr">
        <is>
          <t>In Stock</t>
        </is>
      </c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5" customHeight="1" s="85">
      <c r="A645" s="27" t="inlineStr">
        <is>
          <t>KUTTAN'S PAYYOLI MIXTURE 200GM</t>
        </is>
      </c>
      <c r="B645" s="27" t="n"/>
      <c r="C645" s="27" t="inlineStr">
        <is>
          <t>Snacks</t>
        </is>
      </c>
      <c r="D645" s="32" t="inlineStr">
        <is>
          <t>100246</t>
        </is>
      </c>
      <c r="E645" s="27" t="n"/>
      <c r="F645" s="29" t="n">
        <v>0</v>
      </c>
      <c r="G645" s="29" t="n">
        <v>150</v>
      </c>
      <c r="H645" s="27" t="inlineStr">
        <is>
          <t>Exclusive</t>
        </is>
      </c>
      <c r="I645" s="29" t="n">
        <v>50</v>
      </c>
      <c r="J645" s="27" t="inlineStr">
        <is>
          <t>Exclusive</t>
        </is>
      </c>
      <c r="K645" s="29" t="n">
        <v>0</v>
      </c>
      <c r="L645" s="29" t="n">
        <v>14</v>
      </c>
      <c r="M645" s="27" t="n"/>
      <c r="N645" s="27" t="inlineStr">
        <is>
          <t>Yes</t>
        </is>
      </c>
      <c r="O645" s="29" t="n">
        <v>0</v>
      </c>
      <c r="P645" s="30" t="n">
        <v>450</v>
      </c>
      <c r="Q645" s="31" t="inlineStr">
        <is>
          <t>In Stock</t>
        </is>
      </c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5" customHeight="1" s="85">
      <c r="A646" s="27" t="inlineStr">
        <is>
          <t>KUTTAN'S PAYYOLI MIXTURE 500GM</t>
        </is>
      </c>
      <c r="B646" s="27" t="n"/>
      <c r="C646" s="27" t="inlineStr">
        <is>
          <t>Snacks</t>
        </is>
      </c>
      <c r="D646" s="28" t="inlineStr">
        <is>
          <t>791101379439</t>
        </is>
      </c>
      <c r="E646" s="27" t="n"/>
      <c r="F646" s="29" t="n">
        <v>0</v>
      </c>
      <c r="G646" s="29" t="n">
        <v>150</v>
      </c>
      <c r="H646" s="27" t="inlineStr">
        <is>
          <t>Exclusive</t>
        </is>
      </c>
      <c r="I646" s="29" t="n">
        <v>115</v>
      </c>
      <c r="J646" s="27" t="inlineStr">
        <is>
          <t>Exclusive</t>
        </is>
      </c>
      <c r="K646" s="29" t="n">
        <v>150</v>
      </c>
      <c r="L646" s="29" t="n">
        <v>8</v>
      </c>
      <c r="M646" s="27" t="n"/>
      <c r="N646" s="27" t="inlineStr">
        <is>
          <t>Yes</t>
        </is>
      </c>
      <c r="O646" s="29" t="n">
        <v>0</v>
      </c>
      <c r="P646" s="30" t="n">
        <v>450</v>
      </c>
      <c r="Q646" s="31" t="inlineStr">
        <is>
          <t>In Stock</t>
        </is>
      </c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5" customHeight="1" s="85">
      <c r="A647" s="27" t="inlineStr">
        <is>
          <t>KUZHAL MURUKKU</t>
        </is>
      </c>
      <c r="B647" s="27" t="n"/>
      <c r="C647" s="27" t="inlineStr">
        <is>
          <t>Snacks</t>
        </is>
      </c>
      <c r="D647" s="28" t="inlineStr">
        <is>
          <t>5445646872645</t>
        </is>
      </c>
      <c r="E647" s="27" t="n"/>
      <c r="F647" s="29" t="n">
        <v>0</v>
      </c>
      <c r="G647" s="29" t="n">
        <v>66</v>
      </c>
      <c r="H647" s="27" t="inlineStr">
        <is>
          <t>Exclusive</t>
        </is>
      </c>
      <c r="I647" s="29" t="n">
        <v>33</v>
      </c>
      <c r="J647" s="27" t="inlineStr">
        <is>
          <t>Exclusive</t>
        </is>
      </c>
      <c r="K647" s="29" t="n">
        <v>66</v>
      </c>
      <c r="L647" s="29" t="n">
        <v>0</v>
      </c>
      <c r="M647" s="27" t="n"/>
      <c r="N647" s="27" t="inlineStr">
        <is>
          <t>Yes</t>
        </is>
      </c>
      <c r="O647" s="29" t="n">
        <v>0</v>
      </c>
      <c r="P647" s="30" t="n">
        <v>450</v>
      </c>
      <c r="Q647" s="31" t="inlineStr">
        <is>
          <t>In Stock</t>
        </is>
      </c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5" customHeight="1" s="85">
      <c r="A648" s="27" t="inlineStr">
        <is>
          <t>LAMINATION A3 PACKET</t>
        </is>
      </c>
      <c r="B648" s="27" t="n"/>
      <c r="C648" s="27" t="inlineStr">
        <is>
          <t>Stationery</t>
        </is>
      </c>
      <c r="D648" s="32" t="inlineStr">
        <is>
          <t>100247</t>
        </is>
      </c>
      <c r="E648" s="27" t="n"/>
      <c r="F648" s="29" t="n">
        <v>0</v>
      </c>
      <c r="G648" s="29" t="n">
        <v>1300</v>
      </c>
      <c r="H648" s="27" t="inlineStr">
        <is>
          <t>Exclusive</t>
        </is>
      </c>
      <c r="I648" s="29" t="n">
        <v>700</v>
      </c>
      <c r="J648" s="27" t="inlineStr">
        <is>
          <t>Exclusive</t>
        </is>
      </c>
      <c r="K648" s="29" t="n">
        <v>1500</v>
      </c>
      <c r="L648" s="29" t="n">
        <v>10</v>
      </c>
      <c r="M648" s="33" t="n">
        <v>1</v>
      </c>
      <c r="N648" s="27" t="inlineStr">
        <is>
          <t>No</t>
        </is>
      </c>
      <c r="O648" s="29" t="n">
        <v>0</v>
      </c>
      <c r="P648" s="30" t="n">
        <v>450</v>
      </c>
      <c r="Q648" s="31" t="inlineStr">
        <is>
          <t>In Stock</t>
        </is>
      </c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5" customHeight="1" s="85">
      <c r="A649" s="27" t="inlineStr">
        <is>
          <t>LAMINATION PACKET A4</t>
        </is>
      </c>
      <c r="B649" s="27" t="n"/>
      <c r="C649" s="27" t="inlineStr">
        <is>
          <t>Stationery</t>
        </is>
      </c>
      <c r="D649" s="32" t="inlineStr">
        <is>
          <t>100248</t>
        </is>
      </c>
      <c r="E649" s="27" t="n"/>
      <c r="F649" s="29" t="n">
        <v>0</v>
      </c>
      <c r="G649" s="29" t="n">
        <v>600</v>
      </c>
      <c r="H649" s="27" t="inlineStr">
        <is>
          <t>Exclusive</t>
        </is>
      </c>
      <c r="I649" s="29" t="n">
        <v>350</v>
      </c>
      <c r="J649" s="27" t="inlineStr">
        <is>
          <t>Exclusive</t>
        </is>
      </c>
      <c r="K649" s="29" t="n">
        <v>750</v>
      </c>
      <c r="L649" s="29" t="n">
        <v>20</v>
      </c>
      <c r="M649" s="33" t="n">
        <v>1</v>
      </c>
      <c r="N649" s="27" t="inlineStr">
        <is>
          <t>No</t>
        </is>
      </c>
      <c r="O649" s="29" t="n">
        <v>0</v>
      </c>
      <c r="P649" s="30" t="n">
        <v>450</v>
      </c>
      <c r="Q649" s="31" t="inlineStr">
        <is>
          <t>In Stock</t>
        </is>
      </c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5" customHeight="1" s="85">
      <c r="A650" s="27" t="inlineStr">
        <is>
          <t>LED LIGHT</t>
        </is>
      </c>
      <c r="B650" s="27" t="n"/>
      <c r="C650" s="27" t="inlineStr">
        <is>
          <t>Electronics</t>
        </is>
      </c>
      <c r="D650" s="34" t="inlineStr">
        <is>
          <t>LEDL</t>
        </is>
      </c>
      <c r="E650" s="27" t="n"/>
      <c r="F650" s="29" t="n">
        <v>0</v>
      </c>
      <c r="G650" s="29" t="n">
        <v>30</v>
      </c>
      <c r="H650" s="27" t="inlineStr">
        <is>
          <t>Inclusive</t>
        </is>
      </c>
      <c r="I650" s="29" t="n">
        <v>18</v>
      </c>
      <c r="J650" s="27" t="inlineStr">
        <is>
          <t>Inclusive</t>
        </is>
      </c>
      <c r="K650" s="29" t="n">
        <v>50</v>
      </c>
      <c r="L650" s="29" t="n">
        <v>2</v>
      </c>
      <c r="M650" s="33" t="n">
        <v>1</v>
      </c>
      <c r="N650" s="27" t="inlineStr">
        <is>
          <t>No</t>
        </is>
      </c>
      <c r="O650" s="29" t="n">
        <v>0</v>
      </c>
      <c r="P650" s="30" t="n">
        <v>450</v>
      </c>
      <c r="Q650" s="31" t="inlineStr">
        <is>
          <t>In Stock</t>
        </is>
      </c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5" customHeight="1" s="85">
      <c r="A651" s="27" t="inlineStr">
        <is>
          <t>LED NIGHT LAMP</t>
        </is>
      </c>
      <c r="B651" s="27" t="n"/>
      <c r="C651" s="27" t="inlineStr">
        <is>
          <t>Electronics</t>
        </is>
      </c>
      <c r="D651" s="32" t="inlineStr">
        <is>
          <t>100249</t>
        </is>
      </c>
      <c r="E651" s="27" t="n"/>
      <c r="F651" s="29" t="n">
        <v>0</v>
      </c>
      <c r="G651" s="29" t="n">
        <v>100</v>
      </c>
      <c r="H651" s="27" t="inlineStr">
        <is>
          <t>Inclusive</t>
        </is>
      </c>
      <c r="I651" s="29" t="n">
        <v>40</v>
      </c>
      <c r="J651" s="27" t="inlineStr">
        <is>
          <t>Inclusive</t>
        </is>
      </c>
      <c r="K651" s="29" t="n">
        <v>120</v>
      </c>
      <c r="L651" s="29" t="n">
        <v>94</v>
      </c>
      <c r="M651" s="33" t="n">
        <v>1</v>
      </c>
      <c r="N651" s="27" t="inlineStr">
        <is>
          <t>No</t>
        </is>
      </c>
      <c r="O651" s="29" t="n">
        <v>0</v>
      </c>
      <c r="P651" s="30" t="n">
        <v>450</v>
      </c>
      <c r="Q651" s="31" t="inlineStr">
        <is>
          <t>In Stock</t>
        </is>
      </c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5" customHeight="1" s="85">
      <c r="A652" s="27" t="inlineStr">
        <is>
          <t>LED STAR 302</t>
        </is>
      </c>
      <c r="B652" s="27" t="n"/>
      <c r="C652" s="27" t="inlineStr">
        <is>
          <t>Church Articles</t>
        </is>
      </c>
      <c r="D652" s="32" t="inlineStr">
        <is>
          <t>100250</t>
        </is>
      </c>
      <c r="E652" s="27" t="n"/>
      <c r="F652" s="29" t="n">
        <v>0</v>
      </c>
      <c r="G652" s="29" t="n">
        <v>380</v>
      </c>
      <c r="H652" s="27" t="inlineStr">
        <is>
          <t>Inclusive</t>
        </is>
      </c>
      <c r="I652" s="29" t="n">
        <v>310</v>
      </c>
      <c r="J652" s="27" t="inlineStr">
        <is>
          <t>Inclusive</t>
        </is>
      </c>
      <c r="K652" s="29" t="n">
        <v>0</v>
      </c>
      <c r="L652" s="29" t="n">
        <v>1</v>
      </c>
      <c r="M652" s="33" t="n">
        <v>1</v>
      </c>
      <c r="N652" s="27" t="inlineStr">
        <is>
          <t>Yes</t>
        </is>
      </c>
      <c r="O652" s="29" t="n">
        <v>0</v>
      </c>
      <c r="P652" s="30" t="n">
        <v>450</v>
      </c>
      <c r="Q652" s="31" t="inlineStr">
        <is>
          <t>In Stock</t>
        </is>
      </c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5" customHeight="1" s="85">
      <c r="A653" s="27" t="inlineStr">
        <is>
          <t>LED STAR 303</t>
        </is>
      </c>
      <c r="B653" s="27" t="n"/>
      <c r="C653" s="27" t="inlineStr">
        <is>
          <t>Church Articles</t>
        </is>
      </c>
      <c r="D653" s="32" t="inlineStr">
        <is>
          <t>100251</t>
        </is>
      </c>
      <c r="E653" s="27" t="n"/>
      <c r="F653" s="29" t="n">
        <v>0</v>
      </c>
      <c r="G653" s="29" t="n">
        <v>490</v>
      </c>
      <c r="H653" s="27" t="inlineStr">
        <is>
          <t>Inclusive</t>
        </is>
      </c>
      <c r="I653" s="29" t="n">
        <v>450</v>
      </c>
      <c r="J653" s="27" t="inlineStr">
        <is>
          <t>Inclusive</t>
        </is>
      </c>
      <c r="K653" s="29" t="n">
        <v>490</v>
      </c>
      <c r="L653" s="29" t="n">
        <v>2</v>
      </c>
      <c r="M653" s="33" t="n">
        <v>1</v>
      </c>
      <c r="N653" s="27" t="inlineStr">
        <is>
          <t>Yes</t>
        </is>
      </c>
      <c r="O653" s="29" t="n">
        <v>0</v>
      </c>
      <c r="P653" s="30" t="n">
        <v>450</v>
      </c>
      <c r="Q653" s="31" t="inlineStr">
        <is>
          <t>In Stock</t>
        </is>
      </c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5" customHeight="1" s="85">
      <c r="A654" s="27" t="inlineStr">
        <is>
          <t>LED STAR 303 CRIB</t>
        </is>
      </c>
      <c r="B654" s="27" t="n"/>
      <c r="C654" s="27" t="inlineStr">
        <is>
          <t>Church Articles</t>
        </is>
      </c>
      <c r="D654" s="28" t="inlineStr">
        <is>
          <t>10218178462</t>
        </is>
      </c>
      <c r="E654" s="27" t="n"/>
      <c r="F654" s="29" t="n">
        <v>0</v>
      </c>
      <c r="G654" s="29" t="n">
        <v>510</v>
      </c>
      <c r="H654" s="27" t="inlineStr">
        <is>
          <t>Inclusive</t>
        </is>
      </c>
      <c r="I654" s="29" t="n">
        <v>450</v>
      </c>
      <c r="J654" s="27" t="inlineStr">
        <is>
          <t>Inclusive</t>
        </is>
      </c>
      <c r="K654" s="29" t="n">
        <v>550</v>
      </c>
      <c r="L654" s="29" t="n">
        <v>1</v>
      </c>
      <c r="M654" s="33" t="n">
        <v>1</v>
      </c>
      <c r="N654" s="27" t="inlineStr">
        <is>
          <t>Yes</t>
        </is>
      </c>
      <c r="O654" s="29" t="n">
        <v>0</v>
      </c>
      <c r="P654" s="30" t="n">
        <v>450</v>
      </c>
      <c r="Q654" s="31" t="inlineStr">
        <is>
          <t>In Stock</t>
        </is>
      </c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5" customHeight="1" s="85">
      <c r="A655" s="27" t="inlineStr">
        <is>
          <t>LED STAR 305</t>
        </is>
      </c>
      <c r="B655" s="27" t="n"/>
      <c r="C655" s="27" t="inlineStr">
        <is>
          <t>Church Articles</t>
        </is>
      </c>
      <c r="D655" s="28" t="inlineStr">
        <is>
          <t>476063900754</t>
        </is>
      </c>
      <c r="E655" s="27" t="n"/>
      <c r="F655" s="29" t="n">
        <v>0</v>
      </c>
      <c r="G655" s="29" t="n">
        <v>385</v>
      </c>
      <c r="H655" s="27" t="inlineStr">
        <is>
          <t>Inclusive</t>
        </is>
      </c>
      <c r="I655" s="29" t="n">
        <v>325</v>
      </c>
      <c r="J655" s="27" t="inlineStr">
        <is>
          <t>Inclusive</t>
        </is>
      </c>
      <c r="K655" s="29" t="n">
        <v>410</v>
      </c>
      <c r="L655" s="29" t="n">
        <v>1</v>
      </c>
      <c r="M655" s="33" t="n">
        <v>1</v>
      </c>
      <c r="N655" s="27" t="inlineStr">
        <is>
          <t>Yes</t>
        </is>
      </c>
      <c r="O655" s="29" t="n">
        <v>0</v>
      </c>
      <c r="P655" s="30" t="n">
        <v>450</v>
      </c>
      <c r="Q655" s="31" t="inlineStr">
        <is>
          <t>In Stock</t>
        </is>
      </c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5" customHeight="1" s="85">
      <c r="A656" s="27" t="inlineStr">
        <is>
          <t>LED STAR 307</t>
        </is>
      </c>
      <c r="B656" s="27" t="n"/>
      <c r="C656" s="27" t="inlineStr">
        <is>
          <t>Church Articles</t>
        </is>
      </c>
      <c r="D656" s="32" t="inlineStr">
        <is>
          <t>100252</t>
        </is>
      </c>
      <c r="E656" s="27" t="n"/>
      <c r="F656" s="29" t="n">
        <v>0</v>
      </c>
      <c r="G656" s="29" t="n">
        <v>390</v>
      </c>
      <c r="H656" s="27" t="inlineStr">
        <is>
          <t>Inclusive</t>
        </is>
      </c>
      <c r="I656" s="29" t="n">
        <v>345</v>
      </c>
      <c r="J656" s="27" t="inlineStr">
        <is>
          <t>Inclusive</t>
        </is>
      </c>
      <c r="K656" s="29" t="n">
        <v>390</v>
      </c>
      <c r="L656" s="29" t="n">
        <v>1</v>
      </c>
      <c r="M656" s="33" t="n">
        <v>1</v>
      </c>
      <c r="N656" s="27" t="inlineStr">
        <is>
          <t>Yes</t>
        </is>
      </c>
      <c r="O656" s="29" t="n">
        <v>0</v>
      </c>
      <c r="P656" s="30" t="n">
        <v>450</v>
      </c>
      <c r="Q656" s="31" t="inlineStr">
        <is>
          <t>In Stock</t>
        </is>
      </c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5" customHeight="1" s="85">
      <c r="A657" s="27" t="inlineStr">
        <is>
          <t>LED STAR 308</t>
        </is>
      </c>
      <c r="B657" s="27" t="n"/>
      <c r="C657" s="27" t="inlineStr">
        <is>
          <t>Church Articles</t>
        </is>
      </c>
      <c r="D657" s="32" t="inlineStr">
        <is>
          <t>100253</t>
        </is>
      </c>
      <c r="E657" s="27" t="n"/>
      <c r="F657" s="29" t="n">
        <v>0</v>
      </c>
      <c r="G657" s="29" t="n">
        <v>555</v>
      </c>
      <c r="H657" s="27" t="inlineStr">
        <is>
          <t>Inclusive</t>
        </is>
      </c>
      <c r="I657" s="29" t="n">
        <v>495</v>
      </c>
      <c r="J657" s="27" t="inlineStr">
        <is>
          <t>Inclusive</t>
        </is>
      </c>
      <c r="K657" s="29" t="n">
        <v>585</v>
      </c>
      <c r="L657" s="29" t="n">
        <v>0</v>
      </c>
      <c r="M657" s="33" t="n">
        <v>1</v>
      </c>
      <c r="N657" s="27" t="inlineStr">
        <is>
          <t>Yes</t>
        </is>
      </c>
      <c r="O657" s="29" t="n">
        <v>0</v>
      </c>
      <c r="P657" s="30" t="n">
        <v>450</v>
      </c>
      <c r="Q657" s="31" t="inlineStr">
        <is>
          <t>In Stock</t>
        </is>
      </c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5" customHeight="1" s="85">
      <c r="A658" s="27" t="inlineStr">
        <is>
          <t>LED STAR 310</t>
        </is>
      </c>
      <c r="B658" s="27" t="n"/>
      <c r="C658" s="27" t="inlineStr">
        <is>
          <t>Church Articles</t>
        </is>
      </c>
      <c r="D658" s="32" t="inlineStr">
        <is>
          <t>100254</t>
        </is>
      </c>
      <c r="E658" s="27" t="n"/>
      <c r="F658" s="29" t="n">
        <v>0</v>
      </c>
      <c r="G658" s="29" t="n">
        <v>440</v>
      </c>
      <c r="H658" s="27" t="inlineStr">
        <is>
          <t>Inclusive</t>
        </is>
      </c>
      <c r="I658" s="29" t="n">
        <v>380</v>
      </c>
      <c r="J658" s="27" t="inlineStr">
        <is>
          <t>Inclusive</t>
        </is>
      </c>
      <c r="K658" s="29" t="n">
        <v>470</v>
      </c>
      <c r="L658" s="29" t="n">
        <v>1</v>
      </c>
      <c r="M658" s="33" t="n">
        <v>1</v>
      </c>
      <c r="N658" s="27" t="inlineStr">
        <is>
          <t>Yes</t>
        </is>
      </c>
      <c r="O658" s="29" t="n">
        <v>0</v>
      </c>
      <c r="P658" s="30" t="n">
        <v>450</v>
      </c>
      <c r="Q658" s="31" t="inlineStr">
        <is>
          <t>In Stock</t>
        </is>
      </c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5" customHeight="1" s="85">
      <c r="A659" s="27" t="inlineStr">
        <is>
          <t>LED STAR 311</t>
        </is>
      </c>
      <c r="B659" s="27" t="n"/>
      <c r="C659" s="27" t="inlineStr">
        <is>
          <t>Church Articles</t>
        </is>
      </c>
      <c r="D659" s="32" t="inlineStr">
        <is>
          <t>100255</t>
        </is>
      </c>
      <c r="E659" s="27" t="n"/>
      <c r="F659" s="29" t="n">
        <v>0</v>
      </c>
      <c r="G659" s="29" t="n">
        <v>395</v>
      </c>
      <c r="H659" s="27" t="inlineStr">
        <is>
          <t>Inclusive</t>
        </is>
      </c>
      <c r="I659" s="29" t="n">
        <v>345</v>
      </c>
      <c r="J659" s="27" t="inlineStr">
        <is>
          <t>Inclusive</t>
        </is>
      </c>
      <c r="K659" s="29" t="n">
        <v>410</v>
      </c>
      <c r="L659" s="29" t="n">
        <v>1</v>
      </c>
      <c r="M659" s="33" t="n">
        <v>1</v>
      </c>
      <c r="N659" s="27" t="inlineStr">
        <is>
          <t>Yes</t>
        </is>
      </c>
      <c r="O659" s="29" t="n">
        <v>0</v>
      </c>
      <c r="P659" s="30" t="n">
        <v>450</v>
      </c>
      <c r="Q659" s="31" t="inlineStr">
        <is>
          <t>In Stock</t>
        </is>
      </c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5" customHeight="1" s="85">
      <c r="A660" s="27" t="inlineStr">
        <is>
          <t>LED STAR 322</t>
        </is>
      </c>
      <c r="B660" s="27" t="n"/>
      <c r="C660" s="27" t="inlineStr">
        <is>
          <t>Church Articles</t>
        </is>
      </c>
      <c r="D660" s="28" t="inlineStr">
        <is>
          <t>415283661313</t>
        </is>
      </c>
      <c r="E660" s="27" t="n"/>
      <c r="F660" s="29" t="n">
        <v>0</v>
      </c>
      <c r="G660" s="29" t="n">
        <v>360</v>
      </c>
      <c r="H660" s="27" t="inlineStr">
        <is>
          <t>Inclusive</t>
        </is>
      </c>
      <c r="I660" s="29" t="n">
        <v>310</v>
      </c>
      <c r="J660" s="27" t="inlineStr">
        <is>
          <t>Inclusive</t>
        </is>
      </c>
      <c r="K660" s="29" t="n">
        <v>390</v>
      </c>
      <c r="L660" s="29" t="n">
        <v>1</v>
      </c>
      <c r="M660" s="33" t="n">
        <v>1</v>
      </c>
      <c r="N660" s="27" t="inlineStr">
        <is>
          <t>Yes</t>
        </is>
      </c>
      <c r="O660" s="29" t="n">
        <v>0</v>
      </c>
      <c r="P660" s="30" t="n">
        <v>450</v>
      </c>
      <c r="Q660" s="31" t="inlineStr">
        <is>
          <t>In Stock</t>
        </is>
      </c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5" customHeight="1" s="85">
      <c r="A661" s="27" t="inlineStr">
        <is>
          <t>LED START 313</t>
        </is>
      </c>
      <c r="B661" s="27" t="n"/>
      <c r="C661" s="27" t="inlineStr">
        <is>
          <t>Church Articles</t>
        </is>
      </c>
      <c r="D661" s="28" t="inlineStr">
        <is>
          <t>659430027391</t>
        </is>
      </c>
      <c r="E661" s="27" t="n"/>
      <c r="F661" s="29" t="n">
        <v>0</v>
      </c>
      <c r="G661" s="29" t="n">
        <v>430</v>
      </c>
      <c r="H661" s="27" t="inlineStr">
        <is>
          <t>Inclusive</t>
        </is>
      </c>
      <c r="I661" s="29" t="n">
        <v>370</v>
      </c>
      <c r="J661" s="27" t="inlineStr">
        <is>
          <t>Inclusive</t>
        </is>
      </c>
      <c r="K661" s="29" t="n">
        <v>470</v>
      </c>
      <c r="L661" s="29" t="n">
        <v>1</v>
      </c>
      <c r="M661" s="33" t="n">
        <v>1</v>
      </c>
      <c r="N661" s="27" t="inlineStr">
        <is>
          <t>Yes</t>
        </is>
      </c>
      <c r="O661" s="29" t="n">
        <v>0</v>
      </c>
      <c r="P661" s="30" t="n">
        <v>450</v>
      </c>
      <c r="Q661" s="31" t="inlineStr">
        <is>
          <t>In Stock</t>
        </is>
      </c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5" customHeight="1" s="85">
      <c r="A662" s="27" t="inlineStr">
        <is>
          <t>LED TXT CHANGING</t>
        </is>
      </c>
      <c r="B662" s="27" t="n"/>
      <c r="C662" s="27" t="inlineStr">
        <is>
          <t>Electronics</t>
        </is>
      </c>
      <c r="D662" s="32" t="inlineStr">
        <is>
          <t>100256</t>
        </is>
      </c>
      <c r="E662" s="27" t="n"/>
      <c r="F662" s="29" t="n">
        <v>0</v>
      </c>
      <c r="G662" s="29" t="n">
        <v>125</v>
      </c>
      <c r="H662" s="27" t="inlineStr">
        <is>
          <t>Inclusive</t>
        </is>
      </c>
      <c r="I662" s="29" t="n">
        <v>75</v>
      </c>
      <c r="J662" s="27" t="inlineStr">
        <is>
          <t>Inclusive</t>
        </is>
      </c>
      <c r="K662" s="29" t="n">
        <v>150</v>
      </c>
      <c r="L662" s="29" t="n">
        <v>0</v>
      </c>
      <c r="M662" s="33" t="n">
        <v>1</v>
      </c>
      <c r="N662" s="27" t="inlineStr">
        <is>
          <t>No</t>
        </is>
      </c>
      <c r="O662" s="29" t="n">
        <v>0</v>
      </c>
      <c r="P662" s="30" t="n">
        <v>450</v>
      </c>
      <c r="Q662" s="31" t="inlineStr">
        <is>
          <t>In Stock</t>
        </is>
      </c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5" customHeight="1" s="85">
      <c r="A663" s="27" t="inlineStr">
        <is>
          <t>LED TXT SMALL</t>
        </is>
      </c>
      <c r="B663" s="27" t="n"/>
      <c r="C663" s="27" t="inlineStr">
        <is>
          <t>Electronics</t>
        </is>
      </c>
      <c r="D663" s="32" t="inlineStr">
        <is>
          <t>100257</t>
        </is>
      </c>
      <c r="E663" s="27" t="n"/>
      <c r="F663" s="29" t="n">
        <v>0</v>
      </c>
      <c r="G663" s="29" t="n">
        <v>80</v>
      </c>
      <c r="H663" s="27" t="inlineStr">
        <is>
          <t>Inclusive</t>
        </is>
      </c>
      <c r="I663" s="29" t="n">
        <v>63</v>
      </c>
      <c r="J663" s="27" t="inlineStr">
        <is>
          <t>Inclusive</t>
        </is>
      </c>
      <c r="K663" s="29" t="n">
        <v>100</v>
      </c>
      <c r="L663" s="29" t="n">
        <v>0</v>
      </c>
      <c r="M663" s="33" t="n">
        <v>1</v>
      </c>
      <c r="N663" s="27" t="inlineStr">
        <is>
          <t>No</t>
        </is>
      </c>
      <c r="O663" s="29" t="n">
        <v>0</v>
      </c>
      <c r="P663" s="30" t="n">
        <v>450</v>
      </c>
      <c r="Q663" s="31" t="inlineStr">
        <is>
          <t>In Stock</t>
        </is>
      </c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5" customHeight="1" s="85">
      <c r="A664" s="27" t="inlineStr">
        <is>
          <t>LEF CALENDER 2025</t>
        </is>
      </c>
      <c r="B664" s="27" t="n"/>
      <c r="C664" s="27" t="inlineStr">
        <is>
          <t>Stationery</t>
        </is>
      </c>
      <c r="D664" s="32" t="inlineStr">
        <is>
          <t>100258</t>
        </is>
      </c>
      <c r="E664" s="27" t="n"/>
      <c r="F664" s="29" t="n">
        <v>0</v>
      </c>
      <c r="G664" s="29" t="n">
        <v>50</v>
      </c>
      <c r="H664" s="27" t="inlineStr">
        <is>
          <t>Exclusive</t>
        </is>
      </c>
      <c r="I664" s="29" t="n">
        <v>40</v>
      </c>
      <c r="J664" s="27" t="inlineStr">
        <is>
          <t>Exclusive</t>
        </is>
      </c>
      <c r="K664" s="29" t="n">
        <v>50</v>
      </c>
      <c r="L664" s="29" t="n">
        <v>7</v>
      </c>
      <c r="M664" s="33" t="n">
        <v>1</v>
      </c>
      <c r="N664" s="27" t="inlineStr">
        <is>
          <t>Yes</t>
        </is>
      </c>
      <c r="O664" s="29" t="n">
        <v>0</v>
      </c>
      <c r="P664" s="30" t="n">
        <v>450</v>
      </c>
      <c r="Q664" s="31" t="inlineStr">
        <is>
          <t>In Stock</t>
        </is>
      </c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5" customHeight="1" s="85">
      <c r="A665" s="27" t="inlineStr">
        <is>
          <t>LEMON PICKLE 5KG</t>
        </is>
      </c>
      <c r="B665" s="27" t="n"/>
      <c r="C665" s="27" t="inlineStr">
        <is>
          <t>Pickles</t>
        </is>
      </c>
      <c r="D665" s="32" t="inlineStr">
        <is>
          <t>100259</t>
        </is>
      </c>
      <c r="E665" s="27" t="n"/>
      <c r="F665" s="29" t="n">
        <v>0</v>
      </c>
      <c r="G665" s="29" t="n">
        <v>500</v>
      </c>
      <c r="H665" s="27" t="inlineStr">
        <is>
          <t>Inclusive</t>
        </is>
      </c>
      <c r="I665" s="29" t="n">
        <v>450</v>
      </c>
      <c r="J665" s="27" t="inlineStr">
        <is>
          <t>Inclusive</t>
        </is>
      </c>
      <c r="K665" s="29" t="n">
        <v>500</v>
      </c>
      <c r="L665" s="29" t="n">
        <v>1</v>
      </c>
      <c r="M665" s="33" t="n">
        <v>1</v>
      </c>
      <c r="N665" s="27" t="inlineStr">
        <is>
          <t>No</t>
        </is>
      </c>
      <c r="O665" s="29" t="n">
        <v>0</v>
      </c>
      <c r="P665" s="30" t="n">
        <v>450</v>
      </c>
      <c r="Q665" s="31" t="inlineStr">
        <is>
          <t>In Stock</t>
        </is>
      </c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5" customHeight="1" s="85">
      <c r="A666" s="27" t="inlineStr">
        <is>
          <t>LEVONA BANANA CHIPS 1KG</t>
        </is>
      </c>
      <c r="B666" s="27" t="n"/>
      <c r="C666" s="27" t="inlineStr">
        <is>
          <t>Snacks</t>
        </is>
      </c>
      <c r="D666" s="28" t="inlineStr">
        <is>
          <t>8906105810013</t>
        </is>
      </c>
      <c r="E666" s="27" t="n"/>
      <c r="F666" s="29" t="n">
        <v>0</v>
      </c>
      <c r="G666" s="29" t="n">
        <v>500</v>
      </c>
      <c r="H666" s="27" t="inlineStr">
        <is>
          <t>Inclusive</t>
        </is>
      </c>
      <c r="I666" s="29" t="n">
        <v>275</v>
      </c>
      <c r="J666" s="27" t="inlineStr">
        <is>
          <t>Inclusive</t>
        </is>
      </c>
      <c r="K666" s="29" t="n">
        <v>500</v>
      </c>
      <c r="L666" s="29" t="n">
        <v>0</v>
      </c>
      <c r="M666" s="33" t="n">
        <v>1</v>
      </c>
      <c r="N666" s="27" t="inlineStr">
        <is>
          <t>Yes</t>
        </is>
      </c>
      <c r="O666" s="29" t="n">
        <v>0</v>
      </c>
      <c r="P666" s="30" t="n">
        <v>450</v>
      </c>
      <c r="Q666" s="31" t="inlineStr">
        <is>
          <t>In Stock</t>
        </is>
      </c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5" customHeight="1" s="85">
      <c r="A667" s="27" t="inlineStr">
        <is>
          <t>LEVONA BANANA CHIPS 200GM</t>
        </is>
      </c>
      <c r="B667" s="27" t="n"/>
      <c r="C667" s="27" t="inlineStr">
        <is>
          <t>Snacks</t>
        </is>
      </c>
      <c r="D667" s="28" t="inlineStr">
        <is>
          <t>8906105810006</t>
        </is>
      </c>
      <c r="E667" s="27" t="n"/>
      <c r="F667" s="29" t="n">
        <v>0</v>
      </c>
      <c r="G667" s="29" t="n">
        <v>120</v>
      </c>
      <c r="H667" s="27" t="inlineStr">
        <is>
          <t>Exclusive</t>
        </is>
      </c>
      <c r="I667" s="29" t="n">
        <v>80</v>
      </c>
      <c r="J667" s="27" t="inlineStr">
        <is>
          <t>Exclusive</t>
        </is>
      </c>
      <c r="K667" s="29" t="n">
        <v>120</v>
      </c>
      <c r="L667" s="29" t="n">
        <v>0</v>
      </c>
      <c r="M667" s="33" t="n">
        <v>1</v>
      </c>
      <c r="N667" s="27" t="inlineStr">
        <is>
          <t>Yes</t>
        </is>
      </c>
      <c r="O667" s="29" t="n">
        <v>0</v>
      </c>
      <c r="P667" s="30" t="n">
        <v>450</v>
      </c>
      <c r="Q667" s="31" t="inlineStr">
        <is>
          <t>In Stock</t>
        </is>
      </c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5" customHeight="1" s="85">
      <c r="A668" s="27" t="inlineStr">
        <is>
          <t>LEVONA JACKFRUIT CHAKKA CHIPS</t>
        </is>
      </c>
      <c r="B668" s="27" t="n"/>
      <c r="C668" s="27" t="inlineStr">
        <is>
          <t>Snacks</t>
        </is>
      </c>
      <c r="D668" s="28" t="inlineStr">
        <is>
          <t>994667175227</t>
        </is>
      </c>
      <c r="E668" s="27" t="n"/>
      <c r="F668" s="29" t="n">
        <v>0</v>
      </c>
      <c r="G668" s="29" t="n">
        <v>140</v>
      </c>
      <c r="H668" s="27" t="inlineStr">
        <is>
          <t>Exclusive</t>
        </is>
      </c>
      <c r="I668" s="29" t="n">
        <v>94</v>
      </c>
      <c r="J668" s="27" t="inlineStr">
        <is>
          <t>Exclusive</t>
        </is>
      </c>
      <c r="K668" s="29" t="n">
        <v>140</v>
      </c>
      <c r="L668" s="29" t="n">
        <v>0</v>
      </c>
      <c r="M668" s="33" t="n">
        <v>1</v>
      </c>
      <c r="N668" s="27" t="inlineStr">
        <is>
          <t>Yes</t>
        </is>
      </c>
      <c r="O668" s="29" t="n">
        <v>0</v>
      </c>
      <c r="P668" s="30" t="n">
        <v>450</v>
      </c>
      <c r="Q668" s="31" t="inlineStr">
        <is>
          <t>In Stock</t>
        </is>
      </c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5" customHeight="1" s="85">
      <c r="A669" s="27" t="inlineStr">
        <is>
          <t>LEVONA JEERA KALASHA RICE 1KG</t>
        </is>
      </c>
      <c r="B669" s="27" t="n"/>
      <c r="C669" s="27" t="inlineStr">
        <is>
          <t>Rice Items</t>
        </is>
      </c>
      <c r="D669" s="32" t="inlineStr">
        <is>
          <t>100260</t>
        </is>
      </c>
      <c r="E669" s="27" t="n"/>
      <c r="F669" s="29" t="n">
        <v>0</v>
      </c>
      <c r="G669" s="29" t="n">
        <v>260</v>
      </c>
      <c r="H669" s="27" t="inlineStr">
        <is>
          <t>Exclusive</t>
        </is>
      </c>
      <c r="I669" s="29" t="n">
        <v>240</v>
      </c>
      <c r="J669" s="27" t="inlineStr">
        <is>
          <t>Exclusive</t>
        </is>
      </c>
      <c r="K669" s="29" t="n">
        <v>260</v>
      </c>
      <c r="L669" s="29" t="n">
        <v>0</v>
      </c>
      <c r="M669" s="33" t="n">
        <v>1</v>
      </c>
      <c r="N669" s="27" t="inlineStr">
        <is>
          <t>Yes</t>
        </is>
      </c>
      <c r="O669" s="29" t="n">
        <v>0</v>
      </c>
      <c r="P669" s="30" t="n">
        <v>450</v>
      </c>
      <c r="Q669" s="31" t="inlineStr">
        <is>
          <t>In Stock</t>
        </is>
      </c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5" customHeight="1" s="85">
      <c r="A670" s="27" t="inlineStr">
        <is>
          <t>LEVONA KADUK 100GM</t>
        </is>
      </c>
      <c r="B670" s="27" t="n"/>
      <c r="C670" s="27" t="inlineStr">
        <is>
          <t>Masalas &amp; Spices</t>
        </is>
      </c>
      <c r="D670" s="28" t="inlineStr">
        <is>
          <t>659944911830</t>
        </is>
      </c>
      <c r="E670" s="27" t="n"/>
      <c r="F670" s="29" t="n">
        <v>0</v>
      </c>
      <c r="G670" s="29" t="n">
        <v>20</v>
      </c>
      <c r="H670" s="27" t="inlineStr">
        <is>
          <t>Exclusive</t>
        </is>
      </c>
      <c r="I670" s="29" t="n">
        <v>15</v>
      </c>
      <c r="J670" s="27" t="inlineStr">
        <is>
          <t>Exclusive</t>
        </is>
      </c>
      <c r="K670" s="29" t="n">
        <v>20</v>
      </c>
      <c r="L670" s="29" t="n">
        <v>0</v>
      </c>
      <c r="M670" s="33" t="n">
        <v>1</v>
      </c>
      <c r="N670" s="27" t="inlineStr">
        <is>
          <t>Yes</t>
        </is>
      </c>
      <c r="O670" s="29" t="n">
        <v>0</v>
      </c>
      <c r="P670" s="30" t="n">
        <v>450</v>
      </c>
      <c r="Q670" s="31" t="inlineStr">
        <is>
          <t>In Stock</t>
        </is>
      </c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5" customHeight="1" s="85">
      <c r="A671" s="27" t="inlineStr">
        <is>
          <t>LEVONA KERALA MIXTURE</t>
        </is>
      </c>
      <c r="B671" s="27" t="n"/>
      <c r="C671" s="27" t="inlineStr">
        <is>
          <t>Snacks</t>
        </is>
      </c>
      <c r="D671" s="28" t="inlineStr">
        <is>
          <t>416236371400</t>
        </is>
      </c>
      <c r="E671" s="27" t="n"/>
      <c r="F671" s="29" t="n">
        <v>0</v>
      </c>
      <c r="G671" s="29" t="n">
        <v>70</v>
      </c>
      <c r="H671" s="27" t="inlineStr">
        <is>
          <t>Exclusive</t>
        </is>
      </c>
      <c r="I671" s="29" t="n">
        <v>42</v>
      </c>
      <c r="J671" s="27" t="inlineStr">
        <is>
          <t>Exclusive</t>
        </is>
      </c>
      <c r="K671" s="29" t="n">
        <v>70</v>
      </c>
      <c r="L671" s="29" t="n">
        <v>11</v>
      </c>
      <c r="M671" s="33" t="n">
        <v>1</v>
      </c>
      <c r="N671" s="27" t="inlineStr">
        <is>
          <t>Yes</t>
        </is>
      </c>
      <c r="O671" s="29" t="n">
        <v>0</v>
      </c>
      <c r="P671" s="30" t="n">
        <v>450</v>
      </c>
      <c r="Q671" s="31" t="inlineStr">
        <is>
          <t>In Stock</t>
        </is>
      </c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5" customHeight="1" s="85">
      <c r="A672" s="27" t="inlineStr">
        <is>
          <t>LEVONA KOLLAM HALWA</t>
        </is>
      </c>
      <c r="B672" s="27" t="n"/>
      <c r="C672" s="27" t="inlineStr">
        <is>
          <t>Snacks</t>
        </is>
      </c>
      <c r="D672" s="32" t="inlineStr">
        <is>
          <t>100261</t>
        </is>
      </c>
      <c r="E672" s="27" t="n"/>
      <c r="F672" s="29" t="n">
        <v>0</v>
      </c>
      <c r="G672" s="29" t="n">
        <v>200</v>
      </c>
      <c r="H672" s="27" t="inlineStr">
        <is>
          <t>Inclusive</t>
        </is>
      </c>
      <c r="I672" s="29" t="n">
        <v>150</v>
      </c>
      <c r="J672" s="27" t="inlineStr">
        <is>
          <t>Inclusive</t>
        </is>
      </c>
      <c r="K672" s="29" t="n">
        <v>200</v>
      </c>
      <c r="L672" s="29" t="n">
        <v>0</v>
      </c>
      <c r="M672" s="33" t="n">
        <v>1</v>
      </c>
      <c r="N672" s="27" t="inlineStr">
        <is>
          <t>Yes</t>
        </is>
      </c>
      <c r="O672" s="29" t="n">
        <v>0</v>
      </c>
      <c r="P672" s="30" t="n">
        <v>450</v>
      </c>
      <c r="Q672" s="31" t="inlineStr">
        <is>
          <t>In Stock</t>
        </is>
      </c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5" customHeight="1" s="85">
      <c r="A673" s="27" t="inlineStr">
        <is>
          <t>LEVONA LOBIYA 500</t>
        </is>
      </c>
      <c r="B673" s="27" t="n"/>
      <c r="C673" s="27" t="inlineStr">
        <is>
          <t>Grains &amp; Flours</t>
        </is>
      </c>
      <c r="D673" s="28" t="inlineStr">
        <is>
          <t>105496957195</t>
        </is>
      </c>
      <c r="E673" s="27" t="n"/>
      <c r="F673" s="29" t="n">
        <v>0</v>
      </c>
      <c r="G673" s="29" t="n">
        <v>100</v>
      </c>
      <c r="H673" s="27" t="inlineStr">
        <is>
          <t>Exclusive</t>
        </is>
      </c>
      <c r="I673" s="29" t="n">
        <v>78</v>
      </c>
      <c r="J673" s="27" t="inlineStr">
        <is>
          <t>Exclusive</t>
        </is>
      </c>
      <c r="K673" s="29" t="n">
        <v>100</v>
      </c>
      <c r="L673" s="29" t="n">
        <v>66</v>
      </c>
      <c r="M673" s="33" t="n">
        <v>1</v>
      </c>
      <c r="N673" s="27" t="inlineStr">
        <is>
          <t>Yes</t>
        </is>
      </c>
      <c r="O673" s="29" t="n">
        <v>0</v>
      </c>
      <c r="P673" s="30" t="n">
        <v>450</v>
      </c>
      <c r="Q673" s="31" t="inlineStr">
        <is>
          <t>In Stock</t>
        </is>
      </c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5" customHeight="1" s="85">
      <c r="A674" s="27" t="inlineStr">
        <is>
          <t>LEVONA PULSES URAD DAAL</t>
        </is>
      </c>
      <c r="B674" s="27" t="n"/>
      <c r="C674" s="27" t="inlineStr">
        <is>
          <t>Grains &amp; Flours</t>
        </is>
      </c>
      <c r="D674" s="28" t="inlineStr">
        <is>
          <t>994220249561</t>
        </is>
      </c>
      <c r="E674" s="27" t="n"/>
      <c r="F674" s="29" t="n">
        <v>0</v>
      </c>
      <c r="G674" s="29" t="n">
        <v>100</v>
      </c>
      <c r="H674" s="27" t="inlineStr">
        <is>
          <t>Exclusive</t>
        </is>
      </c>
      <c r="I674" s="29" t="n">
        <v>88</v>
      </c>
      <c r="J674" s="27" t="inlineStr">
        <is>
          <t>Exclusive</t>
        </is>
      </c>
      <c r="K674" s="29" t="n">
        <v>100</v>
      </c>
      <c r="L674" s="29" t="n">
        <v>0</v>
      </c>
      <c r="M674" s="33" t="n">
        <v>1</v>
      </c>
      <c r="N674" s="27" t="inlineStr">
        <is>
          <t>Yes</t>
        </is>
      </c>
      <c r="O674" s="29" t="n">
        <v>0</v>
      </c>
      <c r="P674" s="30" t="n">
        <v>450</v>
      </c>
      <c r="Q674" s="31" t="inlineStr">
        <is>
          <t>In Stock</t>
        </is>
      </c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5" customHeight="1" s="85">
      <c r="A675" s="27" t="inlineStr">
        <is>
          <t>LEVONA RAGI SABOTH</t>
        </is>
      </c>
      <c r="B675" s="27" t="n"/>
      <c r="C675" s="27" t="inlineStr">
        <is>
          <t>Grains &amp; Flours</t>
        </is>
      </c>
      <c r="D675" s="32" t="inlineStr">
        <is>
          <t>100262</t>
        </is>
      </c>
      <c r="E675" s="27" t="n"/>
      <c r="F675" s="29" t="n">
        <v>0</v>
      </c>
      <c r="G675" s="29" t="n">
        <v>100</v>
      </c>
      <c r="H675" s="27" t="inlineStr">
        <is>
          <t>Exclusive</t>
        </is>
      </c>
      <c r="I675" s="29" t="n">
        <v>80</v>
      </c>
      <c r="J675" s="27" t="inlineStr">
        <is>
          <t>Exclusive</t>
        </is>
      </c>
      <c r="K675" s="29" t="n">
        <v>100</v>
      </c>
      <c r="L675" s="29" t="n">
        <v>0</v>
      </c>
      <c r="M675" s="33" t="n">
        <v>1</v>
      </c>
      <c r="N675" s="27" t="inlineStr">
        <is>
          <t>Yes</t>
        </is>
      </c>
      <c r="O675" s="29" t="n">
        <v>0</v>
      </c>
      <c r="P675" s="30" t="n">
        <v>450</v>
      </c>
      <c r="Q675" s="31" t="inlineStr">
        <is>
          <t>In Stock</t>
        </is>
      </c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5" customHeight="1" s="85">
      <c r="A676" s="27" t="inlineStr">
        <is>
          <t>LEVONA SHARKKARA VARATTI 200GM</t>
        </is>
      </c>
      <c r="B676" s="27" t="n"/>
      <c r="C676" s="27" t="inlineStr">
        <is>
          <t>Snacks</t>
        </is>
      </c>
      <c r="D676" s="32" t="inlineStr">
        <is>
          <t>100263</t>
        </is>
      </c>
      <c r="E676" s="27" t="n"/>
      <c r="F676" s="29" t="n">
        <v>0</v>
      </c>
      <c r="G676" s="29" t="n">
        <v>100</v>
      </c>
      <c r="H676" s="27" t="inlineStr">
        <is>
          <t>Exclusive</t>
        </is>
      </c>
      <c r="I676" s="29" t="n">
        <v>62</v>
      </c>
      <c r="J676" s="27" t="inlineStr">
        <is>
          <t>Exclusive</t>
        </is>
      </c>
      <c r="K676" s="29" t="n">
        <v>100</v>
      </c>
      <c r="L676" s="29" t="n">
        <v>52</v>
      </c>
      <c r="M676" s="33" t="n">
        <v>1</v>
      </c>
      <c r="N676" s="27" t="inlineStr">
        <is>
          <t>Yes</t>
        </is>
      </c>
      <c r="O676" s="29" t="n">
        <v>0</v>
      </c>
      <c r="P676" s="30" t="n">
        <v>450</v>
      </c>
      <c r="Q676" s="31" t="inlineStr">
        <is>
          <t>In Stock</t>
        </is>
      </c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5" customHeight="1" s="85">
      <c r="A677" s="27" t="inlineStr">
        <is>
          <t>LEVONA TAPIOCA CHIPS WHITE/ CHILLY 55</t>
        </is>
      </c>
      <c r="B677" s="27" t="n"/>
      <c r="C677" s="27" t="inlineStr">
        <is>
          <t>Snacks</t>
        </is>
      </c>
      <c r="D677" s="28" t="inlineStr">
        <is>
          <t>896763342759</t>
        </is>
      </c>
      <c r="E677" s="27" t="n"/>
      <c r="F677" s="29" t="n">
        <v>0</v>
      </c>
      <c r="G677" s="29" t="n">
        <v>55</v>
      </c>
      <c r="H677" s="27" t="inlineStr">
        <is>
          <t>Exclusive</t>
        </is>
      </c>
      <c r="I677" s="29" t="n">
        <v>44</v>
      </c>
      <c r="J677" s="27" t="inlineStr">
        <is>
          <t>Exclusive</t>
        </is>
      </c>
      <c r="K677" s="29" t="n">
        <v>55</v>
      </c>
      <c r="L677" s="29" t="n">
        <v>16</v>
      </c>
      <c r="M677" s="33" t="n">
        <v>1</v>
      </c>
      <c r="N677" s="27" t="inlineStr">
        <is>
          <t>Yes</t>
        </is>
      </c>
      <c r="O677" s="29" t="n">
        <v>0</v>
      </c>
      <c r="P677" s="30" t="n">
        <v>450</v>
      </c>
      <c r="Q677" s="31" t="inlineStr">
        <is>
          <t>In Stock</t>
        </is>
      </c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5" customHeight="1" s="85">
      <c r="A678" s="27" t="inlineStr">
        <is>
          <t>LG KAYAM 50GM (HING)</t>
        </is>
      </c>
      <c r="B678" s="27" t="n"/>
      <c r="C678" s="27" t="inlineStr">
        <is>
          <t>Masalas &amp; Spices</t>
        </is>
      </c>
      <c r="D678" s="28" t="inlineStr">
        <is>
          <t>840222000149</t>
        </is>
      </c>
      <c r="E678" s="27" t="n"/>
      <c r="F678" s="29" t="n">
        <v>0</v>
      </c>
      <c r="G678" s="29" t="n">
        <v>94</v>
      </c>
      <c r="H678" s="27" t="inlineStr">
        <is>
          <t>Exclusive</t>
        </is>
      </c>
      <c r="I678" s="29" t="n">
        <v>77</v>
      </c>
      <c r="J678" s="27" t="inlineStr">
        <is>
          <t>Exclusive</t>
        </is>
      </c>
      <c r="K678" s="29" t="n">
        <v>92</v>
      </c>
      <c r="L678" s="29" t="n">
        <v>0</v>
      </c>
      <c r="M678" s="33" t="n">
        <v>1</v>
      </c>
      <c r="N678" s="27" t="inlineStr">
        <is>
          <t>Yes</t>
        </is>
      </c>
      <c r="O678" s="29" t="n">
        <v>0</v>
      </c>
      <c r="P678" s="30" t="n">
        <v>450</v>
      </c>
      <c r="Q678" s="31" t="inlineStr">
        <is>
          <t>In Stock</t>
        </is>
      </c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5" customHeight="1" s="85">
      <c r="A679" s="27" t="inlineStr">
        <is>
          <t>LG KAYAM KATTA 50 BOX</t>
        </is>
      </c>
      <c r="B679" s="27" t="n"/>
      <c r="C679" s="27" t="inlineStr">
        <is>
          <t>Masalas &amp; Spices</t>
        </is>
      </c>
      <c r="D679" s="28" t="inlineStr">
        <is>
          <t>840222000101</t>
        </is>
      </c>
      <c r="E679" s="27" t="n"/>
      <c r="F679" s="29" t="n">
        <v>0</v>
      </c>
      <c r="G679" s="29" t="n">
        <v>91</v>
      </c>
      <c r="H679" s="27" t="inlineStr">
        <is>
          <t>Exclusive</t>
        </is>
      </c>
      <c r="I679" s="29" t="n">
        <v>85</v>
      </c>
      <c r="J679" s="27" t="inlineStr">
        <is>
          <t>Exclusive</t>
        </is>
      </c>
      <c r="K679" s="29" t="n">
        <v>91</v>
      </c>
      <c r="L679" s="29" t="n">
        <v>4</v>
      </c>
      <c r="M679" s="33" t="n">
        <v>1</v>
      </c>
      <c r="N679" s="27" t="inlineStr">
        <is>
          <t>Yes</t>
        </is>
      </c>
      <c r="O679" s="29" t="n">
        <v>0</v>
      </c>
      <c r="P679" s="30" t="n">
        <v>450</v>
      </c>
      <c r="Q679" s="31" t="inlineStr">
        <is>
          <t>In Stock</t>
        </is>
      </c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5" customHeight="1" s="85">
      <c r="A680" s="27" t="inlineStr">
        <is>
          <t>LIME PICKLE 5KG</t>
        </is>
      </c>
      <c r="B680" s="27" t="n"/>
      <c r="C680" s="27" t="inlineStr">
        <is>
          <t>Pickles</t>
        </is>
      </c>
      <c r="D680" s="32" t="inlineStr">
        <is>
          <t>100264</t>
        </is>
      </c>
      <c r="E680" s="27" t="n"/>
      <c r="F680" s="29" t="n">
        <v>0</v>
      </c>
      <c r="G680" s="29" t="n">
        <v>500</v>
      </c>
      <c r="H680" s="27" t="inlineStr">
        <is>
          <t>Exclusive</t>
        </is>
      </c>
      <c r="I680" s="29" t="n">
        <v>400</v>
      </c>
      <c r="J680" s="27" t="inlineStr">
        <is>
          <t>Exclusive</t>
        </is>
      </c>
      <c r="K680" s="29" t="n">
        <v>500</v>
      </c>
      <c r="L680" s="29" t="n">
        <v>0</v>
      </c>
      <c r="M680" s="27" t="n"/>
      <c r="N680" s="27" t="inlineStr">
        <is>
          <t>Yes</t>
        </is>
      </c>
      <c r="O680" s="29" t="n">
        <v>0</v>
      </c>
      <c r="P680" s="30" t="n">
        <v>450</v>
      </c>
      <c r="Q680" s="31" t="inlineStr">
        <is>
          <t>In Stock</t>
        </is>
      </c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5" customHeight="1" s="85">
      <c r="A681" s="27" t="inlineStr">
        <is>
          <t>LION ARABIAN DATES 500GM (2PC)</t>
        </is>
      </c>
      <c r="B681" s="27" t="n"/>
      <c r="C681" s="27" t="inlineStr">
        <is>
          <t>Snacks</t>
        </is>
      </c>
      <c r="D681" s="28" t="inlineStr">
        <is>
          <t>8906006722187</t>
        </is>
      </c>
      <c r="E681" s="27" t="n"/>
      <c r="F681" s="29" t="n">
        <v>0</v>
      </c>
      <c r="G681" s="29" t="n">
        <v>284</v>
      </c>
      <c r="H681" s="27" t="inlineStr">
        <is>
          <t>Exclusive</t>
        </is>
      </c>
      <c r="I681" s="29" t="n">
        <v>242.86</v>
      </c>
      <c r="J681" s="27" t="inlineStr">
        <is>
          <t>Exclusive</t>
        </is>
      </c>
      <c r="K681" s="29" t="n">
        <v>284</v>
      </c>
      <c r="L681" s="29" t="n">
        <v>2</v>
      </c>
      <c r="M681" s="27" t="n"/>
      <c r="N681" s="27" t="inlineStr">
        <is>
          <t>Yes</t>
        </is>
      </c>
      <c r="O681" s="29" t="n">
        <v>0</v>
      </c>
      <c r="P681" s="30" t="n">
        <v>450</v>
      </c>
      <c r="Q681" s="31" t="inlineStr">
        <is>
          <t>In Stock</t>
        </is>
      </c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5" customHeight="1" s="85">
      <c r="A682" s="27" t="inlineStr">
        <is>
          <t>LOBIYA 500GM SUBIN</t>
        </is>
      </c>
      <c r="B682" s="27" t="n"/>
      <c r="C682" s="27" t="inlineStr">
        <is>
          <t>Grains &amp; Flours</t>
        </is>
      </c>
      <c r="D682" s="28" t="inlineStr">
        <is>
          <t>151131424781</t>
        </is>
      </c>
      <c r="E682" s="27" t="n"/>
      <c r="F682" s="29" t="n">
        <v>0</v>
      </c>
      <c r="G682" s="29" t="n">
        <v>85</v>
      </c>
      <c r="H682" s="27" t="inlineStr">
        <is>
          <t>Exclusive</t>
        </is>
      </c>
      <c r="I682" s="29" t="n">
        <v>75</v>
      </c>
      <c r="J682" s="27" t="inlineStr">
        <is>
          <t>Exclusive</t>
        </is>
      </c>
      <c r="K682" s="29" t="n">
        <v>85</v>
      </c>
      <c r="L682" s="29" t="n">
        <v>0</v>
      </c>
      <c r="M682" s="33" t="n">
        <v>1</v>
      </c>
      <c r="N682" s="27" t="inlineStr">
        <is>
          <t>Yes</t>
        </is>
      </c>
      <c r="O682" s="29" t="n">
        <v>0</v>
      </c>
      <c r="P682" s="30" t="n">
        <v>450</v>
      </c>
      <c r="Q682" s="31" t="inlineStr">
        <is>
          <t>In Stock</t>
        </is>
      </c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5" customHeight="1" s="85">
      <c r="A683" s="27" t="inlineStr">
        <is>
          <t>LOBIYA BIG - 500</t>
        </is>
      </c>
      <c r="B683" s="27" t="n"/>
      <c r="C683" s="27" t="inlineStr">
        <is>
          <t>Grains &amp; Flours</t>
        </is>
      </c>
      <c r="D683" s="28" t="inlineStr">
        <is>
          <t>885972013345</t>
        </is>
      </c>
      <c r="E683" s="27" t="n"/>
      <c r="F683" s="29" t="n">
        <v>0</v>
      </c>
      <c r="G683" s="29" t="n">
        <v>85</v>
      </c>
      <c r="H683" s="27" t="inlineStr">
        <is>
          <t>Exclusive</t>
        </is>
      </c>
      <c r="I683" s="29" t="n">
        <v>60</v>
      </c>
      <c r="J683" s="27" t="inlineStr">
        <is>
          <t>Exclusive</t>
        </is>
      </c>
      <c r="K683" s="29" t="n">
        <v>90</v>
      </c>
      <c r="L683" s="29" t="n">
        <v>0</v>
      </c>
      <c r="M683" s="33" t="n">
        <v>1</v>
      </c>
      <c r="N683" s="27" t="inlineStr">
        <is>
          <t>Yes</t>
        </is>
      </c>
      <c r="O683" s="29" t="n">
        <v>0</v>
      </c>
      <c r="P683" s="30" t="n">
        <v>450</v>
      </c>
      <c r="Q683" s="31" t="inlineStr">
        <is>
          <t>In Stock</t>
        </is>
      </c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5" customHeight="1" s="85">
      <c r="A684" s="27" t="inlineStr">
        <is>
          <t>LUNGI SILVER STAR</t>
        </is>
      </c>
      <c r="B684" s="27" t="n"/>
      <c r="C684" s="27" t="inlineStr">
        <is>
          <t>Kerala Clothing</t>
        </is>
      </c>
      <c r="D684" s="28" t="inlineStr">
        <is>
          <t>725711035924</t>
        </is>
      </c>
      <c r="E684" s="27" t="n"/>
      <c r="F684" s="29" t="n">
        <v>0</v>
      </c>
      <c r="G684" s="29" t="n">
        <v>340</v>
      </c>
      <c r="H684" s="27" t="inlineStr">
        <is>
          <t>Exclusive</t>
        </is>
      </c>
      <c r="I684" s="29" t="n">
        <v>240</v>
      </c>
      <c r="J684" s="27" t="inlineStr">
        <is>
          <t>Exclusive</t>
        </is>
      </c>
      <c r="K684" s="29" t="n">
        <v>340</v>
      </c>
      <c r="L684" s="29" t="n">
        <v>1</v>
      </c>
      <c r="M684" s="33" t="n">
        <v>1</v>
      </c>
      <c r="N684" s="27" t="inlineStr">
        <is>
          <t>Yes</t>
        </is>
      </c>
      <c r="O684" s="29" t="n">
        <v>0</v>
      </c>
      <c r="P684" s="30" t="n">
        <v>450</v>
      </c>
      <c r="Q684" s="31" t="inlineStr">
        <is>
          <t>In Stock</t>
        </is>
      </c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5" customHeight="1" s="85">
      <c r="A685" s="27" t="inlineStr">
        <is>
          <t>M32 SOUND BAR</t>
        </is>
      </c>
      <c r="B685" s="27" t="n"/>
      <c r="C685" s="27" t="inlineStr">
        <is>
          <t>Electronics</t>
        </is>
      </c>
      <c r="D685" s="28" t="inlineStr">
        <is>
          <t>623515687319</t>
        </is>
      </c>
      <c r="E685" s="27" t="n"/>
      <c r="F685" s="29" t="n">
        <v>0</v>
      </c>
      <c r="G685" s="29" t="n">
        <v>750</v>
      </c>
      <c r="H685" s="27" t="inlineStr">
        <is>
          <t>Exclusive</t>
        </is>
      </c>
      <c r="I685" s="29" t="n">
        <v>420</v>
      </c>
      <c r="J685" s="27" t="inlineStr">
        <is>
          <t>Exclusive</t>
        </is>
      </c>
      <c r="K685" s="29" t="n">
        <v>1215</v>
      </c>
      <c r="L685" s="29" t="n">
        <v>5</v>
      </c>
      <c r="M685" s="27" t="n"/>
      <c r="N685" s="27" t="inlineStr">
        <is>
          <t>Yes</t>
        </is>
      </c>
      <c r="O685" s="29" t="n">
        <v>0</v>
      </c>
      <c r="P685" s="30" t="n">
        <v>450</v>
      </c>
      <c r="Q685" s="31" t="inlineStr">
        <is>
          <t>In Stock</t>
        </is>
      </c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5" customHeight="1" s="85">
      <c r="A686" s="27" t="inlineStr">
        <is>
          <t>MALAYORAM COCONUT OIL 1LTR</t>
        </is>
      </c>
      <c r="B686" s="27" t="n"/>
      <c r="C686" s="27" t="inlineStr">
        <is>
          <t>Edible Oils &amp; Ghee</t>
        </is>
      </c>
      <c r="D686" s="28" t="inlineStr">
        <is>
          <t>8908007124410</t>
        </is>
      </c>
      <c r="E686" s="27" t="n"/>
      <c r="F686" s="29" t="n">
        <v>0</v>
      </c>
      <c r="G686" s="29" t="n">
        <v>425</v>
      </c>
      <c r="H686" s="27" t="inlineStr">
        <is>
          <t>Exclusive</t>
        </is>
      </c>
      <c r="I686" s="29" t="n">
        <v>379</v>
      </c>
      <c r="J686" s="27" t="inlineStr">
        <is>
          <t>Exclusive</t>
        </is>
      </c>
      <c r="K686" s="29" t="n">
        <v>560</v>
      </c>
      <c r="L686" s="29" t="n">
        <v>0</v>
      </c>
      <c r="M686" s="33" t="n">
        <v>1</v>
      </c>
      <c r="N686" s="27" t="inlineStr">
        <is>
          <t>Yes</t>
        </is>
      </c>
      <c r="O686" s="29" t="n">
        <v>0</v>
      </c>
      <c r="P686" s="30" t="n">
        <v>450</v>
      </c>
      <c r="Q686" s="31" t="inlineStr">
        <is>
          <t>In Stock</t>
        </is>
      </c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5" customHeight="1" s="85">
      <c r="A687" s="27" t="inlineStr">
        <is>
          <t>MALAYORAM COCONUT OIL 500 ML</t>
        </is>
      </c>
      <c r="B687" s="27" t="n"/>
      <c r="C687" s="27" t="inlineStr">
        <is>
          <t>Edible Oils &amp; Ghee</t>
        </is>
      </c>
      <c r="D687" s="28" t="inlineStr">
        <is>
          <t>8908007124427</t>
        </is>
      </c>
      <c r="E687" s="27" t="n"/>
      <c r="F687" s="29" t="n">
        <v>0</v>
      </c>
      <c r="G687" s="29" t="n">
        <v>225</v>
      </c>
      <c r="H687" s="27" t="inlineStr">
        <is>
          <t>Exclusive</t>
        </is>
      </c>
      <c r="I687" s="29" t="n">
        <v>200</v>
      </c>
      <c r="J687" s="27" t="inlineStr">
        <is>
          <t>Exclusive</t>
        </is>
      </c>
      <c r="K687" s="29" t="n">
        <v>221</v>
      </c>
      <c r="L687" s="29" t="n">
        <v>0</v>
      </c>
      <c r="M687" s="33" t="n">
        <v>1</v>
      </c>
      <c r="N687" s="27" t="inlineStr">
        <is>
          <t>Yes</t>
        </is>
      </c>
      <c r="O687" s="29" t="n">
        <v>0</v>
      </c>
      <c r="P687" s="30" t="n">
        <v>450</v>
      </c>
      <c r="Q687" s="31" t="inlineStr">
        <is>
          <t>In Stock</t>
        </is>
      </c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5" customHeight="1" s="85">
      <c r="A688" s="27" t="inlineStr">
        <is>
          <t>MALKA MASOOR 500GM</t>
        </is>
      </c>
      <c r="B688" s="27" t="n"/>
      <c r="C688" s="27" t="inlineStr">
        <is>
          <t>Grains &amp; Flours</t>
        </is>
      </c>
      <c r="D688" s="28" t="inlineStr">
        <is>
          <t>171076202917</t>
        </is>
      </c>
      <c r="E688" s="27" t="n"/>
      <c r="F688" s="29" t="n">
        <v>0</v>
      </c>
      <c r="G688" s="29" t="n">
        <v>58</v>
      </c>
      <c r="H688" s="27" t="inlineStr">
        <is>
          <t>Exclusive</t>
        </is>
      </c>
      <c r="I688" s="29" t="n">
        <v>50</v>
      </c>
      <c r="J688" s="27" t="inlineStr">
        <is>
          <t>Exclusive</t>
        </is>
      </c>
      <c r="K688" s="29" t="n">
        <v>58</v>
      </c>
      <c r="L688" s="29" t="n">
        <v>2</v>
      </c>
      <c r="M688" s="27" t="n"/>
      <c r="N688" s="27" t="inlineStr">
        <is>
          <t>Yes</t>
        </is>
      </c>
      <c r="O688" s="29" t="n">
        <v>0</v>
      </c>
      <c r="P688" s="30" t="n">
        <v>450</v>
      </c>
      <c r="Q688" s="31" t="inlineStr">
        <is>
          <t>In Stock</t>
        </is>
      </c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5" customHeight="1" s="85">
      <c r="A689" s="27" t="inlineStr">
        <is>
          <t>MANNA HEALTH MIX 500GM</t>
        </is>
      </c>
      <c r="B689" s="27" t="n"/>
      <c r="C689" s="27" t="inlineStr">
        <is>
          <t>Healthcare Items</t>
        </is>
      </c>
      <c r="D689" s="28" t="inlineStr">
        <is>
          <t>8906008350043</t>
        </is>
      </c>
      <c r="E689" s="27" t="n"/>
      <c r="F689" s="29" t="n">
        <v>0</v>
      </c>
      <c r="G689" s="29" t="n">
        <v>285</v>
      </c>
      <c r="H689" s="27" t="inlineStr">
        <is>
          <t>Inclusive</t>
        </is>
      </c>
      <c r="I689" s="29" t="n">
        <v>230</v>
      </c>
      <c r="J689" s="27" t="inlineStr">
        <is>
          <t>Inclusive</t>
        </is>
      </c>
      <c r="K689" s="29" t="n">
        <v>285</v>
      </c>
      <c r="L689" s="29" t="n">
        <v>1</v>
      </c>
      <c r="M689" s="33" t="n">
        <v>1</v>
      </c>
      <c r="N689" s="27" t="inlineStr">
        <is>
          <t>No</t>
        </is>
      </c>
      <c r="O689" s="29" t="n">
        <v>0</v>
      </c>
      <c r="P689" s="30" t="n">
        <v>450</v>
      </c>
      <c r="Q689" s="31" t="inlineStr">
        <is>
          <t>In Stock</t>
        </is>
      </c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5" customHeight="1" s="85">
      <c r="A690" s="27" t="inlineStr">
        <is>
          <t>MANNA RAGI POWDER 500GN</t>
        </is>
      </c>
      <c r="B690" s="27" t="n"/>
      <c r="C690" s="27" t="inlineStr">
        <is>
          <t>Grains &amp; Flours</t>
        </is>
      </c>
      <c r="D690" s="28" t="inlineStr">
        <is>
          <t>8906008350098</t>
        </is>
      </c>
      <c r="E690" s="27" t="n"/>
      <c r="F690" s="29" t="n">
        <v>0</v>
      </c>
      <c r="G690" s="29" t="n">
        <v>65</v>
      </c>
      <c r="H690" s="27" t="inlineStr">
        <is>
          <t>Exclusive</t>
        </is>
      </c>
      <c r="I690" s="29" t="n">
        <v>63</v>
      </c>
      <c r="J690" s="27" t="inlineStr">
        <is>
          <t>Exclusive</t>
        </is>
      </c>
      <c r="K690" s="29" t="n">
        <v>65</v>
      </c>
      <c r="L690" s="29" t="n">
        <v>0</v>
      </c>
      <c r="M690" s="33" t="n">
        <v>1</v>
      </c>
      <c r="N690" s="27" t="inlineStr">
        <is>
          <t>Yes</t>
        </is>
      </c>
      <c r="O690" s="29" t="n">
        <v>0</v>
      </c>
      <c r="P690" s="30" t="n">
        <v>450</v>
      </c>
      <c r="Q690" s="31" t="inlineStr">
        <is>
          <t>In Stock</t>
        </is>
      </c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5" customHeight="1" s="85">
      <c r="A691" s="27" t="inlineStr">
        <is>
          <t>MANNA WHITE OATS 500GM</t>
        </is>
      </c>
      <c r="B691" s="27" t="n"/>
      <c r="C691" s="27" t="inlineStr">
        <is>
          <t>Grains &amp; Flours</t>
        </is>
      </c>
      <c r="D691" s="28" t="inlineStr">
        <is>
          <t>8906008350470</t>
        </is>
      </c>
      <c r="E691" s="27" t="n"/>
      <c r="F691" s="29" t="n">
        <v>0</v>
      </c>
      <c r="G691" s="29" t="n">
        <v>140</v>
      </c>
      <c r="H691" s="27" t="inlineStr">
        <is>
          <t>Inclusive</t>
        </is>
      </c>
      <c r="I691" s="29" t="n">
        <v>150</v>
      </c>
      <c r="J691" s="27" t="inlineStr">
        <is>
          <t>Inclusive</t>
        </is>
      </c>
      <c r="K691" s="29" t="n">
        <v>150</v>
      </c>
      <c r="L691" s="29" t="n">
        <v>0</v>
      </c>
      <c r="M691" s="33" t="n">
        <v>1</v>
      </c>
      <c r="N691" s="27" t="inlineStr">
        <is>
          <t>No</t>
        </is>
      </c>
      <c r="O691" s="29" t="n">
        <v>0</v>
      </c>
      <c r="P691" s="30" t="n">
        <v>450</v>
      </c>
      <c r="Q691" s="31" t="inlineStr">
        <is>
          <t>In Stock</t>
        </is>
      </c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5" customHeight="1" s="85">
      <c r="A692" s="27" t="inlineStr">
        <is>
          <t>MANORAMA CALENDER</t>
        </is>
      </c>
      <c r="B692" s="27" t="n"/>
      <c r="C692" s="27" t="inlineStr">
        <is>
          <t>Stationery</t>
        </is>
      </c>
      <c r="D692" s="28" t="inlineStr">
        <is>
          <t>9770975245508</t>
        </is>
      </c>
      <c r="E692" s="27" t="n"/>
      <c r="F692" s="29" t="n">
        <v>0</v>
      </c>
      <c r="G692" s="29" t="n">
        <v>45</v>
      </c>
      <c r="H692" s="27" t="inlineStr">
        <is>
          <t>Inclusive</t>
        </is>
      </c>
      <c r="I692" s="29" t="n">
        <v>38</v>
      </c>
      <c r="J692" s="27" t="inlineStr">
        <is>
          <t>Inclusive</t>
        </is>
      </c>
      <c r="K692" s="29" t="n">
        <v>45</v>
      </c>
      <c r="L692" s="29" t="n">
        <v>4</v>
      </c>
      <c r="M692" s="33" t="n">
        <v>1</v>
      </c>
      <c r="N692" s="27" t="inlineStr">
        <is>
          <t>Yes</t>
        </is>
      </c>
      <c r="O692" s="29" t="n">
        <v>0</v>
      </c>
      <c r="P692" s="30" t="n">
        <v>450</v>
      </c>
      <c r="Q692" s="31" t="inlineStr">
        <is>
          <t>In Stock</t>
        </is>
      </c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5" customHeight="1" s="85">
      <c r="A693" s="27" t="inlineStr">
        <is>
          <t>MARAYOOR SHARKKARA 1KG</t>
        </is>
      </c>
      <c r="B693" s="27" t="n"/>
      <c r="C693" s="27" t="inlineStr">
        <is>
          <t>Ready to Eat &amp; Mixes</t>
        </is>
      </c>
      <c r="D693" s="28" t="inlineStr">
        <is>
          <t>8700012541004</t>
        </is>
      </c>
      <c r="E693" s="27" t="n"/>
      <c r="F693" s="29" t="n">
        <v>0</v>
      </c>
      <c r="G693" s="29" t="n">
        <v>215</v>
      </c>
      <c r="H693" s="27" t="inlineStr">
        <is>
          <t>Exclusive</t>
        </is>
      </c>
      <c r="I693" s="29" t="n">
        <v>190</v>
      </c>
      <c r="J693" s="27" t="inlineStr">
        <is>
          <t>Exclusive</t>
        </is>
      </c>
      <c r="K693" s="29" t="n">
        <v>215</v>
      </c>
      <c r="L693" s="29" t="n">
        <v>0</v>
      </c>
      <c r="M693" s="27" t="n"/>
      <c r="N693" s="27" t="inlineStr">
        <is>
          <t>Yes</t>
        </is>
      </c>
      <c r="O693" s="29" t="n">
        <v>0</v>
      </c>
      <c r="P693" s="30" t="n">
        <v>450</v>
      </c>
      <c r="Q693" s="31" t="inlineStr">
        <is>
          <t>In Stock</t>
        </is>
      </c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5" customHeight="1" s="85">
      <c r="A694" s="27" t="inlineStr">
        <is>
          <t>MARKER PEN</t>
        </is>
      </c>
      <c r="B694" s="27" t="n"/>
      <c r="C694" s="27" t="inlineStr">
        <is>
          <t>Stationery</t>
        </is>
      </c>
      <c r="D694" s="32" t="inlineStr">
        <is>
          <t>100265</t>
        </is>
      </c>
      <c r="E694" s="27" t="n"/>
      <c r="F694" s="29" t="n">
        <v>0</v>
      </c>
      <c r="G694" s="29" t="n">
        <v>10</v>
      </c>
      <c r="H694" s="27" t="inlineStr">
        <is>
          <t>Exclusive</t>
        </is>
      </c>
      <c r="I694" s="29" t="n">
        <v>8</v>
      </c>
      <c r="J694" s="27" t="inlineStr">
        <is>
          <t>Exclusive</t>
        </is>
      </c>
      <c r="K694" s="29" t="n">
        <v>10</v>
      </c>
      <c r="L694" s="29" t="n">
        <v>3</v>
      </c>
      <c r="M694" s="33" t="n">
        <v>1</v>
      </c>
      <c r="N694" s="27" t="inlineStr">
        <is>
          <t>No</t>
        </is>
      </c>
      <c r="O694" s="29" t="n">
        <v>0</v>
      </c>
      <c r="P694" s="30" t="n">
        <v>450</v>
      </c>
      <c r="Q694" s="31" t="inlineStr">
        <is>
          <t>In Stock</t>
        </is>
      </c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5" customHeight="1" s="85">
      <c r="A695" s="27" t="inlineStr">
        <is>
          <t>MARKETED BLACK PEPPER WHOLE</t>
        </is>
      </c>
      <c r="B695" s="27" t="n"/>
      <c r="C695" s="27" t="inlineStr">
        <is>
          <t>Masalas &amp; Spices</t>
        </is>
      </c>
      <c r="D695" s="28" t="inlineStr">
        <is>
          <t>8906051345058</t>
        </is>
      </c>
      <c r="E695" s="27" t="n"/>
      <c r="F695" s="29" t="n">
        <v>0</v>
      </c>
      <c r="G695" s="29" t="n">
        <v>68</v>
      </c>
      <c r="H695" s="27" t="inlineStr">
        <is>
          <t>Exclusive</t>
        </is>
      </c>
      <c r="I695" s="29" t="n">
        <v>65</v>
      </c>
      <c r="J695" s="27" t="inlineStr">
        <is>
          <t>Exclusive</t>
        </is>
      </c>
      <c r="K695" s="29" t="n">
        <v>68</v>
      </c>
      <c r="L695" s="29" t="n">
        <v>0</v>
      </c>
      <c r="M695" s="27" t="n"/>
      <c r="N695" s="27" t="inlineStr">
        <is>
          <t>Yes</t>
        </is>
      </c>
      <c r="O695" s="29" t="n">
        <v>0</v>
      </c>
      <c r="P695" s="30" t="n">
        <v>450</v>
      </c>
      <c r="Q695" s="31" t="inlineStr">
        <is>
          <t>In Stock</t>
        </is>
      </c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5" customHeight="1" s="85">
      <c r="A696" s="27" t="inlineStr">
        <is>
          <t>MASALA COMBO 250GM</t>
        </is>
      </c>
      <c r="B696" s="27" t="n"/>
      <c r="C696" s="27" t="inlineStr">
        <is>
          <t>Masalas &amp; Spices</t>
        </is>
      </c>
      <c r="D696" s="28" t="inlineStr">
        <is>
          <t>950492961075</t>
        </is>
      </c>
      <c r="E696" s="27" t="n"/>
      <c r="F696" s="29" t="n">
        <v>0</v>
      </c>
      <c r="G696" s="29" t="n">
        <v>250</v>
      </c>
      <c r="H696" s="27" t="inlineStr">
        <is>
          <t>Exclusive</t>
        </is>
      </c>
      <c r="I696" s="29" t="n">
        <v>200</v>
      </c>
      <c r="J696" s="27" t="inlineStr">
        <is>
          <t>Exclusive</t>
        </is>
      </c>
      <c r="K696" s="29" t="n">
        <v>320</v>
      </c>
      <c r="L696" s="29" t="n">
        <v>0</v>
      </c>
      <c r="M696" s="33" t="n">
        <v>1</v>
      </c>
      <c r="N696" s="27" t="inlineStr">
        <is>
          <t>Yes</t>
        </is>
      </c>
      <c r="O696" s="29" t="n">
        <v>0</v>
      </c>
      <c r="P696" s="30" t="n">
        <v>450</v>
      </c>
      <c r="Q696" s="31" t="inlineStr">
        <is>
          <t>In Stock</t>
        </is>
      </c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5" customHeight="1" s="85">
      <c r="A697" s="27" t="inlineStr">
        <is>
          <t>MATRUBHOOMI CALENDER</t>
        </is>
      </c>
      <c r="B697" s="27" t="n"/>
      <c r="C697" s="27" t="inlineStr">
        <is>
          <t>Stationery</t>
        </is>
      </c>
      <c r="D697" s="34" t="inlineStr">
        <is>
          <t>0112-2025</t>
        </is>
      </c>
      <c r="E697" s="27" t="n"/>
      <c r="F697" s="29" t="n">
        <v>0</v>
      </c>
      <c r="G697" s="29" t="n">
        <v>45</v>
      </c>
      <c r="H697" s="27" t="inlineStr">
        <is>
          <t>Inclusive</t>
        </is>
      </c>
      <c r="I697" s="29" t="n">
        <v>38</v>
      </c>
      <c r="J697" s="27" t="inlineStr">
        <is>
          <t>Inclusive</t>
        </is>
      </c>
      <c r="K697" s="29" t="n">
        <v>45</v>
      </c>
      <c r="L697" s="29" t="n">
        <v>0</v>
      </c>
      <c r="M697" s="33" t="n">
        <v>1</v>
      </c>
      <c r="N697" s="27" t="inlineStr">
        <is>
          <t>Yes</t>
        </is>
      </c>
      <c r="O697" s="29" t="n">
        <v>0</v>
      </c>
      <c r="P697" s="30" t="n">
        <v>450</v>
      </c>
      <c r="Q697" s="31" t="inlineStr">
        <is>
          <t>In Stock</t>
        </is>
      </c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5" customHeight="1" s="85">
      <c r="A698" s="27" t="inlineStr">
        <is>
          <t>MCR DOUBLE MUNDU</t>
        </is>
      </c>
      <c r="B698" s="27" t="n"/>
      <c r="C698" s="27" t="inlineStr">
        <is>
          <t>Kerala Clothing</t>
        </is>
      </c>
      <c r="D698" s="32" t="inlineStr">
        <is>
          <t>100266</t>
        </is>
      </c>
      <c r="E698" s="27" t="n"/>
      <c r="F698" s="29" t="n">
        <v>0</v>
      </c>
      <c r="G698" s="29" t="n">
        <v>575</v>
      </c>
      <c r="H698" s="27" t="inlineStr">
        <is>
          <t>Exclusive</t>
        </is>
      </c>
      <c r="I698" s="29" t="n">
        <v>525</v>
      </c>
      <c r="J698" s="27" t="inlineStr">
        <is>
          <t>Exclusive</t>
        </is>
      </c>
      <c r="K698" s="29" t="n">
        <v>575</v>
      </c>
      <c r="L698" s="29" t="n">
        <v>0</v>
      </c>
      <c r="M698" s="33" t="n">
        <v>1</v>
      </c>
      <c r="N698" s="27" t="inlineStr">
        <is>
          <t>Yes</t>
        </is>
      </c>
      <c r="O698" s="29" t="n">
        <v>0</v>
      </c>
      <c r="P698" s="30" t="n">
        <v>450</v>
      </c>
      <c r="Q698" s="31" t="inlineStr">
        <is>
          <t>In Stock</t>
        </is>
      </c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5" customHeight="1" s="85">
      <c r="A699" s="27" t="inlineStr">
        <is>
          <t>MEDIMIX SOAP 125GM</t>
        </is>
      </c>
      <c r="B699" s="27" t="n"/>
      <c r="C699" s="27" t="inlineStr">
        <is>
          <t>Healthcare Items</t>
        </is>
      </c>
      <c r="D699" s="28" t="inlineStr">
        <is>
          <t>8904018300249</t>
        </is>
      </c>
      <c r="E699" s="27" t="n"/>
      <c r="F699" s="29" t="n">
        <v>0</v>
      </c>
      <c r="G699" s="29" t="n">
        <v>55</v>
      </c>
      <c r="H699" s="27" t="inlineStr">
        <is>
          <t>Exclusive</t>
        </is>
      </c>
      <c r="I699" s="29" t="n">
        <v>46</v>
      </c>
      <c r="J699" s="27" t="inlineStr">
        <is>
          <t>Exclusive</t>
        </is>
      </c>
      <c r="K699" s="29" t="n">
        <v>50</v>
      </c>
      <c r="L699" s="29" t="n">
        <v>0</v>
      </c>
      <c r="M699" s="33" t="n">
        <v>1</v>
      </c>
      <c r="N699" s="27" t="inlineStr">
        <is>
          <t>Yes</t>
        </is>
      </c>
      <c r="O699" s="29" t="n">
        <v>0</v>
      </c>
      <c r="P699" s="30" t="n">
        <v>450</v>
      </c>
      <c r="Q699" s="31" t="inlineStr">
        <is>
          <t>In Stock</t>
        </is>
      </c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5" customHeight="1" s="85">
      <c r="A700" s="27" t="inlineStr">
        <is>
          <t>MEGA PHONE</t>
        </is>
      </c>
      <c r="B700" s="27" t="n"/>
      <c r="C700" s="27" t="inlineStr">
        <is>
          <t>Electronics</t>
        </is>
      </c>
      <c r="D700" s="32" t="inlineStr">
        <is>
          <t>100267</t>
        </is>
      </c>
      <c r="E700" s="27" t="n"/>
      <c r="F700" s="29" t="n">
        <v>0</v>
      </c>
      <c r="G700" s="29" t="n">
        <v>550</v>
      </c>
      <c r="H700" s="27" t="inlineStr">
        <is>
          <t>Inclusive</t>
        </is>
      </c>
      <c r="I700" s="29" t="n">
        <v>450</v>
      </c>
      <c r="J700" s="27" t="inlineStr">
        <is>
          <t>Inclusive</t>
        </is>
      </c>
      <c r="K700" s="29" t="n">
        <v>700</v>
      </c>
      <c r="L700" s="29" t="n">
        <v>2</v>
      </c>
      <c r="M700" s="33" t="n">
        <v>1</v>
      </c>
      <c r="N700" s="27" t="inlineStr">
        <is>
          <t>Yes</t>
        </is>
      </c>
      <c r="O700" s="29" t="n">
        <v>0</v>
      </c>
      <c r="P700" s="30" t="n">
        <v>450</v>
      </c>
      <c r="Q700" s="31" t="inlineStr">
        <is>
          <t>In Stock</t>
        </is>
      </c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5" customHeight="1" s="85">
      <c r="A701" s="27" t="inlineStr">
        <is>
          <t>MEME BISCUITS</t>
        </is>
      </c>
      <c r="B701" s="27" t="n"/>
      <c r="C701" s="27" t="inlineStr">
        <is>
          <t>Snacks</t>
        </is>
      </c>
      <c r="D701" s="28" t="inlineStr">
        <is>
          <t>369016556597</t>
        </is>
      </c>
      <c r="E701" s="27" t="n"/>
      <c r="F701" s="29" t="n">
        <v>0</v>
      </c>
      <c r="G701" s="29" t="n">
        <v>65</v>
      </c>
      <c r="H701" s="27" t="inlineStr">
        <is>
          <t>Exclusive</t>
        </is>
      </c>
      <c r="I701" s="29" t="n">
        <v>45</v>
      </c>
      <c r="J701" s="27" t="inlineStr">
        <is>
          <t>Exclusive</t>
        </is>
      </c>
      <c r="K701" s="29" t="n">
        <v>65</v>
      </c>
      <c r="L701" s="29" t="n">
        <v>0</v>
      </c>
      <c r="M701" s="33" t="n">
        <v>1</v>
      </c>
      <c r="N701" s="27" t="inlineStr">
        <is>
          <t>Yes</t>
        </is>
      </c>
      <c r="O701" s="29" t="n">
        <v>0</v>
      </c>
      <c r="P701" s="30" t="n">
        <v>450</v>
      </c>
      <c r="Q701" s="31" t="inlineStr">
        <is>
          <t>In Stock</t>
        </is>
      </c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5" customHeight="1" s="85">
      <c r="A702" s="27" t="inlineStr">
        <is>
          <t>MERA SHIKSHIT BHARAT (LITERACY BOOK)</t>
        </is>
      </c>
      <c r="B702" s="27" t="n"/>
      <c r="C702" s="27" t="inlineStr">
        <is>
          <t>Books &amp; Bibles</t>
        </is>
      </c>
      <c r="D702" s="32" t="inlineStr">
        <is>
          <t>100268</t>
        </is>
      </c>
      <c r="E702" s="27" t="n"/>
      <c r="F702" s="29" t="n">
        <v>0</v>
      </c>
      <c r="G702" s="29" t="n">
        <v>50</v>
      </c>
      <c r="H702" s="27" t="inlineStr">
        <is>
          <t>Exclusive</t>
        </is>
      </c>
      <c r="I702" s="29" t="n">
        <v>50</v>
      </c>
      <c r="J702" s="27" t="inlineStr">
        <is>
          <t>Exclusive</t>
        </is>
      </c>
      <c r="K702" s="29" t="n">
        <v>50</v>
      </c>
      <c r="L702" s="29" t="n">
        <v>0</v>
      </c>
      <c r="M702" s="33" t="n">
        <v>1</v>
      </c>
      <c r="N702" s="27" t="inlineStr">
        <is>
          <t>Yes</t>
        </is>
      </c>
      <c r="O702" s="29" t="n">
        <v>0</v>
      </c>
      <c r="P702" s="30" t="n">
        <v>450</v>
      </c>
      <c r="Q702" s="31" t="inlineStr">
        <is>
          <t>In Stock</t>
        </is>
      </c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5" customHeight="1" s="85">
      <c r="A703" s="27" t="inlineStr">
        <is>
          <t>MI FAMILY PACKJEERA KALASA</t>
        </is>
      </c>
      <c r="B703" s="27" t="n"/>
      <c r="C703" s="27" t="inlineStr">
        <is>
          <t>Rice Items</t>
        </is>
      </c>
      <c r="D703" s="28" t="inlineStr">
        <is>
          <t>8908001361170</t>
        </is>
      </c>
      <c r="E703" s="27" t="n"/>
      <c r="F703" s="29" t="n">
        <v>0</v>
      </c>
      <c r="G703" s="29" t="n">
        <v>160</v>
      </c>
      <c r="H703" s="27" t="inlineStr">
        <is>
          <t>Exclusive</t>
        </is>
      </c>
      <c r="I703" s="29" t="n">
        <v>145</v>
      </c>
      <c r="J703" s="27" t="inlineStr">
        <is>
          <t>Exclusive</t>
        </is>
      </c>
      <c r="K703" s="29" t="n">
        <v>160</v>
      </c>
      <c r="L703" s="29" t="n">
        <v>0</v>
      </c>
      <c r="M703" s="33" t="n">
        <v>1</v>
      </c>
      <c r="N703" s="27" t="inlineStr">
        <is>
          <t>Yes</t>
        </is>
      </c>
      <c r="O703" s="29" t="n">
        <v>0</v>
      </c>
      <c r="P703" s="30" t="n">
        <v>450</v>
      </c>
      <c r="Q703" s="31" t="inlineStr">
        <is>
          <t>In Stock</t>
        </is>
      </c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5" customHeight="1" s="85">
      <c r="A704" s="27" t="inlineStr">
        <is>
          <t>MILMA GHEE 100GM</t>
        </is>
      </c>
      <c r="B704" s="27" t="n"/>
      <c r="C704" s="27" t="inlineStr">
        <is>
          <t>Edible Oils &amp; Ghee</t>
        </is>
      </c>
      <c r="D704" s="28" t="inlineStr">
        <is>
          <t>8906137050098</t>
        </is>
      </c>
      <c r="E704" s="27" t="n"/>
      <c r="F704" s="29" t="n">
        <v>0</v>
      </c>
      <c r="G704" s="29" t="n">
        <v>93</v>
      </c>
      <c r="H704" s="27" t="inlineStr">
        <is>
          <t>Exclusive</t>
        </is>
      </c>
      <c r="I704" s="29" t="n">
        <v>80</v>
      </c>
      <c r="J704" s="27" t="inlineStr">
        <is>
          <t>Exclusive</t>
        </is>
      </c>
      <c r="K704" s="29" t="n">
        <v>93</v>
      </c>
      <c r="L704" s="29" t="n">
        <v>0</v>
      </c>
      <c r="M704" s="33" t="n">
        <v>1</v>
      </c>
      <c r="N704" s="27" t="inlineStr">
        <is>
          <t>Yes</t>
        </is>
      </c>
      <c r="O704" s="29" t="n">
        <v>0</v>
      </c>
      <c r="P704" s="30" t="n">
        <v>450</v>
      </c>
      <c r="Q704" s="31" t="inlineStr">
        <is>
          <t>In Stock</t>
        </is>
      </c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5" customHeight="1" s="85">
      <c r="A705" s="27" t="inlineStr">
        <is>
          <t>MILMA GHEE 200GM</t>
        </is>
      </c>
      <c r="B705" s="27" t="n"/>
      <c r="C705" s="27" t="inlineStr">
        <is>
          <t>Edible Oils &amp; Ghee</t>
        </is>
      </c>
      <c r="D705" s="28" t="inlineStr">
        <is>
          <t>8906137050104</t>
        </is>
      </c>
      <c r="E705" s="27" t="n"/>
      <c r="F705" s="29" t="n">
        <v>0</v>
      </c>
      <c r="G705" s="29" t="n">
        <v>172</v>
      </c>
      <c r="H705" s="27" t="inlineStr">
        <is>
          <t>Exclusive</t>
        </is>
      </c>
      <c r="I705" s="29" t="n">
        <v>160</v>
      </c>
      <c r="J705" s="27" t="inlineStr">
        <is>
          <t>Exclusive</t>
        </is>
      </c>
      <c r="K705" s="29" t="n">
        <v>172</v>
      </c>
      <c r="L705" s="29" t="n">
        <v>0</v>
      </c>
      <c r="M705" s="33" t="n">
        <v>1</v>
      </c>
      <c r="N705" s="27" t="inlineStr">
        <is>
          <t>Yes</t>
        </is>
      </c>
      <c r="O705" s="29" t="n">
        <v>0</v>
      </c>
      <c r="P705" s="30" t="n">
        <v>450</v>
      </c>
      <c r="Q705" s="31" t="inlineStr">
        <is>
          <t>In Stock</t>
        </is>
      </c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5" customHeight="1" s="85">
      <c r="A706" s="27" t="inlineStr">
        <is>
          <t>MILMA GHEE 500GM</t>
        </is>
      </c>
      <c r="B706" s="27" t="n"/>
      <c r="C706" s="27" t="inlineStr">
        <is>
          <t>Edible Oils &amp; Ghee</t>
        </is>
      </c>
      <c r="D706" s="28" t="inlineStr">
        <is>
          <t>8906137050111</t>
        </is>
      </c>
      <c r="E706" s="27" t="n"/>
      <c r="F706" s="29" t="n">
        <v>0</v>
      </c>
      <c r="G706" s="29" t="n">
        <v>438</v>
      </c>
      <c r="H706" s="27" t="inlineStr">
        <is>
          <t>Exclusive</t>
        </is>
      </c>
      <c r="I706" s="29" t="n">
        <v>382</v>
      </c>
      <c r="J706" s="27" t="inlineStr">
        <is>
          <t>Exclusive</t>
        </is>
      </c>
      <c r="K706" s="29" t="n">
        <v>430</v>
      </c>
      <c r="L706" s="29" t="n">
        <v>0</v>
      </c>
      <c r="M706" s="33" t="n">
        <v>1</v>
      </c>
      <c r="N706" s="27" t="inlineStr">
        <is>
          <t>Yes</t>
        </is>
      </c>
      <c r="O706" s="29" t="n">
        <v>0</v>
      </c>
      <c r="P706" s="30" t="n">
        <v>450</v>
      </c>
      <c r="Q706" s="31" t="inlineStr">
        <is>
          <t>In Stock</t>
        </is>
      </c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5" customHeight="1" s="85">
      <c r="A707" s="27" t="inlineStr">
        <is>
          <t>MILMA PALADA</t>
        </is>
      </c>
      <c r="B707" s="27" t="n"/>
      <c r="C707" s="27" t="inlineStr">
        <is>
          <t>Ready to Eat &amp; Mixes</t>
        </is>
      </c>
      <c r="D707" s="28" t="inlineStr">
        <is>
          <t>8906137051637</t>
        </is>
      </c>
      <c r="E707" s="27" t="n"/>
      <c r="F707" s="29" t="n">
        <v>0</v>
      </c>
      <c r="G707" s="29" t="n">
        <v>103</v>
      </c>
      <c r="H707" s="27" t="inlineStr">
        <is>
          <t>Exclusive</t>
        </is>
      </c>
      <c r="I707" s="29" t="n">
        <v>90</v>
      </c>
      <c r="J707" s="27" t="inlineStr">
        <is>
          <t>Exclusive</t>
        </is>
      </c>
      <c r="K707" s="29" t="n">
        <v>103</v>
      </c>
      <c r="L707" s="29" t="n">
        <v>0</v>
      </c>
      <c r="M707" s="27" t="n"/>
      <c r="N707" s="27" t="inlineStr">
        <is>
          <t>Yes</t>
        </is>
      </c>
      <c r="O707" s="29" t="n">
        <v>0</v>
      </c>
      <c r="P707" s="30" t="n">
        <v>450</v>
      </c>
      <c r="Q707" s="31" t="inlineStr">
        <is>
          <t>In Stock</t>
        </is>
      </c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5" customHeight="1" s="85">
      <c r="A708" s="27" t="inlineStr">
        <is>
          <t>MINMIMI KUZHALAPPAM 250GM</t>
        </is>
      </c>
      <c r="B708" s="27" t="n"/>
      <c r="C708" s="27" t="inlineStr">
        <is>
          <t>Snacks</t>
        </is>
      </c>
      <c r="D708" s="28" t="inlineStr">
        <is>
          <t>8906140775735</t>
        </is>
      </c>
      <c r="E708" s="27" t="n"/>
      <c r="F708" s="29" t="n">
        <v>0</v>
      </c>
      <c r="G708" s="29" t="n">
        <v>170</v>
      </c>
      <c r="H708" s="27" t="inlineStr">
        <is>
          <t>Exclusive</t>
        </is>
      </c>
      <c r="I708" s="29" t="n">
        <v>127</v>
      </c>
      <c r="J708" s="27" t="inlineStr">
        <is>
          <t>Exclusive</t>
        </is>
      </c>
      <c r="K708" s="29" t="n">
        <v>175</v>
      </c>
      <c r="L708" s="29" t="n">
        <v>0</v>
      </c>
      <c r="M708" s="33" t="n">
        <v>1</v>
      </c>
      <c r="N708" s="27" t="inlineStr">
        <is>
          <t>Yes</t>
        </is>
      </c>
      <c r="O708" s="29" t="n">
        <v>0</v>
      </c>
      <c r="P708" s="30" t="n">
        <v>450</v>
      </c>
      <c r="Q708" s="31" t="inlineStr">
        <is>
          <t>In Stock</t>
        </is>
      </c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5" customHeight="1" s="85">
      <c r="A709" s="27" t="inlineStr">
        <is>
          <t>MINMINI KUZHALAPPAM 130GM</t>
        </is>
      </c>
      <c r="B709" s="27" t="n"/>
      <c r="C709" s="27" t="inlineStr">
        <is>
          <t>Snacks</t>
        </is>
      </c>
      <c r="D709" s="28" t="inlineStr">
        <is>
          <t>8906140775506</t>
        </is>
      </c>
      <c r="E709" s="27" t="n"/>
      <c r="F709" s="29" t="n">
        <v>0</v>
      </c>
      <c r="G709" s="29" t="n">
        <v>100</v>
      </c>
      <c r="H709" s="27" t="inlineStr">
        <is>
          <t>Inclusive</t>
        </is>
      </c>
      <c r="I709" s="29" t="n">
        <v>80</v>
      </c>
      <c r="J709" s="27" t="inlineStr">
        <is>
          <t>Inclusive</t>
        </is>
      </c>
      <c r="K709" s="29" t="n">
        <v>100</v>
      </c>
      <c r="L709" s="29" t="n">
        <v>0</v>
      </c>
      <c r="M709" s="33" t="n">
        <v>1</v>
      </c>
      <c r="N709" s="27" t="inlineStr">
        <is>
          <t>Yes</t>
        </is>
      </c>
      <c r="O709" s="29" t="n">
        <v>0</v>
      </c>
      <c r="P709" s="30" t="n">
        <v>450</v>
      </c>
      <c r="Q709" s="31" t="inlineStr">
        <is>
          <t>In Stock</t>
        </is>
      </c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5" customHeight="1" s="85">
      <c r="A710" s="27" t="inlineStr">
        <is>
          <t>MIXTURE 100GM</t>
        </is>
      </c>
      <c r="B710" s="27" t="n"/>
      <c r="C710" s="27" t="inlineStr">
        <is>
          <t>Snacks</t>
        </is>
      </c>
      <c r="D710" s="32" t="inlineStr">
        <is>
          <t>100269</t>
        </is>
      </c>
      <c r="E710" s="27" t="n"/>
      <c r="F710" s="29" t="n">
        <v>0</v>
      </c>
      <c r="G710" s="29" t="n">
        <v>30</v>
      </c>
      <c r="H710" s="27" t="inlineStr">
        <is>
          <t>Exclusive</t>
        </is>
      </c>
      <c r="I710" s="29" t="n">
        <v>14</v>
      </c>
      <c r="J710" s="27" t="inlineStr">
        <is>
          <t>Exclusive</t>
        </is>
      </c>
      <c r="K710" s="29" t="n">
        <v>30</v>
      </c>
      <c r="L710" s="29" t="n">
        <v>0</v>
      </c>
      <c r="M710" s="33" t="n">
        <v>1</v>
      </c>
      <c r="N710" s="27" t="inlineStr">
        <is>
          <t>Yes</t>
        </is>
      </c>
      <c r="O710" s="29" t="n">
        <v>0</v>
      </c>
      <c r="P710" s="30" t="n">
        <v>450</v>
      </c>
      <c r="Q710" s="31" t="inlineStr">
        <is>
          <t>In Stock</t>
        </is>
      </c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5" customHeight="1" s="85">
      <c r="A711" s="27" t="inlineStr">
        <is>
          <t>MIZO SONGBOOK</t>
        </is>
      </c>
      <c r="B711" s="27" t="n"/>
      <c r="C711" s="27" t="inlineStr">
        <is>
          <t>Books &amp; Bibles</t>
        </is>
      </c>
      <c r="D711" s="28" t="inlineStr">
        <is>
          <t>652421866418</t>
        </is>
      </c>
      <c r="E711" s="27" t="n"/>
      <c r="F711" s="29" t="n">
        <v>0</v>
      </c>
      <c r="G711" s="29" t="n">
        <v>55</v>
      </c>
      <c r="H711" s="27" t="inlineStr">
        <is>
          <t>Exclusive</t>
        </is>
      </c>
      <c r="I711" s="29" t="n">
        <v>10</v>
      </c>
      <c r="J711" s="27" t="inlineStr">
        <is>
          <t>Exclusive</t>
        </is>
      </c>
      <c r="K711" s="29" t="n">
        <v>55</v>
      </c>
      <c r="L711" s="29" t="n">
        <v>25</v>
      </c>
      <c r="M711" s="33" t="n">
        <v>1</v>
      </c>
      <c r="N711" s="27" t="inlineStr">
        <is>
          <t>Yes</t>
        </is>
      </c>
      <c r="O711" s="29" t="n">
        <v>0</v>
      </c>
      <c r="P711" s="30" t="n">
        <v>450</v>
      </c>
      <c r="Q711" s="31" t="inlineStr">
        <is>
          <t>In Stock</t>
        </is>
      </c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5" customHeight="1" s="85">
      <c r="A712" s="27" t="inlineStr">
        <is>
          <t>MOBILE BATTERY</t>
        </is>
      </c>
      <c r="B712" s="27" t="n"/>
      <c r="C712" s="27" t="inlineStr">
        <is>
          <t>Electronics</t>
        </is>
      </c>
      <c r="D712" s="32" t="inlineStr">
        <is>
          <t>100270</t>
        </is>
      </c>
      <c r="E712" s="27" t="n"/>
      <c r="F712" s="29" t="n">
        <v>0</v>
      </c>
      <c r="G712" s="29" t="n">
        <v>120</v>
      </c>
      <c r="H712" s="27" t="inlineStr">
        <is>
          <t>Inclusive</t>
        </is>
      </c>
      <c r="I712" s="29" t="n">
        <v>55</v>
      </c>
      <c r="J712" s="27" t="inlineStr">
        <is>
          <t>Inclusive</t>
        </is>
      </c>
      <c r="K712" s="29" t="n">
        <v>150</v>
      </c>
      <c r="L712" s="29" t="n">
        <v>9</v>
      </c>
      <c r="M712" s="33" t="n">
        <v>1</v>
      </c>
      <c r="N712" s="27" t="inlineStr">
        <is>
          <t>No</t>
        </is>
      </c>
      <c r="O712" s="29" t="n">
        <v>0</v>
      </c>
      <c r="P712" s="30" t="n">
        <v>450</v>
      </c>
      <c r="Q712" s="31" t="inlineStr">
        <is>
          <t>In Stock</t>
        </is>
      </c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5" customHeight="1" s="85">
      <c r="A713" s="27" t="inlineStr">
        <is>
          <t>MOBILE HOLDER</t>
        </is>
      </c>
      <c r="B713" s="27" t="n"/>
      <c r="C713" s="27" t="inlineStr">
        <is>
          <t>Electronics</t>
        </is>
      </c>
      <c r="D713" s="34" t="inlineStr">
        <is>
          <t>MH</t>
        </is>
      </c>
      <c r="E713" s="27" t="n"/>
      <c r="F713" s="29" t="n">
        <v>0</v>
      </c>
      <c r="G713" s="29" t="n">
        <v>40</v>
      </c>
      <c r="H713" s="27" t="inlineStr">
        <is>
          <t>Inclusive</t>
        </is>
      </c>
      <c r="I713" s="29" t="n">
        <v>18</v>
      </c>
      <c r="J713" s="27" t="inlineStr">
        <is>
          <t>Inclusive</t>
        </is>
      </c>
      <c r="K713" s="29" t="n">
        <v>100</v>
      </c>
      <c r="L713" s="29" t="n">
        <v>1</v>
      </c>
      <c r="M713" s="33" t="n">
        <v>1</v>
      </c>
      <c r="N713" s="27" t="inlineStr">
        <is>
          <t>No</t>
        </is>
      </c>
      <c r="O713" s="29" t="n">
        <v>0</v>
      </c>
      <c r="P713" s="30" t="n">
        <v>450</v>
      </c>
      <c r="Q713" s="31" t="inlineStr">
        <is>
          <t>In Stock</t>
        </is>
      </c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5" customHeight="1" s="85">
      <c r="A714" s="27" t="inlineStr">
        <is>
          <t>MOBILE RECHARGE 199</t>
        </is>
      </c>
      <c r="B714" s="27" t="n"/>
      <c r="C714" s="27" t="inlineStr">
        <is>
          <t>Household &amp; Cleaning</t>
        </is>
      </c>
      <c r="D714" s="32" t="inlineStr">
        <is>
          <t>100271</t>
        </is>
      </c>
      <c r="E714" s="27" t="n"/>
      <c r="F714" s="29" t="n">
        <v>0</v>
      </c>
      <c r="G714" s="29" t="n">
        <v>350</v>
      </c>
      <c r="H714" s="27" t="inlineStr">
        <is>
          <t>Exclusive</t>
        </is>
      </c>
      <c r="I714" s="29" t="n">
        <v>199</v>
      </c>
      <c r="J714" s="27" t="inlineStr">
        <is>
          <t>Exclusive</t>
        </is>
      </c>
      <c r="K714" s="29" t="n">
        <v>201</v>
      </c>
      <c r="L714" s="29" t="n">
        <v>0</v>
      </c>
      <c r="M714" s="33" t="n">
        <v>1</v>
      </c>
      <c r="N714" s="27" t="inlineStr">
        <is>
          <t>Yes</t>
        </is>
      </c>
      <c r="O714" s="29" t="n">
        <v>0</v>
      </c>
      <c r="P714" s="30" t="n">
        <v>450</v>
      </c>
      <c r="Q714" s="31" t="inlineStr">
        <is>
          <t>In Stock</t>
        </is>
      </c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5" customHeight="1" s="85">
      <c r="A715" s="27" t="inlineStr">
        <is>
          <t>MOBILE RING</t>
        </is>
      </c>
      <c r="B715" s="27" t="n"/>
      <c r="C715" s="27" t="inlineStr">
        <is>
          <t>Electronics</t>
        </is>
      </c>
      <c r="D715" s="32" t="inlineStr">
        <is>
          <t>100272</t>
        </is>
      </c>
      <c r="E715" s="27" t="n"/>
      <c r="F715" s="29" t="n">
        <v>0</v>
      </c>
      <c r="G715" s="29" t="n">
        <v>42</v>
      </c>
      <c r="H715" s="27" t="inlineStr">
        <is>
          <t>Inclusive</t>
        </is>
      </c>
      <c r="I715" s="29" t="n">
        <v>9</v>
      </c>
      <c r="J715" s="27" t="inlineStr">
        <is>
          <t>Inclusive</t>
        </is>
      </c>
      <c r="K715" s="29" t="n">
        <v>55</v>
      </c>
      <c r="L715" s="29" t="n">
        <v>40</v>
      </c>
      <c r="M715" s="33" t="n">
        <v>1</v>
      </c>
      <c r="N715" s="27" t="inlineStr">
        <is>
          <t>No</t>
        </is>
      </c>
      <c r="O715" s="29" t="n">
        <v>0</v>
      </c>
      <c r="P715" s="30" t="n">
        <v>450</v>
      </c>
      <c r="Q715" s="31" t="inlineStr">
        <is>
          <t>In Stock</t>
        </is>
      </c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5" customHeight="1" s="85">
      <c r="A716" s="27" t="inlineStr">
        <is>
          <t>MOBILE STAND</t>
        </is>
      </c>
      <c r="B716" s="27" t="n"/>
      <c r="C716" s="27" t="inlineStr">
        <is>
          <t>Electronics</t>
        </is>
      </c>
      <c r="D716" s="32" t="inlineStr">
        <is>
          <t>100273</t>
        </is>
      </c>
      <c r="E716" s="27" t="n"/>
      <c r="F716" s="29" t="n">
        <v>0</v>
      </c>
      <c r="G716" s="29" t="n">
        <v>120</v>
      </c>
      <c r="H716" s="27" t="inlineStr">
        <is>
          <t>Exclusive</t>
        </is>
      </c>
      <c r="I716" s="29" t="n">
        <v>55</v>
      </c>
      <c r="J716" s="27" t="inlineStr">
        <is>
          <t>Exclusive</t>
        </is>
      </c>
      <c r="K716" s="29" t="n">
        <v>128</v>
      </c>
      <c r="L716" s="29" t="n">
        <v>0</v>
      </c>
      <c r="M716" s="33" t="n">
        <v>1</v>
      </c>
      <c r="N716" s="27" t="inlineStr">
        <is>
          <t>No</t>
        </is>
      </c>
      <c r="O716" s="29" t="n">
        <v>0</v>
      </c>
      <c r="P716" s="30" t="n">
        <v>450</v>
      </c>
      <c r="Q716" s="31" t="inlineStr">
        <is>
          <t>In Stock</t>
        </is>
      </c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5" customHeight="1" s="85">
      <c r="A717" s="27" t="inlineStr">
        <is>
          <t>MOBILE STAND FOR RECORDING</t>
        </is>
      </c>
      <c r="B717" s="27" t="n"/>
      <c r="C717" s="27" t="inlineStr">
        <is>
          <t>Electronics</t>
        </is>
      </c>
      <c r="D717" s="32" t="inlineStr">
        <is>
          <t>100274</t>
        </is>
      </c>
      <c r="E717" s="27" t="n"/>
      <c r="F717" s="29" t="n">
        <v>0</v>
      </c>
      <c r="G717" s="29" t="n">
        <v>75</v>
      </c>
      <c r="H717" s="27" t="inlineStr">
        <is>
          <t>Inclusive</t>
        </is>
      </c>
      <c r="I717" s="29" t="n">
        <v>40</v>
      </c>
      <c r="J717" s="27" t="inlineStr">
        <is>
          <t>Inclusive</t>
        </is>
      </c>
      <c r="K717" s="29" t="n">
        <v>120</v>
      </c>
      <c r="L717" s="29" t="n">
        <v>1</v>
      </c>
      <c r="M717" s="33" t="n">
        <v>1</v>
      </c>
      <c r="N717" s="27" t="inlineStr">
        <is>
          <t>No</t>
        </is>
      </c>
      <c r="O717" s="29" t="n">
        <v>0</v>
      </c>
      <c r="P717" s="30" t="n">
        <v>450</v>
      </c>
      <c r="Q717" s="31" t="inlineStr">
        <is>
          <t>In Stock</t>
        </is>
      </c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5" customHeight="1" s="85">
      <c r="A718" s="27" t="inlineStr">
        <is>
          <t>MOBILE STAND PEN WITH SCREEN TOUCH</t>
        </is>
      </c>
      <c r="B718" s="27" t="n"/>
      <c r="C718" s="27" t="inlineStr">
        <is>
          <t>Electronics</t>
        </is>
      </c>
      <c r="D718" s="32" t="inlineStr">
        <is>
          <t>100275</t>
        </is>
      </c>
      <c r="E718" s="27" t="n"/>
      <c r="F718" s="29" t="n">
        <v>0</v>
      </c>
      <c r="G718" s="29" t="n">
        <v>30</v>
      </c>
      <c r="H718" s="27" t="inlineStr">
        <is>
          <t>Inclusive</t>
        </is>
      </c>
      <c r="I718" s="29" t="n">
        <v>8</v>
      </c>
      <c r="J718" s="27" t="inlineStr">
        <is>
          <t>Inclusive</t>
        </is>
      </c>
      <c r="K718" s="29" t="n">
        <v>40</v>
      </c>
      <c r="L718" s="29" t="n">
        <v>4</v>
      </c>
      <c r="M718" s="33" t="n">
        <v>1</v>
      </c>
      <c r="N718" s="27" t="inlineStr">
        <is>
          <t>No</t>
        </is>
      </c>
      <c r="O718" s="29" t="n">
        <v>0</v>
      </c>
      <c r="P718" s="30" t="n">
        <v>450</v>
      </c>
      <c r="Q718" s="31" t="inlineStr">
        <is>
          <t>In Stock</t>
        </is>
      </c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5" customHeight="1" s="85">
      <c r="A719" s="27" t="inlineStr">
        <is>
          <t>MOONGDAL HARADAL LOOSE PACK 500</t>
        </is>
      </c>
      <c r="B719" s="27" t="n"/>
      <c r="C719" s="27" t="inlineStr">
        <is>
          <t>Grains &amp; Flours</t>
        </is>
      </c>
      <c r="D719" s="28" t="inlineStr">
        <is>
          <t>318170225006</t>
        </is>
      </c>
      <c r="E719" s="27" t="n"/>
      <c r="F719" s="29" t="n">
        <v>0</v>
      </c>
      <c r="G719" s="29" t="n">
        <v>78</v>
      </c>
      <c r="H719" s="27" t="inlineStr">
        <is>
          <t>Exclusive</t>
        </is>
      </c>
      <c r="I719" s="29" t="n">
        <v>64</v>
      </c>
      <c r="J719" s="27" t="inlineStr">
        <is>
          <t>Exclusive</t>
        </is>
      </c>
      <c r="K719" s="29" t="n">
        <v>78</v>
      </c>
      <c r="L719" s="29" t="n">
        <v>41</v>
      </c>
      <c r="M719" s="33" t="n">
        <v>1</v>
      </c>
      <c r="N719" s="27" t="inlineStr">
        <is>
          <t>Yes</t>
        </is>
      </c>
      <c r="O719" s="29" t="n">
        <v>0</v>
      </c>
      <c r="P719" s="30" t="n">
        <v>450</v>
      </c>
      <c r="Q719" s="31" t="inlineStr">
        <is>
          <t>In Stock</t>
        </is>
      </c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5" customHeight="1" s="85">
      <c r="A720" s="27" t="inlineStr">
        <is>
          <t>MP3 PLAYER BIG</t>
        </is>
      </c>
      <c r="B720" s="27" t="n"/>
      <c r="C720" s="27" t="inlineStr">
        <is>
          <t>Electronics</t>
        </is>
      </c>
      <c r="D720" s="34" t="inlineStr">
        <is>
          <t>MP3B</t>
        </is>
      </c>
      <c r="E720" s="27" t="n"/>
      <c r="F720" s="29" t="n">
        <v>0</v>
      </c>
      <c r="G720" s="29" t="n">
        <v>450</v>
      </c>
      <c r="H720" s="27" t="inlineStr">
        <is>
          <t>Inclusive</t>
        </is>
      </c>
      <c r="I720" s="29" t="n">
        <v>300</v>
      </c>
      <c r="J720" s="27" t="inlineStr">
        <is>
          <t>Inclusive</t>
        </is>
      </c>
      <c r="K720" s="29" t="n">
        <v>900</v>
      </c>
      <c r="L720" s="29" t="n">
        <v>1</v>
      </c>
      <c r="M720" s="33" t="n">
        <v>1</v>
      </c>
      <c r="N720" s="27" t="inlineStr">
        <is>
          <t>No</t>
        </is>
      </c>
      <c r="O720" s="29" t="n">
        <v>0</v>
      </c>
      <c r="P720" s="30" t="n">
        <v>450</v>
      </c>
      <c r="Q720" s="31" t="inlineStr">
        <is>
          <t>In Stock</t>
        </is>
      </c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5" customHeight="1" s="85">
      <c r="A721" s="27" t="inlineStr">
        <is>
          <t>MP3 PLAYER MEDIUM</t>
        </is>
      </c>
      <c r="B721" s="27" t="n"/>
      <c r="C721" s="27" t="inlineStr">
        <is>
          <t>Electronics</t>
        </is>
      </c>
      <c r="D721" s="34" t="inlineStr">
        <is>
          <t>MP3M</t>
        </is>
      </c>
      <c r="E721" s="27" t="n"/>
      <c r="F721" s="29" t="n">
        <v>0</v>
      </c>
      <c r="G721" s="29" t="n">
        <v>350</v>
      </c>
      <c r="H721" s="27" t="inlineStr">
        <is>
          <t>Inclusive</t>
        </is>
      </c>
      <c r="I721" s="29" t="n">
        <v>250</v>
      </c>
      <c r="J721" s="27" t="inlineStr">
        <is>
          <t>Inclusive</t>
        </is>
      </c>
      <c r="K721" s="29" t="n">
        <v>400</v>
      </c>
      <c r="L721" s="29" t="n">
        <v>3</v>
      </c>
      <c r="M721" s="33" t="n">
        <v>1</v>
      </c>
      <c r="N721" s="27" t="inlineStr">
        <is>
          <t>No</t>
        </is>
      </c>
      <c r="O721" s="29" t="n">
        <v>0</v>
      </c>
      <c r="P721" s="30" t="n">
        <v>450</v>
      </c>
      <c r="Q721" s="31" t="inlineStr">
        <is>
          <t>In Stock</t>
        </is>
      </c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5" customHeight="1" s="85">
      <c r="A722" s="27" t="inlineStr">
        <is>
          <t>MP3 PLAYER SMALL</t>
        </is>
      </c>
      <c r="B722" s="27" t="n"/>
      <c r="C722" s="27" t="inlineStr">
        <is>
          <t>Electronics</t>
        </is>
      </c>
      <c r="D722" s="34" t="inlineStr">
        <is>
          <t>MP3S</t>
        </is>
      </c>
      <c r="E722" s="27" t="n"/>
      <c r="F722" s="29" t="n">
        <v>0</v>
      </c>
      <c r="G722" s="29" t="n">
        <v>250</v>
      </c>
      <c r="H722" s="27" t="inlineStr">
        <is>
          <t>Inclusive</t>
        </is>
      </c>
      <c r="I722" s="29" t="n">
        <v>180</v>
      </c>
      <c r="J722" s="27" t="inlineStr">
        <is>
          <t>Inclusive</t>
        </is>
      </c>
      <c r="K722" s="29" t="n">
        <v>300</v>
      </c>
      <c r="L722" s="29" t="n">
        <v>0</v>
      </c>
      <c r="M722" s="33" t="n">
        <v>1</v>
      </c>
      <c r="N722" s="27" t="inlineStr">
        <is>
          <t>No</t>
        </is>
      </c>
      <c r="O722" s="29" t="n">
        <v>0</v>
      </c>
      <c r="P722" s="30" t="n">
        <v>450</v>
      </c>
      <c r="Q722" s="31" t="inlineStr">
        <is>
          <t>In Stock</t>
        </is>
      </c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5" customHeight="1" s="85">
      <c r="A723" s="27" t="inlineStr">
        <is>
          <t>MP COCONUT OIL 1 LTR BOLLTE</t>
        </is>
      </c>
      <c r="B723" s="27" t="n"/>
      <c r="C723" s="27" t="inlineStr">
        <is>
          <t>Edible Oils &amp; Ghee</t>
        </is>
      </c>
      <c r="D723" s="28" t="inlineStr">
        <is>
          <t>8908010044163</t>
        </is>
      </c>
      <c r="E723" s="27" t="n"/>
      <c r="F723" s="29" t="n">
        <v>0</v>
      </c>
      <c r="G723" s="29" t="n">
        <v>460</v>
      </c>
      <c r="H723" s="27" t="inlineStr">
        <is>
          <t>Inclusive</t>
        </is>
      </c>
      <c r="I723" s="29" t="n">
        <v>388</v>
      </c>
      <c r="J723" s="27" t="inlineStr">
        <is>
          <t>Inclusive</t>
        </is>
      </c>
      <c r="K723" s="29" t="n">
        <v>460</v>
      </c>
      <c r="L723" s="29" t="n">
        <v>0</v>
      </c>
      <c r="M723" s="33" t="n">
        <v>1</v>
      </c>
      <c r="N723" s="27" t="inlineStr">
        <is>
          <t>Yes</t>
        </is>
      </c>
      <c r="O723" s="29" t="n">
        <v>0</v>
      </c>
      <c r="P723" s="30" t="n">
        <v>450</v>
      </c>
      <c r="Q723" s="31" t="inlineStr">
        <is>
          <t>In Stock</t>
        </is>
      </c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5" customHeight="1" s="85">
      <c r="A724" s="27" t="inlineStr">
        <is>
          <t>MP COCONUT OIL 500</t>
        </is>
      </c>
      <c r="B724" s="27" t="n"/>
      <c r="C724" s="27" t="inlineStr">
        <is>
          <t>Edible Oils &amp; Ghee</t>
        </is>
      </c>
      <c r="D724" s="28" t="inlineStr">
        <is>
          <t>8908010044170</t>
        </is>
      </c>
      <c r="E724" s="27" t="n"/>
      <c r="F724" s="29" t="n">
        <v>0</v>
      </c>
      <c r="G724" s="29" t="n">
        <v>198</v>
      </c>
      <c r="H724" s="27" t="inlineStr">
        <is>
          <t>Exclusive</t>
        </is>
      </c>
      <c r="I724" s="29" t="n">
        <v>170</v>
      </c>
      <c r="J724" s="27" t="inlineStr">
        <is>
          <t>Exclusive</t>
        </is>
      </c>
      <c r="K724" s="29" t="n">
        <v>198</v>
      </c>
      <c r="L724" s="29" t="n">
        <v>0</v>
      </c>
      <c r="M724" s="27" t="n"/>
      <c r="N724" s="27" t="inlineStr">
        <is>
          <t>Yes</t>
        </is>
      </c>
      <c r="O724" s="29" t="n">
        <v>0</v>
      </c>
      <c r="P724" s="30" t="n">
        <v>450</v>
      </c>
      <c r="Q724" s="31" t="inlineStr">
        <is>
          <t>In Stock</t>
        </is>
      </c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5" customHeight="1" s="85">
      <c r="A725" s="27" t="inlineStr">
        <is>
          <t>MP COCONUT OIL S U POUCH1KG</t>
        </is>
      </c>
      <c r="B725" s="27" t="n"/>
      <c r="C725" s="27" t="inlineStr">
        <is>
          <t>Edible Oils &amp; Ghee</t>
        </is>
      </c>
      <c r="D725" s="28" t="inlineStr">
        <is>
          <t>8908010044231</t>
        </is>
      </c>
      <c r="E725" s="27" t="n"/>
      <c r="F725" s="29" t="n">
        <v>0</v>
      </c>
      <c r="G725" s="29" t="n">
        <v>340</v>
      </c>
      <c r="H725" s="27" t="inlineStr">
        <is>
          <t>Inclusive</t>
        </is>
      </c>
      <c r="I725" s="29" t="n">
        <v>268</v>
      </c>
      <c r="J725" s="27" t="inlineStr">
        <is>
          <t>Inclusive</t>
        </is>
      </c>
      <c r="K725" s="29" t="n">
        <v>340</v>
      </c>
      <c r="L725" s="29" t="n">
        <v>0</v>
      </c>
      <c r="M725" s="33" t="n">
        <v>1</v>
      </c>
      <c r="N725" s="27" t="inlineStr">
        <is>
          <t>Yes</t>
        </is>
      </c>
      <c r="O725" s="29" t="n">
        <v>0</v>
      </c>
      <c r="P725" s="30" t="n">
        <v>450</v>
      </c>
      <c r="Q725" s="31" t="inlineStr">
        <is>
          <t>In Stock</t>
        </is>
      </c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5" customHeight="1" s="85">
      <c r="A726" s="27" t="inlineStr">
        <is>
          <t>MTR RASAM POUCH 10/-</t>
        </is>
      </c>
      <c r="B726" s="27" t="n"/>
      <c r="C726" s="27" t="inlineStr">
        <is>
          <t>Masalas &amp; Spices</t>
        </is>
      </c>
      <c r="D726" s="28" t="inlineStr">
        <is>
          <t>8901042970356</t>
        </is>
      </c>
      <c r="E726" s="27" t="n"/>
      <c r="F726" s="29" t="n">
        <v>0</v>
      </c>
      <c r="G726" s="29" t="n">
        <v>10</v>
      </c>
      <c r="H726" s="27" t="inlineStr">
        <is>
          <t>Exclusive</t>
        </is>
      </c>
      <c r="I726" s="29" t="n">
        <v>8</v>
      </c>
      <c r="J726" s="27" t="inlineStr">
        <is>
          <t>Exclusive</t>
        </is>
      </c>
      <c r="K726" s="29" t="n">
        <v>10</v>
      </c>
      <c r="L726" s="29" t="n">
        <v>0</v>
      </c>
      <c r="M726" s="33" t="n">
        <v>1</v>
      </c>
      <c r="N726" s="27" t="inlineStr">
        <is>
          <t>Yes</t>
        </is>
      </c>
      <c r="O726" s="29" t="n">
        <v>0</v>
      </c>
      <c r="P726" s="30" t="n">
        <v>450</v>
      </c>
      <c r="Q726" s="31" t="inlineStr">
        <is>
          <t>In Stock</t>
        </is>
      </c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5" customHeight="1" s="85">
      <c r="A727" s="27" t="inlineStr">
        <is>
          <t>MUMPHALLI PEANUT 500GM</t>
        </is>
      </c>
      <c r="B727" s="27" t="n"/>
      <c r="C727" s="27" t="inlineStr">
        <is>
          <t>Snacks</t>
        </is>
      </c>
      <c r="D727" s="28" t="inlineStr">
        <is>
          <t>327655086545</t>
        </is>
      </c>
      <c r="E727" s="27" t="n"/>
      <c r="F727" s="29" t="n">
        <v>0</v>
      </c>
      <c r="G727" s="29" t="n">
        <v>85</v>
      </c>
      <c r="H727" s="27" t="inlineStr">
        <is>
          <t>Exclusive</t>
        </is>
      </c>
      <c r="I727" s="29" t="n">
        <v>70</v>
      </c>
      <c r="J727" s="27" t="inlineStr">
        <is>
          <t>Exclusive</t>
        </is>
      </c>
      <c r="K727" s="29" t="n">
        <v>85</v>
      </c>
      <c r="L727" s="29" t="n">
        <v>0</v>
      </c>
      <c r="M727" s="33" t="n">
        <v>1</v>
      </c>
      <c r="N727" s="27" t="inlineStr">
        <is>
          <t>Yes</t>
        </is>
      </c>
      <c r="O727" s="29" t="n">
        <v>0</v>
      </c>
      <c r="P727" s="30" t="n">
        <v>450</v>
      </c>
      <c r="Q727" s="31" t="inlineStr">
        <is>
          <t>In Stock</t>
        </is>
      </c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5" customHeight="1" s="85">
      <c r="A728" s="27" t="inlineStr">
        <is>
          <t>MURALI BLACK JAGGERY KARIPPETTI</t>
        </is>
      </c>
      <c r="B728" s="27" t="n"/>
      <c r="C728" s="27" t="inlineStr">
        <is>
          <t>Ready to Eat &amp; Mixes</t>
        </is>
      </c>
      <c r="D728" s="32" t="inlineStr">
        <is>
          <t>100278</t>
        </is>
      </c>
      <c r="E728" s="27" t="n"/>
      <c r="F728" s="29" t="n">
        <v>0</v>
      </c>
      <c r="G728" s="29" t="n">
        <v>215</v>
      </c>
      <c r="H728" s="27" t="inlineStr">
        <is>
          <t>Exclusive</t>
        </is>
      </c>
      <c r="I728" s="29" t="n">
        <v>215</v>
      </c>
      <c r="J728" s="27" t="inlineStr">
        <is>
          <t>Exclusive</t>
        </is>
      </c>
      <c r="K728" s="29" t="n">
        <v>0</v>
      </c>
      <c r="L728" s="29" t="n">
        <v>2</v>
      </c>
      <c r="M728" s="33" t="n">
        <v>1</v>
      </c>
      <c r="N728" s="27" t="inlineStr">
        <is>
          <t>Yes</t>
        </is>
      </c>
      <c r="O728" s="29" t="n">
        <v>0</v>
      </c>
      <c r="P728" s="30" t="n">
        <v>450</v>
      </c>
      <c r="Q728" s="31" t="inlineStr">
        <is>
          <t>In Stock</t>
        </is>
      </c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5" customHeight="1" s="85">
      <c r="A729" s="27" t="inlineStr">
        <is>
          <t>MURIVENNA 100GM</t>
        </is>
      </c>
      <c r="B729" s="27" t="n"/>
      <c r="C729" s="27" t="inlineStr">
        <is>
          <t>Healthcare Items</t>
        </is>
      </c>
      <c r="D729" s="28" t="inlineStr">
        <is>
          <t>8904059161458</t>
        </is>
      </c>
      <c r="E729" s="27" t="n"/>
      <c r="F729" s="29" t="n">
        <v>0</v>
      </c>
      <c r="G729" s="29" t="n">
        <v>110</v>
      </c>
      <c r="H729" s="27" t="inlineStr">
        <is>
          <t>Inclusive</t>
        </is>
      </c>
      <c r="I729" s="29" t="n">
        <v>90</v>
      </c>
      <c r="J729" s="27" t="inlineStr">
        <is>
          <t>Inclusive</t>
        </is>
      </c>
      <c r="K729" s="29" t="n">
        <v>100</v>
      </c>
      <c r="L729" s="29" t="n">
        <v>0</v>
      </c>
      <c r="M729" s="33" t="n">
        <v>1</v>
      </c>
      <c r="N729" s="27" t="inlineStr">
        <is>
          <t>Yes</t>
        </is>
      </c>
      <c r="O729" s="29" t="n">
        <v>0</v>
      </c>
      <c r="P729" s="30" t="n">
        <v>450</v>
      </c>
      <c r="Q729" s="31" t="inlineStr">
        <is>
          <t>In Stock</t>
        </is>
      </c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5" customHeight="1" s="85">
      <c r="A730" s="27" t="inlineStr">
        <is>
          <t>MURUKKU WHITE</t>
        </is>
      </c>
      <c r="B730" s="27" t="n"/>
      <c r="C730" s="27" t="inlineStr">
        <is>
          <t>Snacks</t>
        </is>
      </c>
      <c r="D730" s="32" t="inlineStr">
        <is>
          <t>100279</t>
        </is>
      </c>
      <c r="E730" s="27" t="n"/>
      <c r="F730" s="29" t="n">
        <v>0</v>
      </c>
      <c r="G730" s="29" t="n">
        <v>77</v>
      </c>
      <c r="H730" s="27" t="inlineStr">
        <is>
          <t>Exclusive</t>
        </is>
      </c>
      <c r="I730" s="29" t="n">
        <v>33</v>
      </c>
      <c r="J730" s="27" t="inlineStr">
        <is>
          <t>Exclusive</t>
        </is>
      </c>
      <c r="K730" s="29" t="n">
        <v>0</v>
      </c>
      <c r="L730" s="29" t="n">
        <v>9</v>
      </c>
      <c r="M730" s="27" t="n"/>
      <c r="N730" s="27" t="inlineStr">
        <is>
          <t>Yes</t>
        </is>
      </c>
      <c r="O730" s="29" t="n">
        <v>0</v>
      </c>
      <c r="P730" s="30" t="n">
        <v>450</v>
      </c>
      <c r="Q730" s="31" t="inlineStr">
        <is>
          <t>In Stock</t>
        </is>
      </c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5" customHeight="1" s="85">
      <c r="A731" s="27" t="inlineStr">
        <is>
          <t>MYSORE SANDAL BODY WASH</t>
        </is>
      </c>
      <c r="B731" s="27" t="n"/>
      <c r="C731" s="27" t="inlineStr">
        <is>
          <t>Healthcare Items</t>
        </is>
      </c>
      <c r="D731" s="28" t="inlineStr">
        <is>
          <t>8901287984293</t>
        </is>
      </c>
      <c r="E731" s="27" t="n"/>
      <c r="F731" s="29" t="n">
        <v>0</v>
      </c>
      <c r="G731" s="29" t="n">
        <v>175</v>
      </c>
      <c r="H731" s="27" t="inlineStr">
        <is>
          <t>Exclusive</t>
        </is>
      </c>
      <c r="I731" s="29" t="n">
        <v>145</v>
      </c>
      <c r="J731" s="27" t="inlineStr">
        <is>
          <t>Exclusive</t>
        </is>
      </c>
      <c r="K731" s="29" t="n">
        <v>175</v>
      </c>
      <c r="L731" s="29" t="n">
        <v>0</v>
      </c>
      <c r="M731" s="33" t="n">
        <v>1</v>
      </c>
      <c r="N731" s="27" t="inlineStr">
        <is>
          <t>Yes</t>
        </is>
      </c>
      <c r="O731" s="29" t="n">
        <v>0</v>
      </c>
      <c r="P731" s="30" t="n">
        <v>450</v>
      </c>
      <c r="Q731" s="31" t="inlineStr">
        <is>
          <t>In Stock</t>
        </is>
      </c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5" customHeight="1" s="85">
      <c r="A732" s="27" t="inlineStr">
        <is>
          <t>NAMEEN MARBLE CAKE</t>
        </is>
      </c>
      <c r="B732" s="27" t="n"/>
      <c r="C732" s="27" t="inlineStr">
        <is>
          <t>Snacks</t>
        </is>
      </c>
      <c r="D732" s="28" t="inlineStr">
        <is>
          <t>913453616763</t>
        </is>
      </c>
      <c r="E732" s="27" t="n"/>
      <c r="F732" s="29" t="n">
        <v>0</v>
      </c>
      <c r="G732" s="29" t="n">
        <v>55</v>
      </c>
      <c r="H732" s="27" t="inlineStr">
        <is>
          <t>Inclusive</t>
        </is>
      </c>
      <c r="I732" s="29" t="n">
        <v>36</v>
      </c>
      <c r="J732" s="27" t="inlineStr">
        <is>
          <t>Inclusive</t>
        </is>
      </c>
      <c r="K732" s="29" t="n">
        <v>55</v>
      </c>
      <c r="L732" s="29" t="n">
        <v>3</v>
      </c>
      <c r="M732" s="33" t="n">
        <v>1</v>
      </c>
      <c r="N732" s="27" t="inlineStr">
        <is>
          <t>Yes</t>
        </is>
      </c>
      <c r="O732" s="29" t="n">
        <v>0</v>
      </c>
      <c r="P732" s="30" t="n">
        <v>450</v>
      </c>
      <c r="Q732" s="31" t="inlineStr">
        <is>
          <t>In Stock</t>
        </is>
      </c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5" customHeight="1" s="85">
      <c r="A733" s="27" t="inlineStr">
        <is>
          <t>NAME SLIPS</t>
        </is>
      </c>
      <c r="B733" s="27" t="n"/>
      <c r="C733" s="27" t="inlineStr">
        <is>
          <t>Stationery</t>
        </is>
      </c>
      <c r="D733" s="32" t="inlineStr">
        <is>
          <t>100280</t>
        </is>
      </c>
      <c r="E733" s="27" t="n"/>
      <c r="F733" s="29" t="n">
        <v>0</v>
      </c>
      <c r="G733" s="29" t="n">
        <v>10</v>
      </c>
      <c r="H733" s="27" t="inlineStr">
        <is>
          <t>Exclusive</t>
        </is>
      </c>
      <c r="I733" s="29" t="n">
        <v>3</v>
      </c>
      <c r="J733" s="27" t="inlineStr">
        <is>
          <t>Exclusive</t>
        </is>
      </c>
      <c r="K733" s="29" t="n">
        <v>10</v>
      </c>
      <c r="L733" s="29" t="n">
        <v>94</v>
      </c>
      <c r="M733" s="33" t="n">
        <v>1</v>
      </c>
      <c r="N733" s="27" t="inlineStr">
        <is>
          <t>No</t>
        </is>
      </c>
      <c r="O733" s="29" t="n">
        <v>0</v>
      </c>
      <c r="P733" s="30" t="n">
        <v>450</v>
      </c>
      <c r="Q733" s="31" t="inlineStr">
        <is>
          <t>In Stock</t>
        </is>
      </c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5" customHeight="1" s="85">
      <c r="A734" s="27" t="inlineStr">
        <is>
          <t>NAMKEEN PAKKAVADA DEVU</t>
        </is>
      </c>
      <c r="B734" s="27" t="n"/>
      <c r="C734" s="27" t="inlineStr">
        <is>
          <t>Snacks</t>
        </is>
      </c>
      <c r="D734" s="28" t="inlineStr">
        <is>
          <t>484491151750</t>
        </is>
      </c>
      <c r="E734" s="27" t="n"/>
      <c r="F734" s="29" t="n">
        <v>0</v>
      </c>
      <c r="G734" s="29" t="n">
        <v>55</v>
      </c>
      <c r="H734" s="27" t="inlineStr">
        <is>
          <t>Exclusive</t>
        </is>
      </c>
      <c r="I734" s="29" t="n">
        <v>35</v>
      </c>
      <c r="J734" s="27" t="inlineStr">
        <is>
          <t>Exclusive</t>
        </is>
      </c>
      <c r="K734" s="29" t="n">
        <v>50</v>
      </c>
      <c r="L734" s="29" t="n">
        <v>2</v>
      </c>
      <c r="M734" s="33" t="n">
        <v>1</v>
      </c>
      <c r="N734" s="27" t="inlineStr">
        <is>
          <t>Yes</t>
        </is>
      </c>
      <c r="O734" s="29" t="n">
        <v>0</v>
      </c>
      <c r="P734" s="30" t="n">
        <v>450</v>
      </c>
      <c r="Q734" s="31" t="inlineStr">
        <is>
          <t>In Stock</t>
        </is>
      </c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5" customHeight="1" s="85">
      <c r="A735" s="27" t="inlineStr">
        <is>
          <t>NAMKEEN VETTU CAKE</t>
        </is>
      </c>
      <c r="B735" s="27" t="n"/>
      <c r="C735" s="27" t="inlineStr">
        <is>
          <t>Snacks</t>
        </is>
      </c>
      <c r="D735" s="28" t="inlineStr">
        <is>
          <t>920754599025</t>
        </is>
      </c>
      <c r="E735" s="27" t="n"/>
      <c r="F735" s="29" t="n">
        <v>0</v>
      </c>
      <c r="G735" s="29" t="n">
        <v>50</v>
      </c>
      <c r="H735" s="27" t="inlineStr">
        <is>
          <t>Exclusive</t>
        </is>
      </c>
      <c r="I735" s="29" t="n">
        <v>42</v>
      </c>
      <c r="J735" s="27" t="inlineStr">
        <is>
          <t>Exclusive</t>
        </is>
      </c>
      <c r="K735" s="29" t="n">
        <v>55</v>
      </c>
      <c r="L735" s="29" t="n">
        <v>4</v>
      </c>
      <c r="M735" s="33" t="n">
        <v>1</v>
      </c>
      <c r="N735" s="27" t="inlineStr">
        <is>
          <t>Yes</t>
        </is>
      </c>
      <c r="O735" s="29" t="n">
        <v>0</v>
      </c>
      <c r="P735" s="30" t="n">
        <v>450</v>
      </c>
      <c r="Q735" s="31" t="inlineStr">
        <is>
          <t>In Stock</t>
        </is>
      </c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5" customHeight="1" s="85">
      <c r="A736" s="27" t="inlineStr">
        <is>
          <t>NANIHAL CARDAMOM 20GM</t>
        </is>
      </c>
      <c r="B736" s="27" t="n"/>
      <c r="C736" s="27" t="inlineStr">
        <is>
          <t>Masalas &amp; Spices</t>
        </is>
      </c>
      <c r="D736" s="28" t="inlineStr">
        <is>
          <t>8906150380578</t>
        </is>
      </c>
      <c r="E736" s="27" t="n"/>
      <c r="F736" s="29" t="n">
        <v>0</v>
      </c>
      <c r="G736" s="29" t="n">
        <v>210</v>
      </c>
      <c r="H736" s="27" t="inlineStr">
        <is>
          <t>Exclusive</t>
        </is>
      </c>
      <c r="I736" s="29" t="n">
        <v>160</v>
      </c>
      <c r="J736" s="27" t="inlineStr">
        <is>
          <t>Exclusive</t>
        </is>
      </c>
      <c r="K736" s="29" t="n">
        <v>210</v>
      </c>
      <c r="L736" s="29" t="n">
        <v>0</v>
      </c>
      <c r="M736" s="33" t="n">
        <v>1</v>
      </c>
      <c r="N736" s="27" t="inlineStr">
        <is>
          <t>Yes</t>
        </is>
      </c>
      <c r="O736" s="29" t="n">
        <v>0</v>
      </c>
      <c r="P736" s="30" t="n">
        <v>450</v>
      </c>
      <c r="Q736" s="31" t="inlineStr">
        <is>
          <t>In Stock</t>
        </is>
      </c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5" customHeight="1" s="85">
      <c r="A737" s="27" t="inlineStr">
        <is>
          <t>NANIHAL JEERA</t>
        </is>
      </c>
      <c r="B737" s="27" t="n"/>
      <c r="C737" s="27" t="inlineStr">
        <is>
          <t>Masalas &amp; Spices</t>
        </is>
      </c>
      <c r="D737" s="28" t="inlineStr">
        <is>
          <t>8906150380387</t>
        </is>
      </c>
      <c r="E737" s="27" t="n"/>
      <c r="F737" s="29" t="n">
        <v>0</v>
      </c>
      <c r="G737" s="29" t="n">
        <v>85</v>
      </c>
      <c r="H737" s="27" t="inlineStr">
        <is>
          <t>Exclusive</t>
        </is>
      </c>
      <c r="I737" s="29" t="n">
        <v>60</v>
      </c>
      <c r="J737" s="27" t="inlineStr">
        <is>
          <t>Exclusive</t>
        </is>
      </c>
      <c r="K737" s="29" t="n">
        <v>85</v>
      </c>
      <c r="L737" s="29" t="n">
        <v>0</v>
      </c>
      <c r="M737" s="33" t="n">
        <v>1</v>
      </c>
      <c r="N737" s="27" t="inlineStr">
        <is>
          <t>Yes</t>
        </is>
      </c>
      <c r="O737" s="29" t="n">
        <v>0</v>
      </c>
      <c r="P737" s="30" t="n">
        <v>450</v>
      </c>
      <c r="Q737" s="31" t="inlineStr">
        <is>
          <t>In Stock</t>
        </is>
      </c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5" customHeight="1" s="85">
      <c r="A738" s="27" t="inlineStr">
        <is>
          <t>NANIHAL PEPPER 50GM</t>
        </is>
      </c>
      <c r="B738" s="27" t="n"/>
      <c r="C738" s="27" t="inlineStr">
        <is>
          <t>Masalas &amp; Spices</t>
        </is>
      </c>
      <c r="D738" s="28" t="inlineStr">
        <is>
          <t>8341101785529020</t>
        </is>
      </c>
      <c r="E738" s="27" t="n"/>
      <c r="F738" s="29" t="n">
        <v>0</v>
      </c>
      <c r="G738" s="29" t="n">
        <v>125</v>
      </c>
      <c r="H738" s="27" t="inlineStr">
        <is>
          <t>Exclusive</t>
        </is>
      </c>
      <c r="I738" s="29" t="n">
        <v>100</v>
      </c>
      <c r="J738" s="27" t="inlineStr">
        <is>
          <t>Exclusive</t>
        </is>
      </c>
      <c r="K738" s="29" t="n">
        <v>125</v>
      </c>
      <c r="L738" s="29" t="n">
        <v>0</v>
      </c>
      <c r="M738" s="33" t="n">
        <v>1</v>
      </c>
      <c r="N738" s="27" t="inlineStr">
        <is>
          <t>Yes</t>
        </is>
      </c>
      <c r="O738" s="29" t="n">
        <v>0</v>
      </c>
      <c r="P738" s="30" t="n">
        <v>450</v>
      </c>
      <c r="Q738" s="31" t="inlineStr">
        <is>
          <t>In Stock</t>
        </is>
      </c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5" customHeight="1" s="85">
      <c r="A739" s="27" t="inlineStr">
        <is>
          <t>NAVRANG BALL</t>
        </is>
      </c>
      <c r="B739" s="27" t="n"/>
      <c r="C739" s="27" t="inlineStr">
        <is>
          <t>Stationery</t>
        </is>
      </c>
      <c r="D739" s="28" t="inlineStr">
        <is>
          <t>421631022184</t>
        </is>
      </c>
      <c r="E739" s="27" t="n"/>
      <c r="F739" s="29" t="n">
        <v>0</v>
      </c>
      <c r="G739" s="29" t="n">
        <v>30</v>
      </c>
      <c r="H739" s="27" t="inlineStr">
        <is>
          <t>Exclusive</t>
        </is>
      </c>
      <c r="I739" s="29" t="n">
        <v>17</v>
      </c>
      <c r="J739" s="27" t="inlineStr">
        <is>
          <t>Exclusive</t>
        </is>
      </c>
      <c r="K739" s="29" t="n">
        <v>60</v>
      </c>
      <c r="L739" s="29" t="n">
        <v>49</v>
      </c>
      <c r="M739" s="27" t="n"/>
      <c r="N739" s="27" t="inlineStr">
        <is>
          <t>Yes</t>
        </is>
      </c>
      <c r="O739" s="29" t="n">
        <v>0</v>
      </c>
      <c r="P739" s="30" t="n">
        <v>450</v>
      </c>
      <c r="Q739" s="31" t="inlineStr">
        <is>
          <t>In Stock</t>
        </is>
      </c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5" customHeight="1" s="85">
      <c r="A740" s="27" t="inlineStr">
        <is>
          <t>NAYA NIYAM AND BHAJAN NT WITH PSALMS</t>
        </is>
      </c>
      <c r="B740" s="27" t="n"/>
      <c r="C740" s="27" t="inlineStr">
        <is>
          <t>Books &amp; Bibles</t>
        </is>
      </c>
      <c r="D740" s="28" t="inlineStr">
        <is>
          <t>618695996817</t>
        </is>
      </c>
      <c r="E740" s="27" t="n"/>
      <c r="F740" s="29" t="n">
        <v>0</v>
      </c>
      <c r="G740" s="29" t="n">
        <v>50</v>
      </c>
      <c r="H740" s="27" t="inlineStr">
        <is>
          <t>Exclusive</t>
        </is>
      </c>
      <c r="I740" s="29" t="n">
        <v>40</v>
      </c>
      <c r="J740" s="27" t="inlineStr">
        <is>
          <t>Exclusive</t>
        </is>
      </c>
      <c r="K740" s="29" t="n">
        <v>80</v>
      </c>
      <c r="L740" s="29" t="n">
        <v>0</v>
      </c>
      <c r="M740" s="27" t="n"/>
      <c r="N740" s="27" t="inlineStr">
        <is>
          <t>Yes</t>
        </is>
      </c>
      <c r="O740" s="29" t="n">
        <v>0</v>
      </c>
      <c r="P740" s="30" t="n">
        <v>450</v>
      </c>
      <c r="Q740" s="31" t="inlineStr">
        <is>
          <t>In Stock</t>
        </is>
      </c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5" customHeight="1" s="85">
      <c r="A741" s="27" t="inlineStr">
        <is>
          <t>NAYA NIYAM NEW TESTAMENT</t>
        </is>
      </c>
      <c r="B741" s="27" t="n"/>
      <c r="C741" s="27" t="inlineStr">
        <is>
          <t>Books &amp; Bibles</t>
        </is>
      </c>
      <c r="D741" s="28" t="inlineStr">
        <is>
          <t>312425445058</t>
        </is>
      </c>
      <c r="E741" s="27" t="n"/>
      <c r="F741" s="29" t="n">
        <v>0</v>
      </c>
      <c r="G741" s="29" t="n">
        <v>80</v>
      </c>
      <c r="H741" s="27" t="inlineStr">
        <is>
          <t>Exclusive</t>
        </is>
      </c>
      <c r="I741" s="29" t="n">
        <v>10</v>
      </c>
      <c r="J741" s="27" t="inlineStr">
        <is>
          <t>Exclusive</t>
        </is>
      </c>
      <c r="K741" s="29" t="n">
        <v>100</v>
      </c>
      <c r="L741" s="29" t="n">
        <v>6</v>
      </c>
      <c r="M741" s="33" t="n">
        <v>1</v>
      </c>
      <c r="N741" s="27" t="inlineStr">
        <is>
          <t>Yes</t>
        </is>
      </c>
      <c r="O741" s="29" t="n">
        <v>0</v>
      </c>
      <c r="P741" s="30" t="n">
        <v>450</v>
      </c>
      <c r="Q741" s="31" t="inlineStr">
        <is>
          <t>In Stock</t>
        </is>
      </c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5" customHeight="1" s="85">
      <c r="A742" s="27" t="inlineStr">
        <is>
          <t>NCE SPECIAL PEANUT ROAST 160GM</t>
        </is>
      </c>
      <c r="B742" s="27" t="n"/>
      <c r="C742" s="27" t="inlineStr">
        <is>
          <t>Snacks</t>
        </is>
      </c>
      <c r="D742" s="28" t="inlineStr">
        <is>
          <t>670087267919</t>
        </is>
      </c>
      <c r="E742" s="27" t="n"/>
      <c r="F742" s="29" t="n">
        <v>0</v>
      </c>
      <c r="G742" s="29" t="n">
        <v>80</v>
      </c>
      <c r="H742" s="27" t="inlineStr">
        <is>
          <t>Inclusive</t>
        </is>
      </c>
      <c r="I742" s="29" t="n">
        <v>58</v>
      </c>
      <c r="J742" s="27" t="inlineStr">
        <is>
          <t>Inclusive</t>
        </is>
      </c>
      <c r="K742" s="29" t="n">
        <v>80</v>
      </c>
      <c r="L742" s="29" t="n">
        <v>0</v>
      </c>
      <c r="M742" s="33" t="n">
        <v>1</v>
      </c>
      <c r="N742" s="27" t="inlineStr">
        <is>
          <t>Yes</t>
        </is>
      </c>
      <c r="O742" s="29" t="n">
        <v>0</v>
      </c>
      <c r="P742" s="30" t="n">
        <v>450</v>
      </c>
      <c r="Q742" s="31" t="inlineStr">
        <is>
          <t>In Stock</t>
        </is>
      </c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5" customHeight="1" s="85">
      <c r="A743" s="27" t="inlineStr">
        <is>
          <t>NECK BAND</t>
        </is>
      </c>
      <c r="B743" s="27" t="n"/>
      <c r="C743" s="27" t="inlineStr">
        <is>
          <t>Electronics</t>
        </is>
      </c>
      <c r="D743" s="32" t="inlineStr">
        <is>
          <t>100282</t>
        </is>
      </c>
      <c r="E743" s="27" t="n"/>
      <c r="F743" s="29" t="n">
        <v>0</v>
      </c>
      <c r="G743" s="29" t="n">
        <v>230</v>
      </c>
      <c r="H743" s="27" t="inlineStr">
        <is>
          <t>Inclusive</t>
        </is>
      </c>
      <c r="I743" s="29" t="n">
        <v>90</v>
      </c>
      <c r="J743" s="27" t="inlineStr">
        <is>
          <t>Inclusive</t>
        </is>
      </c>
      <c r="K743" s="29" t="n">
        <v>280</v>
      </c>
      <c r="L743" s="29" t="n">
        <v>18</v>
      </c>
      <c r="M743" s="33" t="n">
        <v>1</v>
      </c>
      <c r="N743" s="27" t="inlineStr">
        <is>
          <t>No</t>
        </is>
      </c>
      <c r="O743" s="29" t="n">
        <v>0</v>
      </c>
      <c r="P743" s="30" t="n">
        <v>450</v>
      </c>
      <c r="Q743" s="31" t="inlineStr">
        <is>
          <t>In Stock</t>
        </is>
      </c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5" customHeight="1" s="85">
      <c r="A744" s="27" t="inlineStr">
        <is>
          <t>NECK BAND HIGH QUALITY</t>
        </is>
      </c>
      <c r="B744" s="27" t="n"/>
      <c r="C744" s="27" t="inlineStr">
        <is>
          <t>Electronics</t>
        </is>
      </c>
      <c r="D744" s="32" t="inlineStr">
        <is>
          <t>100283</t>
        </is>
      </c>
      <c r="E744" s="27" t="n"/>
      <c r="F744" s="29" t="n">
        <v>0</v>
      </c>
      <c r="G744" s="29" t="n">
        <v>460</v>
      </c>
      <c r="H744" s="27" t="inlineStr">
        <is>
          <t>Inclusive</t>
        </is>
      </c>
      <c r="I744" s="29" t="n">
        <v>170</v>
      </c>
      <c r="J744" s="27" t="inlineStr">
        <is>
          <t>Inclusive</t>
        </is>
      </c>
      <c r="K744" s="29" t="n">
        <v>570</v>
      </c>
      <c r="L744" s="29" t="n">
        <v>3</v>
      </c>
      <c r="M744" s="33" t="n">
        <v>1</v>
      </c>
      <c r="N744" s="27" t="inlineStr">
        <is>
          <t>No</t>
        </is>
      </c>
      <c r="O744" s="29" t="n">
        <v>0</v>
      </c>
      <c r="P744" s="30" t="n">
        <v>450</v>
      </c>
      <c r="Q744" s="31" t="inlineStr">
        <is>
          <t>In Stock</t>
        </is>
      </c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5" customHeight="1" s="85">
      <c r="A745" s="27" t="inlineStr">
        <is>
          <t>NELLARI VADI RICE 5KG</t>
        </is>
      </c>
      <c r="B745" s="27" t="n"/>
      <c r="C745" s="27" t="inlineStr">
        <is>
          <t>Rice Items</t>
        </is>
      </c>
      <c r="D745" s="28" t="inlineStr">
        <is>
          <t>8908003781013</t>
        </is>
      </c>
      <c r="E745" s="27" t="n"/>
      <c r="F745" s="29" t="n">
        <v>0</v>
      </c>
      <c r="G745" s="29" t="n">
        <v>530</v>
      </c>
      <c r="H745" s="27" t="inlineStr">
        <is>
          <t>Exclusive</t>
        </is>
      </c>
      <c r="I745" s="29" t="n">
        <v>430</v>
      </c>
      <c r="J745" s="27" t="inlineStr">
        <is>
          <t>Exclusive</t>
        </is>
      </c>
      <c r="K745" s="29" t="n">
        <v>530</v>
      </c>
      <c r="L745" s="29" t="n">
        <v>3</v>
      </c>
      <c r="M745" s="33" t="n">
        <v>1</v>
      </c>
      <c r="N745" s="27" t="inlineStr">
        <is>
          <t>Yes</t>
        </is>
      </c>
      <c r="O745" s="29" t="n">
        <v>0</v>
      </c>
      <c r="P745" s="30" t="n">
        <v>450</v>
      </c>
      <c r="Q745" s="31" t="inlineStr">
        <is>
          <t>In Stock</t>
        </is>
      </c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5" customHeight="1" s="85">
      <c r="A746" s="27" t="inlineStr">
        <is>
          <t>NEW TASTE KERALA MIXTURE 90GM</t>
        </is>
      </c>
      <c r="B746" s="27" t="n"/>
      <c r="C746" s="27" t="inlineStr">
        <is>
          <t>Snacks</t>
        </is>
      </c>
      <c r="D746" s="28" t="inlineStr">
        <is>
          <t>226329178249</t>
        </is>
      </c>
      <c r="E746" s="27" t="n"/>
      <c r="F746" s="29" t="n">
        <v>0</v>
      </c>
      <c r="G746" s="29" t="n">
        <v>30</v>
      </c>
      <c r="H746" s="27" t="inlineStr">
        <is>
          <t>Exclusive</t>
        </is>
      </c>
      <c r="I746" s="29" t="n">
        <v>20</v>
      </c>
      <c r="J746" s="27" t="inlineStr">
        <is>
          <t>Exclusive</t>
        </is>
      </c>
      <c r="K746" s="29" t="n">
        <v>30</v>
      </c>
      <c r="L746" s="29" t="n">
        <v>0</v>
      </c>
      <c r="M746" s="33" t="n">
        <v>1</v>
      </c>
      <c r="N746" s="27" t="inlineStr">
        <is>
          <t>Yes</t>
        </is>
      </c>
      <c r="O746" s="29" t="n">
        <v>0</v>
      </c>
      <c r="P746" s="30" t="n">
        <v>450</v>
      </c>
      <c r="Q746" s="31" t="inlineStr">
        <is>
          <t>In Stock</t>
        </is>
      </c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5" customHeight="1" s="85">
      <c r="A747" s="27" t="inlineStr">
        <is>
          <t>NICE ACHAPPAM</t>
        </is>
      </c>
      <c r="B747" s="27" t="n"/>
      <c r="C747" s="27" t="inlineStr">
        <is>
          <t>Snacks</t>
        </is>
      </c>
      <c r="D747" s="28" t="inlineStr">
        <is>
          <t>689176907643</t>
        </is>
      </c>
      <c r="E747" s="27" t="n"/>
      <c r="F747" s="29" t="n">
        <v>0</v>
      </c>
      <c r="G747" s="29" t="n">
        <v>81</v>
      </c>
      <c r="H747" s="27" t="inlineStr">
        <is>
          <t>Exclusive</t>
        </is>
      </c>
      <c r="I747" s="29" t="n">
        <v>65</v>
      </c>
      <c r="J747" s="27" t="inlineStr">
        <is>
          <t>Exclusive</t>
        </is>
      </c>
      <c r="K747" s="29" t="n">
        <v>85</v>
      </c>
      <c r="L747" s="29" t="n">
        <v>0</v>
      </c>
      <c r="M747" s="33" t="n">
        <v>1</v>
      </c>
      <c r="N747" s="27" t="inlineStr">
        <is>
          <t>Yes</t>
        </is>
      </c>
      <c r="O747" s="29" t="n">
        <v>0</v>
      </c>
      <c r="P747" s="30" t="n">
        <v>450</v>
      </c>
      <c r="Q747" s="31" t="inlineStr">
        <is>
          <t>In Stock</t>
        </is>
      </c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5" customHeight="1" s="85">
      <c r="A748" s="27" t="inlineStr">
        <is>
          <t>NICE CHILLI RIBBON CHIPS</t>
        </is>
      </c>
      <c r="B748" s="27" t="n"/>
      <c r="C748" s="27" t="inlineStr">
        <is>
          <t>Snacks</t>
        </is>
      </c>
      <c r="D748" s="28" t="inlineStr">
        <is>
          <t>670087267865</t>
        </is>
      </c>
      <c r="E748" s="27" t="n"/>
      <c r="F748" s="29" t="n">
        <v>0</v>
      </c>
      <c r="G748" s="29" t="n">
        <v>80</v>
      </c>
      <c r="H748" s="27" t="inlineStr">
        <is>
          <t>Exclusive</t>
        </is>
      </c>
      <c r="I748" s="29" t="n">
        <v>75</v>
      </c>
      <c r="J748" s="27" t="inlineStr">
        <is>
          <t>Exclusive</t>
        </is>
      </c>
      <c r="K748" s="29" t="n">
        <v>80</v>
      </c>
      <c r="L748" s="29" t="n">
        <v>0</v>
      </c>
      <c r="M748" s="33" t="n">
        <v>1</v>
      </c>
      <c r="N748" s="27" t="inlineStr">
        <is>
          <t>Yes</t>
        </is>
      </c>
      <c r="O748" s="29" t="n">
        <v>0</v>
      </c>
      <c r="P748" s="30" t="n">
        <v>450</v>
      </c>
      <c r="Q748" s="31" t="inlineStr">
        <is>
          <t>In Stock</t>
        </is>
      </c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5" customHeight="1" s="85">
      <c r="A749" s="27" t="inlineStr">
        <is>
          <t>NICE COCONUT CHUTNEY POWDER 100GM</t>
        </is>
      </c>
      <c r="B749" s="27" t="n"/>
      <c r="C749" s="27" t="inlineStr">
        <is>
          <t>Ready to Eat &amp; Mixes</t>
        </is>
      </c>
      <c r="D749" s="32" t="inlineStr">
        <is>
          <t>100284</t>
        </is>
      </c>
      <c r="E749" s="27" t="n"/>
      <c r="F749" s="29" t="n">
        <v>0</v>
      </c>
      <c r="G749" s="29" t="n">
        <v>95</v>
      </c>
      <c r="H749" s="27" t="inlineStr">
        <is>
          <t>Exclusive</t>
        </is>
      </c>
      <c r="I749" s="29" t="n">
        <v>75</v>
      </c>
      <c r="J749" s="27" t="inlineStr">
        <is>
          <t>Exclusive</t>
        </is>
      </c>
      <c r="K749" s="29" t="n">
        <v>95</v>
      </c>
      <c r="L749" s="29" t="n">
        <v>3</v>
      </c>
      <c r="M749" s="33" t="n">
        <v>1</v>
      </c>
      <c r="N749" s="27" t="inlineStr">
        <is>
          <t>Yes</t>
        </is>
      </c>
      <c r="O749" s="29" t="n">
        <v>0</v>
      </c>
      <c r="P749" s="30" t="n">
        <v>450</v>
      </c>
      <c r="Q749" s="31" t="inlineStr">
        <is>
          <t>In Stock</t>
        </is>
      </c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5" customHeight="1" s="85">
      <c r="A750" s="27" t="inlineStr">
        <is>
          <t>NICE DAY ELLUNDA SESAME CHIKKI 52</t>
        </is>
      </c>
      <c r="B750" s="27" t="n"/>
      <c r="C750" s="27" t="inlineStr">
        <is>
          <t>Snacks</t>
        </is>
      </c>
      <c r="D750" s="28" t="inlineStr">
        <is>
          <t>8906076751681</t>
        </is>
      </c>
      <c r="E750" s="27" t="n"/>
      <c r="F750" s="29" t="n">
        <v>0</v>
      </c>
      <c r="G750" s="29" t="n">
        <v>55</v>
      </c>
      <c r="H750" s="27" t="inlineStr">
        <is>
          <t>Exclusive</t>
        </is>
      </c>
      <c r="I750" s="29" t="n">
        <v>44</v>
      </c>
      <c r="J750" s="27" t="inlineStr">
        <is>
          <t>Exclusive</t>
        </is>
      </c>
      <c r="K750" s="29" t="n">
        <v>55</v>
      </c>
      <c r="L750" s="29" t="n">
        <v>15</v>
      </c>
      <c r="M750" s="33" t="n">
        <v>1</v>
      </c>
      <c r="N750" s="27" t="inlineStr">
        <is>
          <t>Yes</t>
        </is>
      </c>
      <c r="O750" s="29" t="n">
        <v>0</v>
      </c>
      <c r="P750" s="30" t="n">
        <v>450</v>
      </c>
      <c r="Q750" s="31" t="inlineStr">
        <is>
          <t>In Stock</t>
        </is>
      </c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5" customHeight="1" s="85">
      <c r="A751" s="27" t="inlineStr">
        <is>
          <t>NICE DAY PEANUT BAR BIG</t>
        </is>
      </c>
      <c r="B751" s="27" t="n"/>
      <c r="C751" s="27" t="inlineStr">
        <is>
          <t>Snacks</t>
        </is>
      </c>
      <c r="D751" s="28" t="inlineStr">
        <is>
          <t>689176907629</t>
        </is>
      </c>
      <c r="E751" s="27" t="n"/>
      <c r="F751" s="29" t="n">
        <v>0</v>
      </c>
      <c r="G751" s="29" t="n">
        <v>70</v>
      </c>
      <c r="H751" s="27" t="inlineStr">
        <is>
          <t>Inclusive</t>
        </is>
      </c>
      <c r="I751" s="29" t="n">
        <v>62</v>
      </c>
      <c r="J751" s="27" t="inlineStr">
        <is>
          <t>Inclusive</t>
        </is>
      </c>
      <c r="K751" s="29" t="n">
        <v>70</v>
      </c>
      <c r="L751" s="29" t="n">
        <v>0</v>
      </c>
      <c r="M751" s="33" t="n">
        <v>1</v>
      </c>
      <c r="N751" s="27" t="inlineStr">
        <is>
          <t>Yes</t>
        </is>
      </c>
      <c r="O751" s="29" t="n">
        <v>0</v>
      </c>
      <c r="P751" s="30" t="n">
        <v>450</v>
      </c>
      <c r="Q751" s="31" t="inlineStr">
        <is>
          <t>In Stock</t>
        </is>
      </c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5" customHeight="1" s="85">
      <c r="A752" s="27" t="inlineStr">
        <is>
          <t>NICE ELLUNDA BLACK 55</t>
        </is>
      </c>
      <c r="B752" s="27" t="n"/>
      <c r="C752" s="27" t="inlineStr">
        <is>
          <t>Snacks</t>
        </is>
      </c>
      <c r="D752" s="28" t="inlineStr">
        <is>
          <t>689176907636</t>
        </is>
      </c>
      <c r="E752" s="27" t="n"/>
      <c r="F752" s="29" t="n">
        <v>0</v>
      </c>
      <c r="G752" s="29" t="n">
        <v>55</v>
      </c>
      <c r="H752" s="27" t="inlineStr">
        <is>
          <t>Exclusive</t>
        </is>
      </c>
      <c r="I752" s="29" t="n">
        <v>45</v>
      </c>
      <c r="J752" s="27" t="inlineStr">
        <is>
          <t>Exclusive</t>
        </is>
      </c>
      <c r="K752" s="29" t="n">
        <v>55</v>
      </c>
      <c r="L752" s="29" t="n">
        <v>0</v>
      </c>
      <c r="M752" s="33" t="n">
        <v>1</v>
      </c>
      <c r="N752" s="27" t="inlineStr">
        <is>
          <t>Yes</t>
        </is>
      </c>
      <c r="O752" s="29" t="n">
        <v>0</v>
      </c>
      <c r="P752" s="30" t="n">
        <v>450</v>
      </c>
      <c r="Q752" s="31" t="inlineStr">
        <is>
          <t>In Stock</t>
        </is>
      </c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5" customHeight="1" s="85">
      <c r="A753" s="27" t="inlineStr">
        <is>
          <t>NICE ELLUNDA WHITE 55</t>
        </is>
      </c>
      <c r="B753" s="27" t="n"/>
      <c r="C753" s="27" t="inlineStr">
        <is>
          <t>Snacks</t>
        </is>
      </c>
      <c r="D753" s="28" t="inlineStr">
        <is>
          <t>689176907605</t>
        </is>
      </c>
      <c r="E753" s="27" t="n"/>
      <c r="F753" s="29" t="n">
        <v>0</v>
      </c>
      <c r="G753" s="29" t="n">
        <v>55</v>
      </c>
      <c r="H753" s="27" t="inlineStr">
        <is>
          <t>Exclusive</t>
        </is>
      </c>
      <c r="I753" s="29" t="n">
        <v>45</v>
      </c>
      <c r="J753" s="27" t="inlineStr">
        <is>
          <t>Exclusive</t>
        </is>
      </c>
      <c r="K753" s="29" t="n">
        <v>80</v>
      </c>
      <c r="L753" s="29" t="n">
        <v>0</v>
      </c>
      <c r="M753" s="33" t="n">
        <v>1</v>
      </c>
      <c r="N753" s="27" t="inlineStr">
        <is>
          <t>Yes</t>
        </is>
      </c>
      <c r="O753" s="29" t="n">
        <v>0</v>
      </c>
      <c r="P753" s="30" t="n">
        <v>450</v>
      </c>
      <c r="Q753" s="31" t="inlineStr">
        <is>
          <t>In Stock</t>
        </is>
      </c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5" customHeight="1" s="85">
      <c r="A754" s="27" t="inlineStr">
        <is>
          <t>NICE JACKFRUIT CHIPS 140GM</t>
        </is>
      </c>
      <c r="B754" s="27" t="n"/>
      <c r="C754" s="27" t="inlineStr">
        <is>
          <t>Snacks</t>
        </is>
      </c>
      <c r="D754" s="28" t="inlineStr">
        <is>
          <t>670087267803</t>
        </is>
      </c>
      <c r="E754" s="27" t="n"/>
      <c r="F754" s="29" t="n">
        <v>0</v>
      </c>
      <c r="G754" s="29" t="n">
        <v>124</v>
      </c>
      <c r="H754" s="27" t="inlineStr">
        <is>
          <t>Exclusive</t>
        </is>
      </c>
      <c r="I754" s="29" t="n">
        <v>110</v>
      </c>
      <c r="J754" s="27" t="inlineStr">
        <is>
          <t>Exclusive</t>
        </is>
      </c>
      <c r="K754" s="29" t="n">
        <v>124</v>
      </c>
      <c r="L754" s="29" t="n">
        <v>0</v>
      </c>
      <c r="M754" s="27" t="n"/>
      <c r="N754" s="27" t="inlineStr">
        <is>
          <t>Yes</t>
        </is>
      </c>
      <c r="O754" s="29" t="n">
        <v>0</v>
      </c>
      <c r="P754" s="30" t="n">
        <v>450</v>
      </c>
      <c r="Q754" s="31" t="inlineStr">
        <is>
          <t>In Stock</t>
        </is>
      </c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5" customHeight="1" s="85">
      <c r="A755" s="27" t="inlineStr">
        <is>
          <t>NICE JOY STICK 150GM</t>
        </is>
      </c>
      <c r="B755" s="27" t="n"/>
      <c r="C755" s="27" t="inlineStr">
        <is>
          <t>Snacks</t>
        </is>
      </c>
      <c r="D755" s="32" t="inlineStr">
        <is>
          <t>100285</t>
        </is>
      </c>
      <c r="E755" s="27" t="n"/>
      <c r="F755" s="29" t="n">
        <v>0</v>
      </c>
      <c r="G755" s="29" t="n">
        <v>77</v>
      </c>
      <c r="H755" s="27" t="inlineStr">
        <is>
          <t>Exclusive</t>
        </is>
      </c>
      <c r="I755" s="29" t="n">
        <v>58</v>
      </c>
      <c r="J755" s="27" t="inlineStr">
        <is>
          <t>Exclusive</t>
        </is>
      </c>
      <c r="K755" s="29" t="n">
        <v>77</v>
      </c>
      <c r="L755" s="29" t="n">
        <v>12</v>
      </c>
      <c r="M755" s="27" t="n"/>
      <c r="N755" s="27" t="inlineStr">
        <is>
          <t>Yes</t>
        </is>
      </c>
      <c r="O755" s="29" t="n">
        <v>0</v>
      </c>
      <c r="P755" s="30" t="n">
        <v>450</v>
      </c>
      <c r="Q755" s="31" t="inlineStr">
        <is>
          <t>In Stock</t>
        </is>
      </c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5" customHeight="1" s="85">
      <c r="A756" s="27" t="inlineStr">
        <is>
          <t>NICE MADHURA SEWA 180GM</t>
        </is>
      </c>
      <c r="B756" s="27" t="n"/>
      <c r="C756" s="27" t="inlineStr">
        <is>
          <t>Snacks</t>
        </is>
      </c>
      <c r="D756" s="28" t="inlineStr">
        <is>
          <t>670087267728</t>
        </is>
      </c>
      <c r="E756" s="27" t="n"/>
      <c r="F756" s="29" t="n">
        <v>0</v>
      </c>
      <c r="G756" s="29" t="n">
        <v>77</v>
      </c>
      <c r="H756" s="27" t="inlineStr">
        <is>
          <t>Inclusive</t>
        </is>
      </c>
      <c r="I756" s="29" t="n">
        <v>64</v>
      </c>
      <c r="J756" s="27" t="inlineStr">
        <is>
          <t>Inclusive</t>
        </is>
      </c>
      <c r="K756" s="29" t="n">
        <v>75</v>
      </c>
      <c r="L756" s="29" t="n">
        <v>0</v>
      </c>
      <c r="M756" s="33" t="n">
        <v>1</v>
      </c>
      <c r="N756" s="27" t="inlineStr">
        <is>
          <t>Yes</t>
        </is>
      </c>
      <c r="O756" s="29" t="n">
        <v>0</v>
      </c>
      <c r="P756" s="30" t="n">
        <v>450</v>
      </c>
      <c r="Q756" s="31" t="inlineStr">
        <is>
          <t>In Stock</t>
        </is>
      </c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5" customHeight="1" s="85">
      <c r="A757" s="27" t="inlineStr">
        <is>
          <t>NICE NOOL MURUK 180GM</t>
        </is>
      </c>
      <c r="B757" s="27" t="n"/>
      <c r="C757" s="27" t="inlineStr">
        <is>
          <t>Snacks</t>
        </is>
      </c>
      <c r="D757" s="28" t="inlineStr">
        <is>
          <t>670087267926</t>
        </is>
      </c>
      <c r="E757" s="27" t="n"/>
      <c r="F757" s="29" t="n">
        <v>0</v>
      </c>
      <c r="G757" s="29" t="n">
        <v>77</v>
      </c>
      <c r="H757" s="27" t="inlineStr">
        <is>
          <t>Exclusive</t>
        </is>
      </c>
      <c r="I757" s="29" t="n">
        <v>60</v>
      </c>
      <c r="J757" s="27" t="inlineStr">
        <is>
          <t>Exclusive</t>
        </is>
      </c>
      <c r="K757" s="29" t="n">
        <v>80</v>
      </c>
      <c r="L757" s="29" t="n">
        <v>0</v>
      </c>
      <c r="M757" s="33" t="n">
        <v>1</v>
      </c>
      <c r="N757" s="27" t="inlineStr">
        <is>
          <t>Yes</t>
        </is>
      </c>
      <c r="O757" s="29" t="n">
        <v>0</v>
      </c>
      <c r="P757" s="30" t="n">
        <v>450</v>
      </c>
      <c r="Q757" s="31" t="inlineStr">
        <is>
          <t>In Stock</t>
        </is>
      </c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5" customHeight="1" s="85">
      <c r="A758" s="27" t="inlineStr">
        <is>
          <t>NICE PAKKAVADA 180GM</t>
        </is>
      </c>
      <c r="B758" s="27" t="n"/>
      <c r="C758" s="27" t="inlineStr">
        <is>
          <t>Snacks</t>
        </is>
      </c>
      <c r="D758" s="28" t="inlineStr">
        <is>
          <t>670087267957</t>
        </is>
      </c>
      <c r="E758" s="27" t="n"/>
      <c r="F758" s="29" t="n">
        <v>0</v>
      </c>
      <c r="G758" s="29" t="n">
        <v>77</v>
      </c>
      <c r="H758" s="27" t="inlineStr">
        <is>
          <t>Exclusive</t>
        </is>
      </c>
      <c r="I758" s="29" t="n">
        <v>60</v>
      </c>
      <c r="J758" s="27" t="inlineStr">
        <is>
          <t>Exclusive</t>
        </is>
      </c>
      <c r="K758" s="29" t="n">
        <v>80</v>
      </c>
      <c r="L758" s="29" t="n">
        <v>0</v>
      </c>
      <c r="M758" s="33" t="n">
        <v>1</v>
      </c>
      <c r="N758" s="27" t="inlineStr">
        <is>
          <t>Yes</t>
        </is>
      </c>
      <c r="O758" s="29" t="n">
        <v>0</v>
      </c>
      <c r="P758" s="30" t="n">
        <v>450</v>
      </c>
      <c r="Q758" s="31" t="inlineStr">
        <is>
          <t>In Stock</t>
        </is>
      </c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5" customHeight="1" s="85">
      <c r="A759" s="27" t="inlineStr">
        <is>
          <t>NICE SMALL PEANUT</t>
        </is>
      </c>
      <c r="B759" s="27" t="n"/>
      <c r="C759" s="27" t="inlineStr">
        <is>
          <t>Snacks</t>
        </is>
      </c>
      <c r="D759" s="28" t="inlineStr">
        <is>
          <t>676351273877</t>
        </is>
      </c>
      <c r="E759" s="27" t="n"/>
      <c r="F759" s="29" t="n">
        <v>0</v>
      </c>
      <c r="G759" s="29" t="n">
        <v>30</v>
      </c>
      <c r="H759" s="27" t="inlineStr">
        <is>
          <t>Exclusive</t>
        </is>
      </c>
      <c r="I759" s="29" t="n">
        <v>25</v>
      </c>
      <c r="J759" s="27" t="inlineStr">
        <is>
          <t>Exclusive</t>
        </is>
      </c>
      <c r="K759" s="29" t="n">
        <v>30</v>
      </c>
      <c r="L759" s="29" t="n">
        <v>0</v>
      </c>
      <c r="M759" s="33" t="n">
        <v>1</v>
      </c>
      <c r="N759" s="27" t="inlineStr">
        <is>
          <t>Yes</t>
        </is>
      </c>
      <c r="O759" s="29" t="n">
        <v>0</v>
      </c>
      <c r="P759" s="30" t="n">
        <v>450</v>
      </c>
      <c r="Q759" s="31" t="inlineStr">
        <is>
          <t>In Stock</t>
        </is>
      </c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5" customHeight="1" s="85">
      <c r="A760" s="27" t="inlineStr">
        <is>
          <t>NICE SPECIAL MIXTURE 180GM</t>
        </is>
      </c>
      <c r="B760" s="27" t="n"/>
      <c r="C760" s="27" t="inlineStr">
        <is>
          <t>Snacks</t>
        </is>
      </c>
      <c r="D760" s="28" t="inlineStr">
        <is>
          <t>670087267742</t>
        </is>
      </c>
      <c r="E760" s="27" t="n"/>
      <c r="F760" s="29" t="n">
        <v>0</v>
      </c>
      <c r="G760" s="29" t="n">
        <v>77</v>
      </c>
      <c r="H760" s="27" t="inlineStr">
        <is>
          <t>Exclusive</t>
        </is>
      </c>
      <c r="I760" s="29" t="n">
        <v>60</v>
      </c>
      <c r="J760" s="27" t="inlineStr">
        <is>
          <t>Exclusive</t>
        </is>
      </c>
      <c r="K760" s="29" t="n">
        <v>80</v>
      </c>
      <c r="L760" s="29" t="n">
        <v>0</v>
      </c>
      <c r="M760" s="33" t="n">
        <v>1</v>
      </c>
      <c r="N760" s="27" t="inlineStr">
        <is>
          <t>Yes</t>
        </is>
      </c>
      <c r="O760" s="29" t="n">
        <v>0</v>
      </c>
      <c r="P760" s="30" t="n">
        <v>450</v>
      </c>
      <c r="Q760" s="31" t="inlineStr">
        <is>
          <t>In Stock</t>
        </is>
      </c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5" customHeight="1" s="85">
      <c r="A761" s="27" t="inlineStr">
        <is>
          <t>NICE TAPIOCA CHIPS CHILLY 170GM</t>
        </is>
      </c>
      <c r="B761" s="27" t="n"/>
      <c r="C761" s="27" t="inlineStr">
        <is>
          <t>Snacks</t>
        </is>
      </c>
      <c r="D761" s="32" t="inlineStr">
        <is>
          <t>100286</t>
        </is>
      </c>
      <c r="E761" s="27" t="n"/>
      <c r="F761" s="29" t="n">
        <v>0</v>
      </c>
      <c r="G761" s="29" t="n">
        <v>77</v>
      </c>
      <c r="H761" s="27" t="inlineStr">
        <is>
          <t>Inclusive</t>
        </is>
      </c>
      <c r="I761" s="29" t="n">
        <v>57</v>
      </c>
      <c r="J761" s="27" t="inlineStr">
        <is>
          <t>Inclusive</t>
        </is>
      </c>
      <c r="K761" s="29" t="n">
        <v>80</v>
      </c>
      <c r="L761" s="29" t="n">
        <v>37</v>
      </c>
      <c r="M761" s="33" t="n">
        <v>1</v>
      </c>
      <c r="N761" s="27" t="inlineStr">
        <is>
          <t>No</t>
        </is>
      </c>
      <c r="O761" s="29" t="n">
        <v>0</v>
      </c>
      <c r="P761" s="30" t="n">
        <v>450</v>
      </c>
      <c r="Q761" s="31" t="inlineStr">
        <is>
          <t>In Stock</t>
        </is>
      </c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5" customHeight="1" s="85">
      <c r="A762" s="27" t="inlineStr">
        <is>
          <t>NICE TAPIOCA CHIPS WHITE 180GM</t>
        </is>
      </c>
      <c r="B762" s="27" t="n"/>
      <c r="C762" s="27" t="inlineStr">
        <is>
          <t>Snacks</t>
        </is>
      </c>
      <c r="D762" s="28" t="inlineStr">
        <is>
          <t>670087267940</t>
        </is>
      </c>
      <c r="E762" s="27" t="n"/>
      <c r="F762" s="29" t="n">
        <v>0</v>
      </c>
      <c r="G762" s="29" t="n">
        <v>77</v>
      </c>
      <c r="H762" s="27" t="inlineStr">
        <is>
          <t>Exclusive</t>
        </is>
      </c>
      <c r="I762" s="29" t="n">
        <v>57</v>
      </c>
      <c r="J762" s="27" t="inlineStr">
        <is>
          <t>Exclusive</t>
        </is>
      </c>
      <c r="K762" s="29" t="n">
        <v>80</v>
      </c>
      <c r="L762" s="29" t="n">
        <v>20</v>
      </c>
      <c r="M762" s="33" t="n">
        <v>1</v>
      </c>
      <c r="N762" s="27" t="inlineStr">
        <is>
          <t>Yes</t>
        </is>
      </c>
      <c r="O762" s="29" t="n">
        <v>0</v>
      </c>
      <c r="P762" s="30" t="n">
        <v>450</v>
      </c>
      <c r="Q762" s="31" t="inlineStr">
        <is>
          <t>In Stock</t>
        </is>
      </c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5" customHeight="1" s="85">
      <c r="A763" s="27" t="inlineStr">
        <is>
          <t>NICE TAPIOCA STICK 170GM</t>
        </is>
      </c>
      <c r="B763" s="27" t="n"/>
      <c r="C763" s="27" t="inlineStr">
        <is>
          <t>Snacks</t>
        </is>
      </c>
      <c r="D763" s="28" t="inlineStr">
        <is>
          <t>670087267872</t>
        </is>
      </c>
      <c r="E763" s="27" t="n"/>
      <c r="F763" s="29" t="n">
        <v>0</v>
      </c>
      <c r="G763" s="29" t="n">
        <v>77</v>
      </c>
      <c r="H763" s="27" t="inlineStr">
        <is>
          <t>Exclusive</t>
        </is>
      </c>
      <c r="I763" s="29" t="n">
        <v>59</v>
      </c>
      <c r="J763" s="27" t="inlineStr">
        <is>
          <t>Exclusive</t>
        </is>
      </c>
      <c r="K763" s="29" t="n">
        <v>80</v>
      </c>
      <c r="L763" s="29" t="n">
        <v>0</v>
      </c>
      <c r="M763" s="33" t="n">
        <v>1</v>
      </c>
      <c r="N763" s="27" t="inlineStr">
        <is>
          <t>Yes</t>
        </is>
      </c>
      <c r="O763" s="29" t="n">
        <v>0</v>
      </c>
      <c r="P763" s="30" t="n">
        <v>450</v>
      </c>
      <c r="Q763" s="31" t="inlineStr">
        <is>
          <t>In Stock</t>
        </is>
      </c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5" customHeight="1" s="85">
      <c r="A764" s="27" t="inlineStr">
        <is>
          <t>NICE TOMATO MURUK 140GM</t>
        </is>
      </c>
      <c r="B764" s="27" t="n"/>
      <c r="C764" s="27" t="inlineStr">
        <is>
          <t>Snacks</t>
        </is>
      </c>
      <c r="D764" s="28" t="inlineStr">
        <is>
          <t>689176907407</t>
        </is>
      </c>
      <c r="E764" s="27" t="n"/>
      <c r="F764" s="29" t="n">
        <v>0</v>
      </c>
      <c r="G764" s="29" t="n">
        <v>77</v>
      </c>
      <c r="H764" s="27" t="inlineStr">
        <is>
          <t>Exclusive</t>
        </is>
      </c>
      <c r="I764" s="29" t="n">
        <v>59</v>
      </c>
      <c r="J764" s="27" t="inlineStr">
        <is>
          <t>Exclusive</t>
        </is>
      </c>
      <c r="K764" s="29" t="n">
        <v>80</v>
      </c>
      <c r="L764" s="29" t="n">
        <v>11</v>
      </c>
      <c r="M764" s="33" t="n">
        <v>1</v>
      </c>
      <c r="N764" s="27" t="inlineStr">
        <is>
          <t>Yes</t>
        </is>
      </c>
      <c r="O764" s="29" t="n">
        <v>0</v>
      </c>
      <c r="P764" s="30" t="n">
        <v>450</v>
      </c>
      <c r="Q764" s="31" t="inlineStr">
        <is>
          <t>In Stock</t>
        </is>
      </c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5" customHeight="1" s="85">
      <c r="A765" s="27" t="inlineStr">
        <is>
          <t>NICE TUBE KUZHALAPPAM</t>
        </is>
      </c>
      <c r="B765" s="27" t="n"/>
      <c r="C765" s="27" t="inlineStr">
        <is>
          <t>Snacks</t>
        </is>
      </c>
      <c r="D765" s="28" t="inlineStr">
        <is>
          <t>670087267858</t>
        </is>
      </c>
      <c r="E765" s="27" t="n"/>
      <c r="F765" s="29" t="n">
        <v>0</v>
      </c>
      <c r="G765" s="29" t="n">
        <v>80</v>
      </c>
      <c r="H765" s="27" t="inlineStr">
        <is>
          <t>Exclusive</t>
        </is>
      </c>
      <c r="I765" s="29" t="n">
        <v>58</v>
      </c>
      <c r="J765" s="27" t="inlineStr">
        <is>
          <t>Exclusive</t>
        </is>
      </c>
      <c r="K765" s="29" t="n">
        <v>80</v>
      </c>
      <c r="L765" s="29" t="n">
        <v>10</v>
      </c>
      <c r="M765" s="33" t="n">
        <v>1</v>
      </c>
      <c r="N765" s="27" t="inlineStr">
        <is>
          <t>Yes</t>
        </is>
      </c>
      <c r="O765" s="29" t="n">
        <v>0</v>
      </c>
      <c r="P765" s="30" t="n">
        <v>450</v>
      </c>
      <c r="Q765" s="31" t="inlineStr">
        <is>
          <t>In Stock</t>
        </is>
      </c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5" customHeight="1" s="85">
      <c r="A766" s="27" t="inlineStr">
        <is>
          <t>NICE WHITE MIXTURE 180GM</t>
        </is>
      </c>
      <c r="B766" s="27" t="n"/>
      <c r="C766" s="27" t="inlineStr">
        <is>
          <t>Snacks</t>
        </is>
      </c>
      <c r="D766" s="28" t="inlineStr">
        <is>
          <t>670087267759</t>
        </is>
      </c>
      <c r="E766" s="27" t="n"/>
      <c r="F766" s="29" t="n">
        <v>0</v>
      </c>
      <c r="G766" s="29" t="n">
        <v>77</v>
      </c>
      <c r="H766" s="27" t="inlineStr">
        <is>
          <t>Exclusive</t>
        </is>
      </c>
      <c r="I766" s="29" t="n">
        <v>58</v>
      </c>
      <c r="J766" s="27" t="inlineStr">
        <is>
          <t>Exclusive</t>
        </is>
      </c>
      <c r="K766" s="29" t="n">
        <v>80</v>
      </c>
      <c r="L766" s="29" t="n">
        <v>0</v>
      </c>
      <c r="M766" s="33" t="n">
        <v>1</v>
      </c>
      <c r="N766" s="27" t="inlineStr">
        <is>
          <t>Yes</t>
        </is>
      </c>
      <c r="O766" s="29" t="n">
        <v>0</v>
      </c>
      <c r="P766" s="30" t="n">
        <v>450</v>
      </c>
      <c r="Q766" s="31" t="inlineStr">
        <is>
          <t>In Stock</t>
        </is>
      </c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5" customHeight="1" s="85">
      <c r="A767" s="27" t="inlineStr">
        <is>
          <t>NIICE TAPIOCA CHIPS CHILLY 180GM</t>
        </is>
      </c>
      <c r="B767" s="27" t="n"/>
      <c r="C767" s="27" t="inlineStr">
        <is>
          <t>Snacks</t>
        </is>
      </c>
      <c r="D767" s="28" t="inlineStr">
        <is>
          <t>676351273853</t>
        </is>
      </c>
      <c r="E767" s="27" t="n"/>
      <c r="F767" s="29" t="n">
        <v>0</v>
      </c>
      <c r="G767" s="29" t="n">
        <v>77</v>
      </c>
      <c r="H767" s="27" t="inlineStr">
        <is>
          <t>Exclusive</t>
        </is>
      </c>
      <c r="I767" s="29" t="n">
        <v>59</v>
      </c>
      <c r="J767" s="27" t="inlineStr">
        <is>
          <t>Exclusive</t>
        </is>
      </c>
      <c r="K767" s="29" t="n">
        <v>80</v>
      </c>
      <c r="L767" s="29" t="n">
        <v>0</v>
      </c>
      <c r="M767" s="33" t="n">
        <v>1</v>
      </c>
      <c r="N767" s="27" t="inlineStr">
        <is>
          <t>Yes</t>
        </is>
      </c>
      <c r="O767" s="29" t="n">
        <v>0</v>
      </c>
      <c r="P767" s="30" t="n">
        <v>450</v>
      </c>
      <c r="Q767" s="31" t="inlineStr">
        <is>
          <t>In Stock</t>
        </is>
      </c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5" customHeight="1" s="85">
      <c r="A768" s="27" t="inlineStr">
        <is>
          <t>NIRAPARA AVIL RED</t>
        </is>
      </c>
      <c r="B768" s="27" t="n"/>
      <c r="C768" s="27" t="inlineStr">
        <is>
          <t>Grains &amp; Flours</t>
        </is>
      </c>
      <c r="D768" s="28" t="inlineStr">
        <is>
          <t>8904010610926</t>
        </is>
      </c>
      <c r="E768" s="27" t="n"/>
      <c r="F768" s="29" t="n">
        <v>0</v>
      </c>
      <c r="G768" s="29" t="n">
        <v>80</v>
      </c>
      <c r="H768" s="27" t="inlineStr">
        <is>
          <t>Inclusive</t>
        </is>
      </c>
      <c r="I768" s="29" t="n">
        <v>71</v>
      </c>
      <c r="J768" s="27" t="inlineStr">
        <is>
          <t>Inclusive</t>
        </is>
      </c>
      <c r="K768" s="29" t="n">
        <v>80</v>
      </c>
      <c r="L768" s="29" t="n">
        <v>0</v>
      </c>
      <c r="M768" s="33" t="n">
        <v>1</v>
      </c>
      <c r="N768" s="27" t="inlineStr">
        <is>
          <t>Yes</t>
        </is>
      </c>
      <c r="O768" s="29" t="n">
        <v>0</v>
      </c>
      <c r="P768" s="30" t="n">
        <v>450</v>
      </c>
      <c r="Q768" s="31" t="inlineStr">
        <is>
          <t>In Stock</t>
        </is>
      </c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5" customHeight="1" s="85">
      <c r="A769" s="27" t="inlineStr">
        <is>
          <t>NIRAPARA CHEMBA PUTTU PODI 1KG</t>
        </is>
      </c>
      <c r="B769" s="27" t="n"/>
      <c r="C769" s="27" t="inlineStr">
        <is>
          <t>Grains &amp; Flours</t>
        </is>
      </c>
      <c r="D769" s="28" t="inlineStr">
        <is>
          <t>8904010630214</t>
        </is>
      </c>
      <c r="E769" s="27" t="n"/>
      <c r="F769" s="29" t="n">
        <v>0</v>
      </c>
      <c r="G769" s="29" t="n">
        <v>159</v>
      </c>
      <c r="H769" s="27" t="inlineStr">
        <is>
          <t>Exclusive</t>
        </is>
      </c>
      <c r="I769" s="29" t="n">
        <v>145</v>
      </c>
      <c r="J769" s="27" t="inlineStr">
        <is>
          <t>Exclusive</t>
        </is>
      </c>
      <c r="K769" s="29" t="n">
        <v>159</v>
      </c>
      <c r="L769" s="29" t="n">
        <v>0</v>
      </c>
      <c r="M769" s="33" t="n">
        <v>1</v>
      </c>
      <c r="N769" s="27" t="inlineStr">
        <is>
          <t>Yes</t>
        </is>
      </c>
      <c r="O769" s="29" t="n">
        <v>0</v>
      </c>
      <c r="P769" s="30" t="n">
        <v>450</v>
      </c>
      <c r="Q769" s="31" t="inlineStr">
        <is>
          <t>In Stock</t>
        </is>
      </c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5" customHeight="1" s="85">
      <c r="A770" s="27" t="inlineStr">
        <is>
          <t>NIRAPARA CHEMBA PUTTU PODI RED</t>
        </is>
      </c>
      <c r="B770" s="27" t="n"/>
      <c r="C770" s="27" t="inlineStr">
        <is>
          <t>Grains &amp; Flours</t>
        </is>
      </c>
      <c r="D770" s="28" t="inlineStr">
        <is>
          <t>8904010630207</t>
        </is>
      </c>
      <c r="E770" s="27" t="n"/>
      <c r="F770" s="29" t="n">
        <v>0</v>
      </c>
      <c r="G770" s="29" t="n">
        <v>81</v>
      </c>
      <c r="H770" s="27" t="inlineStr">
        <is>
          <t>Exclusive</t>
        </is>
      </c>
      <c r="I770" s="29" t="n">
        <v>70</v>
      </c>
      <c r="J770" s="27" t="inlineStr">
        <is>
          <t>Exclusive</t>
        </is>
      </c>
      <c r="K770" s="29" t="n">
        <v>81</v>
      </c>
      <c r="L770" s="29" t="n">
        <v>11</v>
      </c>
      <c r="M770" s="33" t="n">
        <v>1</v>
      </c>
      <c r="N770" s="27" t="inlineStr">
        <is>
          <t>Yes</t>
        </is>
      </c>
      <c r="O770" s="29" t="n">
        <v>0</v>
      </c>
      <c r="P770" s="30" t="n">
        <v>450</v>
      </c>
      <c r="Q770" s="31" t="inlineStr">
        <is>
          <t>In Stock</t>
        </is>
      </c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5" customHeight="1" s="85">
      <c r="A771" s="27" t="inlineStr">
        <is>
          <t>NIRAPARA CHICKEN MASALA</t>
        </is>
      </c>
      <c r="B771" s="27" t="n"/>
      <c r="C771" s="27" t="inlineStr">
        <is>
          <t>Masalas &amp; Spices</t>
        </is>
      </c>
      <c r="D771" s="28" t="inlineStr">
        <is>
          <t>8904010690157</t>
        </is>
      </c>
      <c r="E771" s="27" t="n"/>
      <c r="F771" s="29" t="n">
        <v>0</v>
      </c>
      <c r="G771" s="29" t="n">
        <v>64</v>
      </c>
      <c r="H771" s="27" t="inlineStr">
        <is>
          <t>Exclusive</t>
        </is>
      </c>
      <c r="I771" s="29" t="n">
        <v>42</v>
      </c>
      <c r="J771" s="27" t="inlineStr">
        <is>
          <t>Exclusive</t>
        </is>
      </c>
      <c r="K771" s="29" t="n">
        <v>64</v>
      </c>
      <c r="L771" s="29" t="n">
        <v>0</v>
      </c>
      <c r="M771" s="33" t="n">
        <v>1</v>
      </c>
      <c r="N771" s="27" t="inlineStr">
        <is>
          <t>Yes</t>
        </is>
      </c>
      <c r="O771" s="29" t="n">
        <v>0</v>
      </c>
      <c r="P771" s="30" t="n">
        <v>450</v>
      </c>
      <c r="Q771" s="31" t="inlineStr">
        <is>
          <t>In Stock</t>
        </is>
      </c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5" customHeight="1" s="85">
      <c r="A772" s="27" t="inlineStr">
        <is>
          <t>NIRAPARA DOSA PODI 500GM</t>
        </is>
      </c>
      <c r="B772" s="27" t="n"/>
      <c r="C772" s="27" t="inlineStr">
        <is>
          <t>Grains &amp; Flours</t>
        </is>
      </c>
      <c r="D772" s="28" t="inlineStr">
        <is>
          <t>8904010630122</t>
        </is>
      </c>
      <c r="E772" s="27" t="n"/>
      <c r="F772" s="29" t="n">
        <v>0</v>
      </c>
      <c r="G772" s="29" t="n">
        <v>85</v>
      </c>
      <c r="H772" s="27" t="inlineStr">
        <is>
          <t>Inclusive</t>
        </is>
      </c>
      <c r="I772" s="29" t="n">
        <v>88</v>
      </c>
      <c r="J772" s="27" t="inlineStr">
        <is>
          <t>Inclusive</t>
        </is>
      </c>
      <c r="K772" s="29" t="n">
        <v>82</v>
      </c>
      <c r="L772" s="29" t="n">
        <v>1</v>
      </c>
      <c r="M772" s="33" t="n">
        <v>1</v>
      </c>
      <c r="N772" s="27" t="inlineStr">
        <is>
          <t>Yes</t>
        </is>
      </c>
      <c r="O772" s="29" t="n">
        <v>0</v>
      </c>
      <c r="P772" s="30" t="n">
        <v>450</v>
      </c>
      <c r="Q772" s="31" t="inlineStr">
        <is>
          <t>In Stock</t>
        </is>
      </c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5" customHeight="1" s="85">
      <c r="A773" s="27" t="inlineStr">
        <is>
          <t>NIRAPARA FISH FRY MASALA 100GM</t>
        </is>
      </c>
      <c r="B773" s="27" t="n"/>
      <c r="C773" s="27" t="inlineStr">
        <is>
          <t>Masalas &amp; Spices</t>
        </is>
      </c>
      <c r="D773" s="28" t="inlineStr">
        <is>
          <t>8904010697637</t>
        </is>
      </c>
      <c r="E773" s="27" t="n"/>
      <c r="F773" s="29" t="n">
        <v>0</v>
      </c>
      <c r="G773" s="29" t="n">
        <v>68</v>
      </c>
      <c r="H773" s="27" t="inlineStr">
        <is>
          <t>Inclusive</t>
        </is>
      </c>
      <c r="I773" s="29" t="n">
        <v>42</v>
      </c>
      <c r="J773" s="27" t="inlineStr">
        <is>
          <t>Inclusive</t>
        </is>
      </c>
      <c r="K773" s="29" t="n">
        <v>0</v>
      </c>
      <c r="L773" s="29" t="n">
        <v>7</v>
      </c>
      <c r="M773" s="33" t="n">
        <v>1</v>
      </c>
      <c r="N773" s="27" t="inlineStr">
        <is>
          <t>Yes</t>
        </is>
      </c>
      <c r="O773" s="29" t="n">
        <v>0</v>
      </c>
      <c r="P773" s="30" t="n">
        <v>450</v>
      </c>
      <c r="Q773" s="31" t="inlineStr">
        <is>
          <t>In Stock</t>
        </is>
      </c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5" customHeight="1" s="85">
      <c r="A774" s="27" t="inlineStr">
        <is>
          <t>NIRAPARA FISH MASALA</t>
        </is>
      </c>
      <c r="B774" s="27" t="n"/>
      <c r="C774" s="27" t="inlineStr">
        <is>
          <t>Masalas &amp; Spices</t>
        </is>
      </c>
      <c r="D774" s="28" t="inlineStr">
        <is>
          <t>8904010690171</t>
        </is>
      </c>
      <c r="E774" s="27" t="n"/>
      <c r="F774" s="29" t="n">
        <v>0</v>
      </c>
      <c r="G774" s="29" t="n">
        <v>60</v>
      </c>
      <c r="H774" s="27" t="inlineStr">
        <is>
          <t>Inclusive</t>
        </is>
      </c>
      <c r="I774" s="29" t="n">
        <v>38</v>
      </c>
      <c r="J774" s="27" t="inlineStr">
        <is>
          <t>Inclusive</t>
        </is>
      </c>
      <c r="K774" s="29" t="n">
        <v>60</v>
      </c>
      <c r="L774" s="29" t="n">
        <v>0</v>
      </c>
      <c r="M774" s="33" t="n">
        <v>1</v>
      </c>
      <c r="N774" s="27" t="inlineStr">
        <is>
          <t>Yes</t>
        </is>
      </c>
      <c r="O774" s="29" t="n">
        <v>0</v>
      </c>
      <c r="P774" s="30" t="n">
        <v>450</v>
      </c>
      <c r="Q774" s="31" t="inlineStr">
        <is>
          <t>In Stock</t>
        </is>
      </c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5" customHeight="1" s="85">
      <c r="A775" s="27" t="inlineStr">
        <is>
          <t>NIRAPARA IDLI PODI 500GM</t>
        </is>
      </c>
      <c r="B775" s="27" t="n"/>
      <c r="C775" s="27" t="inlineStr">
        <is>
          <t>Grains &amp; Flours</t>
        </is>
      </c>
      <c r="D775" s="28" t="inlineStr">
        <is>
          <t>8904010630160</t>
        </is>
      </c>
      <c r="E775" s="27" t="n"/>
      <c r="F775" s="29" t="n">
        <v>0</v>
      </c>
      <c r="G775" s="29" t="n">
        <v>85</v>
      </c>
      <c r="H775" s="27" t="inlineStr">
        <is>
          <t>Inclusive</t>
        </is>
      </c>
      <c r="I775" s="29" t="n">
        <v>78</v>
      </c>
      <c r="J775" s="27" t="inlineStr">
        <is>
          <t>Inclusive</t>
        </is>
      </c>
      <c r="K775" s="29" t="n">
        <v>87</v>
      </c>
      <c r="L775" s="29" t="n">
        <v>8</v>
      </c>
      <c r="M775" s="33" t="n">
        <v>1</v>
      </c>
      <c r="N775" s="27" t="inlineStr">
        <is>
          <t>Yes</t>
        </is>
      </c>
      <c r="O775" s="29" t="n">
        <v>0</v>
      </c>
      <c r="P775" s="30" t="n">
        <v>450</v>
      </c>
      <c r="Q775" s="31" t="inlineStr">
        <is>
          <t>In Stock</t>
        </is>
      </c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5" customHeight="1" s="85">
      <c r="A776" s="27" t="inlineStr">
        <is>
          <t>NIRAPARA MEAT MASALA 100GM</t>
        </is>
      </c>
      <c r="B776" s="27" t="n"/>
      <c r="C776" s="27" t="inlineStr">
        <is>
          <t>Masalas &amp; Spices</t>
        </is>
      </c>
      <c r="D776" s="28" t="inlineStr">
        <is>
          <t>8904010690164</t>
        </is>
      </c>
      <c r="E776" s="27" t="n"/>
      <c r="F776" s="29" t="n">
        <v>0</v>
      </c>
      <c r="G776" s="29" t="n">
        <v>62</v>
      </c>
      <c r="H776" s="27" t="inlineStr">
        <is>
          <t>Inclusive</t>
        </is>
      </c>
      <c r="I776" s="29" t="n">
        <v>39</v>
      </c>
      <c r="J776" s="27" t="inlineStr">
        <is>
          <t>Inclusive</t>
        </is>
      </c>
      <c r="K776" s="29" t="n">
        <v>0</v>
      </c>
      <c r="L776" s="29" t="n">
        <v>0</v>
      </c>
      <c r="M776" s="33" t="n">
        <v>1</v>
      </c>
      <c r="N776" s="27" t="inlineStr">
        <is>
          <t>Yes</t>
        </is>
      </c>
      <c r="O776" s="29" t="n">
        <v>0</v>
      </c>
      <c r="P776" s="30" t="n">
        <v>450</v>
      </c>
      <c r="Q776" s="31" t="inlineStr">
        <is>
          <t>In Stock</t>
        </is>
      </c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5" customHeight="1" s="85">
      <c r="A777" s="27" t="inlineStr">
        <is>
          <t>NIRAPARA MUTTON MASALA 100GM</t>
        </is>
      </c>
      <c r="B777" s="27" t="n"/>
      <c r="C777" s="27" t="inlineStr">
        <is>
          <t>Masalas &amp; Spices</t>
        </is>
      </c>
      <c r="D777" s="28" t="inlineStr">
        <is>
          <t>8904010692304</t>
        </is>
      </c>
      <c r="E777" s="27" t="n"/>
      <c r="F777" s="29" t="n">
        <v>0</v>
      </c>
      <c r="G777" s="29" t="n">
        <v>60</v>
      </c>
      <c r="H777" s="27" t="inlineStr">
        <is>
          <t>Exclusive</t>
        </is>
      </c>
      <c r="I777" s="29" t="n">
        <v>38</v>
      </c>
      <c r="J777" s="27" t="inlineStr">
        <is>
          <t>Exclusive</t>
        </is>
      </c>
      <c r="K777" s="29" t="n">
        <v>60</v>
      </c>
      <c r="L777" s="29" t="n">
        <v>0</v>
      </c>
      <c r="M777" s="33" t="n">
        <v>1</v>
      </c>
      <c r="N777" s="27" t="inlineStr">
        <is>
          <t>Yes</t>
        </is>
      </c>
      <c r="O777" s="29" t="n">
        <v>0</v>
      </c>
      <c r="P777" s="30" t="n">
        <v>450</v>
      </c>
      <c r="Q777" s="31" t="inlineStr">
        <is>
          <t>In Stock</t>
        </is>
      </c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5" customHeight="1" s="85">
      <c r="A778" s="27" t="inlineStr">
        <is>
          <t>NIRAPARA PICKLE POWDER 100GM</t>
        </is>
      </c>
      <c r="B778" s="27" t="n"/>
      <c r="C778" s="27" t="inlineStr">
        <is>
          <t>Masalas &amp; Spices</t>
        </is>
      </c>
      <c r="D778" s="28" t="inlineStr">
        <is>
          <t>8904010690140</t>
        </is>
      </c>
      <c r="E778" s="27" t="n"/>
      <c r="F778" s="29" t="n">
        <v>0</v>
      </c>
      <c r="G778" s="29" t="n">
        <v>61</v>
      </c>
      <c r="H778" s="27" t="inlineStr">
        <is>
          <t>Exclusive</t>
        </is>
      </c>
      <c r="I778" s="29" t="n">
        <v>40</v>
      </c>
      <c r="J778" s="27" t="inlineStr">
        <is>
          <t>Exclusive</t>
        </is>
      </c>
      <c r="K778" s="29" t="n">
        <v>61</v>
      </c>
      <c r="L778" s="29" t="n">
        <v>0</v>
      </c>
      <c r="M778" s="33" t="n">
        <v>1</v>
      </c>
      <c r="N778" s="27" t="inlineStr">
        <is>
          <t>Yes</t>
        </is>
      </c>
      <c r="O778" s="29" t="n">
        <v>0</v>
      </c>
      <c r="P778" s="30" t="n">
        <v>450</v>
      </c>
      <c r="Q778" s="31" t="inlineStr">
        <is>
          <t>In Stock</t>
        </is>
      </c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5" customHeight="1" s="85">
      <c r="A779" s="27" t="inlineStr">
        <is>
          <t>NIRAPARA PUTTU PODI WHITE 1KG</t>
        </is>
      </c>
      <c r="B779" s="27" t="n"/>
      <c r="C779" s="27" t="inlineStr">
        <is>
          <t>Grains &amp; Flours</t>
        </is>
      </c>
      <c r="D779" s="28" t="inlineStr">
        <is>
          <t>8904010630016</t>
        </is>
      </c>
      <c r="E779" s="27" t="n"/>
      <c r="F779" s="29" t="n">
        <v>0</v>
      </c>
      <c r="G779" s="29" t="n">
        <v>128</v>
      </c>
      <c r="H779" s="27" t="inlineStr">
        <is>
          <t>Inclusive</t>
        </is>
      </c>
      <c r="I779" s="29" t="n">
        <v>118</v>
      </c>
      <c r="J779" s="27" t="inlineStr">
        <is>
          <t>Inclusive</t>
        </is>
      </c>
      <c r="K779" s="29" t="n">
        <v>128</v>
      </c>
      <c r="L779" s="29" t="n">
        <v>0</v>
      </c>
      <c r="M779" s="33" t="n">
        <v>1</v>
      </c>
      <c r="N779" s="27" t="inlineStr">
        <is>
          <t>Yes</t>
        </is>
      </c>
      <c r="O779" s="29" t="n">
        <v>0</v>
      </c>
      <c r="P779" s="30" t="n">
        <v>450</v>
      </c>
      <c r="Q779" s="31" t="inlineStr">
        <is>
          <t>In Stock</t>
        </is>
      </c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5" customHeight="1" s="85">
      <c r="A780" s="27" t="inlineStr">
        <is>
          <t>NIRAPARA RAGI PUTTU PODI 500GM</t>
        </is>
      </c>
      <c r="B780" s="27" t="n"/>
      <c r="C780" s="27" t="inlineStr">
        <is>
          <t>Grains &amp; Flours</t>
        </is>
      </c>
      <c r="D780" s="28" t="inlineStr">
        <is>
          <t>8904010640121</t>
        </is>
      </c>
      <c r="E780" s="27" t="n"/>
      <c r="F780" s="29" t="n">
        <v>0</v>
      </c>
      <c r="G780" s="29" t="n">
        <v>75</v>
      </c>
      <c r="H780" s="27" t="inlineStr">
        <is>
          <t>Exclusive</t>
        </is>
      </c>
      <c r="I780" s="29" t="n">
        <v>65</v>
      </c>
      <c r="J780" s="27" t="inlineStr">
        <is>
          <t>Exclusive</t>
        </is>
      </c>
      <c r="K780" s="29" t="n">
        <v>75</v>
      </c>
      <c r="L780" s="29" t="n">
        <v>0</v>
      </c>
      <c r="M780" s="33" t="n">
        <v>1</v>
      </c>
      <c r="N780" s="27" t="inlineStr">
        <is>
          <t>Yes</t>
        </is>
      </c>
      <c r="O780" s="29" t="n">
        <v>0</v>
      </c>
      <c r="P780" s="30" t="n">
        <v>450</v>
      </c>
      <c r="Q780" s="31" t="inlineStr">
        <is>
          <t>In Stock</t>
        </is>
      </c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5" customHeight="1" s="85">
      <c r="A781" s="27" t="inlineStr">
        <is>
          <t>NIRAPARA SAMBAR POWDER</t>
        </is>
      </c>
      <c r="B781" s="27" t="n"/>
      <c r="C781" s="27" t="inlineStr">
        <is>
          <t>Masalas &amp; Spices</t>
        </is>
      </c>
      <c r="D781" s="28" t="inlineStr">
        <is>
          <t>8904010690126</t>
        </is>
      </c>
      <c r="E781" s="27" t="n"/>
      <c r="F781" s="29" t="n">
        <v>0</v>
      </c>
      <c r="G781" s="29" t="n">
        <v>55</v>
      </c>
      <c r="H781" s="27" t="inlineStr">
        <is>
          <t>Inclusive</t>
        </is>
      </c>
      <c r="I781" s="29" t="n">
        <v>35</v>
      </c>
      <c r="J781" s="27" t="inlineStr">
        <is>
          <t>Inclusive</t>
        </is>
      </c>
      <c r="K781" s="29" t="n">
        <v>55</v>
      </c>
      <c r="L781" s="29" t="n">
        <v>0</v>
      </c>
      <c r="M781" s="33" t="n">
        <v>1</v>
      </c>
      <c r="N781" s="27" t="inlineStr">
        <is>
          <t>Yes</t>
        </is>
      </c>
      <c r="O781" s="29" t="n">
        <v>0</v>
      </c>
      <c r="P781" s="30" t="n">
        <v>450</v>
      </c>
      <c r="Q781" s="31" t="inlineStr">
        <is>
          <t>In Stock</t>
        </is>
      </c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5" customHeight="1" s="85">
      <c r="A782" s="27" t="inlineStr">
        <is>
          <t>NIRAPARA WHITE PUTTU PODI 500GM</t>
        </is>
      </c>
      <c r="B782" s="27" t="n"/>
      <c r="C782" s="27" t="inlineStr">
        <is>
          <t>Grains &amp; Flours</t>
        </is>
      </c>
      <c r="D782" s="28" t="inlineStr">
        <is>
          <t>8904010630009</t>
        </is>
      </c>
      <c r="E782" s="27" t="n"/>
      <c r="F782" s="29" t="n">
        <v>0</v>
      </c>
      <c r="G782" s="29" t="n">
        <v>76</v>
      </c>
      <c r="H782" s="27" t="inlineStr">
        <is>
          <t>Exclusive</t>
        </is>
      </c>
      <c r="I782" s="29" t="n">
        <v>65</v>
      </c>
      <c r="J782" s="27" t="inlineStr">
        <is>
          <t>Exclusive</t>
        </is>
      </c>
      <c r="K782" s="29" t="n">
        <v>70</v>
      </c>
      <c r="L782" s="29" t="n">
        <v>5</v>
      </c>
      <c r="M782" s="33" t="n">
        <v>1</v>
      </c>
      <c r="N782" s="27" t="inlineStr">
        <is>
          <t>Yes</t>
        </is>
      </c>
      <c r="O782" s="29" t="n">
        <v>0</v>
      </c>
      <c r="P782" s="30" t="n">
        <v>450</v>
      </c>
      <c r="Q782" s="31" t="inlineStr">
        <is>
          <t>In Stock</t>
        </is>
      </c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5" customHeight="1" s="85">
      <c r="A783" s="27" t="inlineStr">
        <is>
          <t>NIRMAL JAYA RICE 5KG</t>
        </is>
      </c>
      <c r="B783" s="27" t="n"/>
      <c r="C783" s="27" t="inlineStr">
        <is>
          <t>Rice Items</t>
        </is>
      </c>
      <c r="D783" s="28" t="inlineStr">
        <is>
          <t>8908001010665</t>
        </is>
      </c>
      <c r="E783" s="27" t="n"/>
      <c r="F783" s="29" t="n">
        <v>0</v>
      </c>
      <c r="G783" s="29" t="n">
        <v>420</v>
      </c>
      <c r="H783" s="27" t="inlineStr">
        <is>
          <t>Exclusive</t>
        </is>
      </c>
      <c r="I783" s="29" t="n">
        <v>380</v>
      </c>
      <c r="J783" s="27" t="inlineStr">
        <is>
          <t>Exclusive</t>
        </is>
      </c>
      <c r="K783" s="29" t="n">
        <v>475</v>
      </c>
      <c r="L783" s="29" t="n">
        <v>0</v>
      </c>
      <c r="M783" s="33" t="n">
        <v>1</v>
      </c>
      <c r="N783" s="27" t="inlineStr">
        <is>
          <t>Yes</t>
        </is>
      </c>
      <c r="O783" s="29" t="n">
        <v>0</v>
      </c>
      <c r="P783" s="30" t="n">
        <v>450</v>
      </c>
      <c r="Q783" s="31" t="inlineStr">
        <is>
          <t>In Stock</t>
        </is>
      </c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5" customHeight="1" s="85">
      <c r="A784" s="27" t="inlineStr">
        <is>
          <t>NIRMAL TAMARIND 200GM</t>
        </is>
      </c>
      <c r="B784" s="27" t="n"/>
      <c r="C784" s="27" t="inlineStr">
        <is>
          <t>Masalas &amp; Spices</t>
        </is>
      </c>
      <c r="D784" s="32" t="inlineStr">
        <is>
          <t>100288</t>
        </is>
      </c>
      <c r="E784" s="27" t="n"/>
      <c r="F784" s="29" t="n">
        <v>0</v>
      </c>
      <c r="G784" s="29" t="n">
        <v>38</v>
      </c>
      <c r="H784" s="27" t="inlineStr">
        <is>
          <t>Inclusive</t>
        </is>
      </c>
      <c r="I784" s="29" t="n">
        <v>42</v>
      </c>
      <c r="J784" s="27" t="inlineStr">
        <is>
          <t>Inclusive</t>
        </is>
      </c>
      <c r="K784" s="29" t="n">
        <v>0</v>
      </c>
      <c r="L784" s="29" t="n">
        <v>1</v>
      </c>
      <c r="M784" s="33" t="n">
        <v>1</v>
      </c>
      <c r="N784" s="27" t="inlineStr">
        <is>
          <t>Yes</t>
        </is>
      </c>
      <c r="O784" s="29" t="n">
        <v>0</v>
      </c>
      <c r="P784" s="30" t="n">
        <v>450</v>
      </c>
      <c r="Q784" s="31" t="inlineStr">
        <is>
          <t>In Stock</t>
        </is>
      </c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5" customHeight="1" s="85">
      <c r="A785" s="27" t="inlineStr">
        <is>
          <t>NIRMAL TAMARIND 500GM</t>
        </is>
      </c>
      <c r="B785" s="27" t="n"/>
      <c r="C785" s="27" t="inlineStr">
        <is>
          <t>Masalas &amp; Spices</t>
        </is>
      </c>
      <c r="D785" s="28" t="inlineStr">
        <is>
          <t>8908024139596</t>
        </is>
      </c>
      <c r="E785" s="27" t="n"/>
      <c r="F785" s="29" t="n">
        <v>0</v>
      </c>
      <c r="G785" s="29" t="n">
        <v>95</v>
      </c>
      <c r="H785" s="27" t="inlineStr">
        <is>
          <t>Inclusive</t>
        </is>
      </c>
      <c r="I785" s="29" t="n">
        <v>90</v>
      </c>
      <c r="J785" s="27" t="inlineStr">
        <is>
          <t>Inclusive</t>
        </is>
      </c>
      <c r="K785" s="29" t="n">
        <v>95</v>
      </c>
      <c r="L785" s="29" t="n">
        <v>0</v>
      </c>
      <c r="M785" s="33" t="n">
        <v>1</v>
      </c>
      <c r="N785" s="27" t="inlineStr">
        <is>
          <t>Yes</t>
        </is>
      </c>
      <c r="O785" s="29" t="n">
        <v>0</v>
      </c>
      <c r="P785" s="30" t="n">
        <v>450</v>
      </c>
      <c r="Q785" s="31" t="inlineStr">
        <is>
          <t>In Stock</t>
        </is>
      </c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5" customHeight="1" s="85">
      <c r="A786" s="27" t="inlineStr">
        <is>
          <t>NIRMAL UNDA JAGGERY SHARKARA 1KG</t>
        </is>
      </c>
      <c r="B786" s="27" t="n"/>
      <c r="C786" s="27" t="inlineStr">
        <is>
          <t>Ready to Eat &amp; Mixes</t>
        </is>
      </c>
      <c r="D786" s="28" t="inlineStr">
        <is>
          <t>8908019830552</t>
        </is>
      </c>
      <c r="E786" s="27" t="n"/>
      <c r="F786" s="29" t="n">
        <v>0</v>
      </c>
      <c r="G786" s="29" t="n">
        <v>125</v>
      </c>
      <c r="H786" s="27" t="inlineStr">
        <is>
          <t>Exclusive</t>
        </is>
      </c>
      <c r="I786" s="29" t="n">
        <v>130</v>
      </c>
      <c r="J786" s="27" t="inlineStr">
        <is>
          <t>Exclusive</t>
        </is>
      </c>
      <c r="K786" s="29" t="n">
        <v>125</v>
      </c>
      <c r="L786" s="29" t="n">
        <v>11</v>
      </c>
      <c r="M786" s="33" t="n">
        <v>1</v>
      </c>
      <c r="N786" s="27" t="inlineStr">
        <is>
          <t>Yes</t>
        </is>
      </c>
      <c r="O786" s="29" t="n">
        <v>0</v>
      </c>
      <c r="P786" s="30" t="n">
        <v>450</v>
      </c>
      <c r="Q786" s="31" t="inlineStr">
        <is>
          <t>In Stock</t>
        </is>
      </c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5" customHeight="1" s="85">
      <c r="A787" s="27" t="inlineStr">
        <is>
          <t>NIRMAL UNDA RICE 10KG</t>
        </is>
      </c>
      <c r="B787" s="27" t="n"/>
      <c r="C787" s="27" t="inlineStr">
        <is>
          <t>Rice Items</t>
        </is>
      </c>
      <c r="D787" s="28" t="inlineStr">
        <is>
          <t>8908001010733</t>
        </is>
      </c>
      <c r="E787" s="27" t="n"/>
      <c r="F787" s="29" t="n">
        <v>0</v>
      </c>
      <c r="G787" s="29" t="n">
        <v>950</v>
      </c>
      <c r="H787" s="27" t="inlineStr">
        <is>
          <t>Exclusive</t>
        </is>
      </c>
      <c r="I787" s="29" t="n">
        <v>830</v>
      </c>
      <c r="J787" s="27" t="inlineStr">
        <is>
          <t>Exclusive</t>
        </is>
      </c>
      <c r="K787" s="29" t="n">
        <v>950</v>
      </c>
      <c r="L787" s="29" t="n">
        <v>0</v>
      </c>
      <c r="M787" s="33" t="n">
        <v>1</v>
      </c>
      <c r="N787" s="27" t="inlineStr">
        <is>
          <t>Yes</t>
        </is>
      </c>
      <c r="O787" s="29" t="n">
        <v>0</v>
      </c>
      <c r="P787" s="30" t="n">
        <v>450</v>
      </c>
      <c r="Q787" s="31" t="inlineStr">
        <is>
          <t>In Stock</t>
        </is>
      </c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5" customHeight="1" s="85">
      <c r="A788" s="27" t="inlineStr">
        <is>
          <t>NIRMAL UNDA RICE 5KG</t>
        </is>
      </c>
      <c r="B788" s="27" t="n"/>
      <c r="C788" s="27" t="inlineStr">
        <is>
          <t>Rice Items</t>
        </is>
      </c>
      <c r="D788" s="28" t="inlineStr">
        <is>
          <t>8908001010726</t>
        </is>
      </c>
      <c r="E788" s="27" t="n"/>
      <c r="F788" s="29" t="n">
        <v>0</v>
      </c>
      <c r="G788" s="29" t="n">
        <v>420</v>
      </c>
      <c r="H788" s="27" t="inlineStr">
        <is>
          <t>Inclusive</t>
        </is>
      </c>
      <c r="I788" s="29" t="n">
        <v>380</v>
      </c>
      <c r="J788" s="27" t="inlineStr">
        <is>
          <t>Inclusive</t>
        </is>
      </c>
      <c r="K788" s="29" t="n">
        <v>420</v>
      </c>
      <c r="L788" s="29" t="n">
        <v>6</v>
      </c>
      <c r="M788" s="33" t="n">
        <v>1</v>
      </c>
      <c r="N788" s="27" t="inlineStr">
        <is>
          <t>Yes</t>
        </is>
      </c>
      <c r="O788" s="29" t="n">
        <v>0</v>
      </c>
      <c r="P788" s="30" t="n">
        <v>450</v>
      </c>
      <c r="Q788" s="31" t="inlineStr">
        <is>
          <t>In Stock</t>
        </is>
      </c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5" customHeight="1" s="85">
      <c r="A789" s="27" t="inlineStr">
        <is>
          <t>NIRMAL VADI RICE 10KG</t>
        </is>
      </c>
      <c r="B789" s="27" t="n"/>
      <c r="C789" s="27" t="inlineStr">
        <is>
          <t>Rice Items</t>
        </is>
      </c>
      <c r="D789" s="28" t="inlineStr">
        <is>
          <t>8908001010696</t>
        </is>
      </c>
      <c r="E789" s="27" t="n"/>
      <c r="F789" s="29" t="n">
        <v>0</v>
      </c>
      <c r="G789" s="29" t="n">
        <v>900</v>
      </c>
      <c r="H789" s="27" t="inlineStr">
        <is>
          <t>Inclusive</t>
        </is>
      </c>
      <c r="I789" s="29" t="n">
        <v>865</v>
      </c>
      <c r="J789" s="27" t="inlineStr">
        <is>
          <t>Inclusive</t>
        </is>
      </c>
      <c r="K789" s="29" t="n">
        <v>950</v>
      </c>
      <c r="L789" s="29" t="n">
        <v>0</v>
      </c>
      <c r="M789" s="33" t="n">
        <v>1</v>
      </c>
      <c r="N789" s="27" t="inlineStr">
        <is>
          <t>Yes</t>
        </is>
      </c>
      <c r="O789" s="29" t="n">
        <v>0</v>
      </c>
      <c r="P789" s="30" t="n">
        <v>450</v>
      </c>
      <c r="Q789" s="31" t="inlineStr">
        <is>
          <t>In Stock</t>
        </is>
      </c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5" customHeight="1" s="85">
      <c r="A790" s="27" t="inlineStr">
        <is>
          <t>NIRMAL VADI RICE 5KG</t>
        </is>
      </c>
      <c r="B790" s="27" t="n"/>
      <c r="C790" s="27" t="inlineStr">
        <is>
          <t>Rice Items</t>
        </is>
      </c>
      <c r="D790" s="28" t="inlineStr">
        <is>
          <t>8908001010689</t>
        </is>
      </c>
      <c r="E790" s="27" t="n"/>
      <c r="F790" s="29" t="n">
        <v>0</v>
      </c>
      <c r="G790" s="29" t="n">
        <v>460</v>
      </c>
      <c r="H790" s="27" t="inlineStr">
        <is>
          <t>Inclusive</t>
        </is>
      </c>
      <c r="I790" s="29" t="n">
        <v>435</v>
      </c>
      <c r="J790" s="27" t="inlineStr">
        <is>
          <t>Inclusive</t>
        </is>
      </c>
      <c r="K790" s="29" t="n">
        <v>480</v>
      </c>
      <c r="L790" s="29" t="n">
        <v>0</v>
      </c>
      <c r="M790" s="33" t="n">
        <v>1</v>
      </c>
      <c r="N790" s="27" t="inlineStr">
        <is>
          <t>Yes</t>
        </is>
      </c>
      <c r="O790" s="29" t="n">
        <v>0</v>
      </c>
      <c r="P790" s="30" t="n">
        <v>450</v>
      </c>
      <c r="Q790" s="31" t="inlineStr">
        <is>
          <t>In Stock</t>
        </is>
      </c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5" customHeight="1" s="85">
      <c r="A791" s="27" t="inlineStr">
        <is>
          <t>NIV RYRIE STUDY BIBLES</t>
        </is>
      </c>
      <c r="B791" s="27" t="n"/>
      <c r="C791" s="27" t="inlineStr">
        <is>
          <t>Books &amp; Bibles</t>
        </is>
      </c>
      <c r="D791" s="28" t="inlineStr">
        <is>
          <t>511012154012</t>
        </is>
      </c>
      <c r="E791" s="27" t="n"/>
      <c r="F791" s="29" t="n">
        <v>0</v>
      </c>
      <c r="G791" s="29" t="n">
        <v>2550</v>
      </c>
      <c r="H791" s="27" t="inlineStr">
        <is>
          <t>Exclusive</t>
        </is>
      </c>
      <c r="I791" s="29" t="n">
        <v>1250</v>
      </c>
      <c r="J791" s="27" t="inlineStr">
        <is>
          <t>Exclusive</t>
        </is>
      </c>
      <c r="K791" s="29" t="n">
        <v>2550</v>
      </c>
      <c r="L791" s="29" t="n">
        <v>3</v>
      </c>
      <c r="M791" s="33" t="n">
        <v>1</v>
      </c>
      <c r="N791" s="27" t="inlineStr">
        <is>
          <t>Yes</t>
        </is>
      </c>
      <c r="O791" s="29" t="n">
        <v>0</v>
      </c>
      <c r="P791" s="30" t="n">
        <v>450</v>
      </c>
      <c r="Q791" s="31" t="inlineStr">
        <is>
          <t>In Stock</t>
        </is>
      </c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5" customHeight="1" s="85">
      <c r="A792" s="27" t="inlineStr">
        <is>
          <t>NJARAMBENNA 90GM</t>
        </is>
      </c>
      <c r="B792" s="27" t="n"/>
      <c r="C792" s="27" t="inlineStr">
        <is>
          <t>Healthcare Items</t>
        </is>
      </c>
      <c r="D792" s="28" t="inlineStr">
        <is>
          <t>395632506151</t>
        </is>
      </c>
      <c r="E792" s="27" t="n"/>
      <c r="F792" s="29" t="n">
        <v>0</v>
      </c>
      <c r="G792" s="29" t="n">
        <v>141</v>
      </c>
      <c r="H792" s="27" t="inlineStr">
        <is>
          <t>Inclusive</t>
        </is>
      </c>
      <c r="I792" s="29" t="n">
        <v>115</v>
      </c>
      <c r="J792" s="27" t="inlineStr">
        <is>
          <t>Inclusive</t>
        </is>
      </c>
      <c r="K792" s="29" t="n">
        <v>141</v>
      </c>
      <c r="L792" s="29" t="n">
        <v>0</v>
      </c>
      <c r="M792" s="33" t="n">
        <v>1</v>
      </c>
      <c r="N792" s="27" t="inlineStr">
        <is>
          <t>No</t>
        </is>
      </c>
      <c r="O792" s="29" t="n">
        <v>0</v>
      </c>
      <c r="P792" s="30" t="n">
        <v>450</v>
      </c>
      <c r="Q792" s="31" t="inlineStr">
        <is>
          <t>In Stock</t>
        </is>
      </c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5" customHeight="1" s="85">
      <c r="A793" s="27" t="inlineStr">
        <is>
          <t>NKJV ENGLISH BIBLE</t>
        </is>
      </c>
      <c r="B793" s="27" t="n"/>
      <c r="C793" s="27" t="inlineStr">
        <is>
          <t>Books &amp; Bibles</t>
        </is>
      </c>
      <c r="D793" s="32" t="inlineStr">
        <is>
          <t>100290</t>
        </is>
      </c>
      <c r="E793" s="27" t="n"/>
      <c r="F793" s="29" t="n">
        <v>0</v>
      </c>
      <c r="G793" s="29" t="n">
        <v>500</v>
      </c>
      <c r="H793" s="27" t="inlineStr">
        <is>
          <t>Exclusive</t>
        </is>
      </c>
      <c r="I793" s="29" t="n">
        <v>280</v>
      </c>
      <c r="J793" s="27" t="inlineStr">
        <is>
          <t>Exclusive</t>
        </is>
      </c>
      <c r="K793" s="29" t="n">
        <v>600</v>
      </c>
      <c r="L793" s="29" t="n">
        <v>10</v>
      </c>
      <c r="M793" s="33" t="n">
        <v>1</v>
      </c>
      <c r="N793" s="27" t="inlineStr">
        <is>
          <t>Yes</t>
        </is>
      </c>
      <c r="O793" s="29" t="n">
        <v>0</v>
      </c>
      <c r="P793" s="30" t="n">
        <v>450</v>
      </c>
      <c r="Q793" s="31" t="inlineStr">
        <is>
          <t>In Stock</t>
        </is>
      </c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5" customHeight="1" s="85">
      <c r="A794" s="27" t="inlineStr">
        <is>
          <t>NON-STICK APPAM CHATTI</t>
        </is>
      </c>
      <c r="B794" s="27" t="n"/>
      <c r="C794" s="27" t="inlineStr">
        <is>
          <t>Kitchen Utensils</t>
        </is>
      </c>
      <c r="D794" s="28" t="inlineStr">
        <is>
          <t>522861399813</t>
        </is>
      </c>
      <c r="E794" s="27" t="n"/>
      <c r="F794" s="29" t="n">
        <v>0</v>
      </c>
      <c r="G794" s="29" t="n">
        <v>750</v>
      </c>
      <c r="H794" s="27" t="inlineStr">
        <is>
          <t>Inclusive</t>
        </is>
      </c>
      <c r="I794" s="29" t="n">
        <v>470</v>
      </c>
      <c r="J794" s="27" t="inlineStr">
        <is>
          <t>Inclusive</t>
        </is>
      </c>
      <c r="K794" s="29" t="n">
        <v>795</v>
      </c>
      <c r="L794" s="29" t="n">
        <v>0</v>
      </c>
      <c r="M794" s="33" t="n">
        <v>1</v>
      </c>
      <c r="N794" s="27" t="inlineStr">
        <is>
          <t>Yes</t>
        </is>
      </c>
      <c r="O794" s="29" t="n">
        <v>0</v>
      </c>
      <c r="P794" s="30" t="n">
        <v>450</v>
      </c>
      <c r="Q794" s="31" t="inlineStr">
        <is>
          <t>In Stock</t>
        </is>
      </c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5" customHeight="1" s="85">
      <c r="A795" s="27" t="inlineStr">
        <is>
          <t>NRK DESSICATED COCONUT POWDER 200GM</t>
        </is>
      </c>
      <c r="B795" s="27" t="n"/>
      <c r="C795" s="27" t="inlineStr">
        <is>
          <t>Ready to Eat &amp; Mixes</t>
        </is>
      </c>
      <c r="D795" s="28" t="inlineStr">
        <is>
          <t>8906180280091</t>
        </is>
      </c>
      <c r="E795" s="27" t="n"/>
      <c r="F795" s="29" t="n">
        <v>0</v>
      </c>
      <c r="G795" s="29" t="n">
        <v>130</v>
      </c>
      <c r="H795" s="27" t="inlineStr">
        <is>
          <t>Exclusive</t>
        </is>
      </c>
      <c r="I795" s="29" t="n">
        <v>110</v>
      </c>
      <c r="J795" s="27" t="inlineStr">
        <is>
          <t>Exclusive</t>
        </is>
      </c>
      <c r="K795" s="29" t="n">
        <v>130</v>
      </c>
      <c r="L795" s="29" t="n">
        <v>0</v>
      </c>
      <c r="M795" s="33" t="n">
        <v>1</v>
      </c>
      <c r="N795" s="27" t="inlineStr">
        <is>
          <t>Yes</t>
        </is>
      </c>
      <c r="O795" s="29" t="n">
        <v>0</v>
      </c>
      <c r="P795" s="30" t="n">
        <v>450</v>
      </c>
      <c r="Q795" s="31" t="inlineStr">
        <is>
          <t>In Stock</t>
        </is>
      </c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5" customHeight="1" s="85">
      <c r="A796" s="27" t="inlineStr">
        <is>
          <t>NS KATTA KAYAM 50GM</t>
        </is>
      </c>
      <c r="B796" s="27" t="n"/>
      <c r="C796" s="27" t="inlineStr">
        <is>
          <t>Masalas &amp; Spices</t>
        </is>
      </c>
      <c r="D796" s="32" t="inlineStr">
        <is>
          <t>100292</t>
        </is>
      </c>
      <c r="E796" s="27" t="n"/>
      <c r="F796" s="29" t="n">
        <v>0</v>
      </c>
      <c r="G796" s="29" t="n">
        <v>89</v>
      </c>
      <c r="H796" s="27" t="inlineStr">
        <is>
          <t>Exclusive</t>
        </is>
      </c>
      <c r="I796" s="29" t="n">
        <v>65</v>
      </c>
      <c r="J796" s="27" t="inlineStr">
        <is>
          <t>Exclusive</t>
        </is>
      </c>
      <c r="K796" s="29" t="n">
        <v>0</v>
      </c>
      <c r="L796" s="29" t="n">
        <v>3</v>
      </c>
      <c r="M796" s="33" t="n">
        <v>1</v>
      </c>
      <c r="N796" s="27" t="inlineStr">
        <is>
          <t>Yes</t>
        </is>
      </c>
      <c r="O796" s="29" t="n">
        <v>0</v>
      </c>
      <c r="P796" s="30" t="n">
        <v>450</v>
      </c>
      <c r="Q796" s="31" t="inlineStr">
        <is>
          <t>In Stock</t>
        </is>
      </c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5" customHeight="1" s="85">
      <c r="A797" s="27" t="inlineStr">
        <is>
          <t>NS KAYAM PODI 50GM</t>
        </is>
      </c>
      <c r="B797" s="27" t="n"/>
      <c r="C797" s="27" t="inlineStr">
        <is>
          <t>Masalas &amp; Spices</t>
        </is>
      </c>
      <c r="D797" s="28" t="inlineStr">
        <is>
          <t>8906002559978</t>
        </is>
      </c>
      <c r="E797" s="27" t="n"/>
      <c r="F797" s="29" t="n">
        <v>0</v>
      </c>
      <c r="G797" s="29" t="n">
        <v>97</v>
      </c>
      <c r="H797" s="27" t="inlineStr">
        <is>
          <t>Exclusive</t>
        </is>
      </c>
      <c r="I797" s="29" t="n">
        <v>71</v>
      </c>
      <c r="J797" s="27" t="inlineStr">
        <is>
          <t>Exclusive</t>
        </is>
      </c>
      <c r="K797" s="29" t="n">
        <v>97</v>
      </c>
      <c r="L797" s="29" t="n">
        <v>0</v>
      </c>
      <c r="M797" s="33" t="n">
        <v>1</v>
      </c>
      <c r="N797" s="27" t="inlineStr">
        <is>
          <t>Yes</t>
        </is>
      </c>
      <c r="O797" s="29" t="n">
        <v>0</v>
      </c>
      <c r="P797" s="30" t="n">
        <v>450</v>
      </c>
      <c r="Q797" s="31" t="inlineStr">
        <is>
          <t>In Stock</t>
        </is>
      </c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5" customHeight="1" s="85">
      <c r="A798" s="27" t="inlineStr">
        <is>
          <t>NS RICE ADA 200GM</t>
        </is>
      </c>
      <c r="B798" s="27" t="n"/>
      <c r="C798" s="27" t="inlineStr">
        <is>
          <t>Grains &amp; Flours</t>
        </is>
      </c>
      <c r="D798" s="28" t="inlineStr">
        <is>
          <t>8908000790018</t>
        </is>
      </c>
      <c r="E798" s="27" t="n"/>
      <c r="F798" s="29" t="n">
        <v>0</v>
      </c>
      <c r="G798" s="29" t="n">
        <v>70</v>
      </c>
      <c r="H798" s="27" t="inlineStr">
        <is>
          <t>Exclusive</t>
        </is>
      </c>
      <c r="I798" s="29" t="n">
        <v>38</v>
      </c>
      <c r="J798" s="27" t="inlineStr">
        <is>
          <t>Exclusive</t>
        </is>
      </c>
      <c r="K798" s="29" t="n">
        <v>70</v>
      </c>
      <c r="L798" s="29" t="n">
        <v>3</v>
      </c>
      <c r="M798" s="33" t="n">
        <v>1</v>
      </c>
      <c r="N798" s="27" t="inlineStr">
        <is>
          <t>Yes</t>
        </is>
      </c>
      <c r="O798" s="29" t="n">
        <v>0</v>
      </c>
      <c r="P798" s="30" t="n">
        <v>450</v>
      </c>
      <c r="Q798" s="31" t="inlineStr">
        <is>
          <t>In Stock</t>
        </is>
      </c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5" customHeight="1" s="85">
      <c r="A799" s="27" t="inlineStr">
        <is>
          <t>NT HINDI BIG SIZE</t>
        </is>
      </c>
      <c r="B799" s="27" t="n"/>
      <c r="C799" s="27" t="inlineStr">
        <is>
          <t>Books &amp; Bibles</t>
        </is>
      </c>
      <c r="D799" s="28" t="inlineStr">
        <is>
          <t>564876618063</t>
        </is>
      </c>
      <c r="E799" s="27" t="n"/>
      <c r="F799" s="29" t="n">
        <v>0</v>
      </c>
      <c r="G799" s="29" t="n">
        <v>150</v>
      </c>
      <c r="H799" s="27" t="inlineStr">
        <is>
          <t>Exclusive</t>
        </is>
      </c>
      <c r="I799" s="29" t="n">
        <v>85</v>
      </c>
      <c r="J799" s="27" t="inlineStr">
        <is>
          <t>Exclusive</t>
        </is>
      </c>
      <c r="K799" s="29" t="n">
        <v>170</v>
      </c>
      <c r="L799" s="29" t="n">
        <v>143</v>
      </c>
      <c r="M799" s="33" t="n">
        <v>1</v>
      </c>
      <c r="N799" s="27" t="inlineStr">
        <is>
          <t>Yes</t>
        </is>
      </c>
      <c r="O799" s="29" t="n">
        <v>0</v>
      </c>
      <c r="P799" s="30" t="n">
        <v>450</v>
      </c>
      <c r="Q799" s="31" t="inlineStr">
        <is>
          <t>In Stock</t>
        </is>
      </c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5" customHeight="1" s="85">
      <c r="A800" s="27" t="inlineStr">
        <is>
          <t>OFFERING BAG</t>
        </is>
      </c>
      <c r="B800" s="27" t="n"/>
      <c r="C800" s="27" t="inlineStr">
        <is>
          <t>Church Articles</t>
        </is>
      </c>
      <c r="D800" s="32" t="inlineStr">
        <is>
          <t>100293</t>
        </is>
      </c>
      <c r="E800" s="27" t="n"/>
      <c r="F800" s="29" t="n">
        <v>0</v>
      </c>
      <c r="G800" s="29" t="n">
        <v>200</v>
      </c>
      <c r="H800" s="27" t="inlineStr">
        <is>
          <t>Inclusive</t>
        </is>
      </c>
      <c r="I800" s="29" t="n">
        <v>110</v>
      </c>
      <c r="J800" s="27" t="inlineStr">
        <is>
          <t>Inclusive</t>
        </is>
      </c>
      <c r="K800" s="29" t="n">
        <v>250</v>
      </c>
      <c r="L800" s="29" t="n">
        <v>0</v>
      </c>
      <c r="M800" s="33" t="n">
        <v>1</v>
      </c>
      <c r="N800" s="27" t="inlineStr">
        <is>
          <t>Yes</t>
        </is>
      </c>
      <c r="O800" s="29" t="n">
        <v>0</v>
      </c>
      <c r="P800" s="30" t="n">
        <v>450</v>
      </c>
      <c r="Q800" s="31" t="inlineStr">
        <is>
          <t>In Stock</t>
        </is>
      </c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5" customHeight="1" s="85">
      <c r="A801" s="27" t="inlineStr">
        <is>
          <t>OFFERING BAG 380</t>
        </is>
      </c>
      <c r="B801" s="27" t="n"/>
      <c r="C801" s="27" t="inlineStr">
        <is>
          <t>Church Articles</t>
        </is>
      </c>
      <c r="D801" s="32" t="inlineStr">
        <is>
          <t>100294</t>
        </is>
      </c>
      <c r="E801" s="27" t="n"/>
      <c r="F801" s="29" t="n">
        <v>0</v>
      </c>
      <c r="G801" s="29" t="n">
        <v>380</v>
      </c>
      <c r="H801" s="27" t="inlineStr">
        <is>
          <t>Exclusive</t>
        </is>
      </c>
      <c r="I801" s="29" t="n">
        <v>350</v>
      </c>
      <c r="J801" s="27" t="inlineStr">
        <is>
          <t>Exclusive</t>
        </is>
      </c>
      <c r="K801" s="29" t="n">
        <v>380</v>
      </c>
      <c r="L801" s="29" t="n">
        <v>0</v>
      </c>
      <c r="M801" s="33" t="n">
        <v>1</v>
      </c>
      <c r="N801" s="27" t="inlineStr">
        <is>
          <t>Yes</t>
        </is>
      </c>
      <c r="O801" s="29" t="n">
        <v>0</v>
      </c>
      <c r="P801" s="30" t="n">
        <v>450</v>
      </c>
      <c r="Q801" s="31" t="inlineStr">
        <is>
          <t>In Stock</t>
        </is>
      </c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5" customHeight="1" s="85">
      <c r="A802" s="27" t="inlineStr">
        <is>
          <t>OFFERING BAG 450</t>
        </is>
      </c>
      <c r="B802" s="27" t="n"/>
      <c r="C802" s="27" t="inlineStr">
        <is>
          <t>Church Articles</t>
        </is>
      </c>
      <c r="D802" s="32" t="inlineStr">
        <is>
          <t>100295</t>
        </is>
      </c>
      <c r="E802" s="27" t="n"/>
      <c r="F802" s="29" t="n">
        <v>0</v>
      </c>
      <c r="G802" s="29" t="n">
        <v>450</v>
      </c>
      <c r="H802" s="27" t="inlineStr">
        <is>
          <t>Exclusive</t>
        </is>
      </c>
      <c r="I802" s="29" t="n">
        <v>380</v>
      </c>
      <c r="J802" s="27" t="inlineStr">
        <is>
          <t>Exclusive</t>
        </is>
      </c>
      <c r="K802" s="29" t="n">
        <v>450</v>
      </c>
      <c r="L802" s="29" t="n">
        <v>1</v>
      </c>
      <c r="M802" s="33" t="n">
        <v>1</v>
      </c>
      <c r="N802" s="27" t="inlineStr">
        <is>
          <t>Yes</t>
        </is>
      </c>
      <c r="O802" s="29" t="n">
        <v>0</v>
      </c>
      <c r="P802" s="30" t="n">
        <v>450</v>
      </c>
      <c r="Q802" s="31" t="inlineStr">
        <is>
          <t>In Stock</t>
        </is>
      </c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5" customHeight="1" s="85">
      <c r="A803" s="27" t="inlineStr">
        <is>
          <t>ONA SADHYA KIT</t>
        </is>
      </c>
      <c r="B803" s="27" t="n"/>
      <c r="C803" s="27" t="inlineStr">
        <is>
          <t>Ready to Eat &amp; Mixes</t>
        </is>
      </c>
      <c r="D803" s="28" t="inlineStr">
        <is>
          <t>661056698840</t>
        </is>
      </c>
      <c r="E803" s="27" t="n"/>
      <c r="F803" s="29" t="n">
        <v>0</v>
      </c>
      <c r="G803" s="29" t="n">
        <v>1999</v>
      </c>
      <c r="H803" s="27" t="inlineStr">
        <is>
          <t>Exclusive</t>
        </is>
      </c>
      <c r="I803" s="29" t="n">
        <v>1600</v>
      </c>
      <c r="J803" s="27" t="inlineStr">
        <is>
          <t>Exclusive</t>
        </is>
      </c>
      <c r="K803" s="29" t="n">
        <v>2223</v>
      </c>
      <c r="L803" s="29" t="n">
        <v>0</v>
      </c>
      <c r="M803" s="27" t="n"/>
      <c r="N803" s="27" t="inlineStr">
        <is>
          <t>Yes</t>
        </is>
      </c>
      <c r="O803" s="29" t="n">
        <v>0</v>
      </c>
      <c r="P803" s="30" t="n">
        <v>450</v>
      </c>
      <c r="Q803" s="31" t="inlineStr">
        <is>
          <t>In Stock</t>
        </is>
      </c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5" customHeight="1" s="85">
      <c r="A804" s="27" t="inlineStr">
        <is>
          <t>PAKKAVADA (TASTE OF KERALA)</t>
        </is>
      </c>
      <c r="B804" s="27" t="n"/>
      <c r="C804" s="27" t="inlineStr">
        <is>
          <t>Snacks</t>
        </is>
      </c>
      <c r="D804" s="32" t="inlineStr">
        <is>
          <t>100296</t>
        </is>
      </c>
      <c r="E804" s="27" t="n"/>
      <c r="F804" s="29" t="n">
        <v>0</v>
      </c>
      <c r="G804" s="29" t="n">
        <v>70</v>
      </c>
      <c r="H804" s="27" t="inlineStr">
        <is>
          <t>Inclusive</t>
        </is>
      </c>
      <c r="I804" s="29" t="n">
        <v>40</v>
      </c>
      <c r="J804" s="27" t="inlineStr">
        <is>
          <t>Inclusive</t>
        </is>
      </c>
      <c r="K804" s="29" t="n">
        <v>80</v>
      </c>
      <c r="L804" s="29" t="n">
        <v>0</v>
      </c>
      <c r="M804" s="33" t="n">
        <v>1</v>
      </c>
      <c r="N804" s="27" t="inlineStr">
        <is>
          <t>Yes</t>
        </is>
      </c>
      <c r="O804" s="29" t="n">
        <v>0</v>
      </c>
      <c r="P804" s="30" t="n">
        <v>450</v>
      </c>
      <c r="Q804" s="31" t="inlineStr">
        <is>
          <t>In Stock</t>
        </is>
      </c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5" customHeight="1" s="85">
      <c r="A805" s="27" t="inlineStr">
        <is>
          <t>PALAT FISH PICKLE 400GM</t>
        </is>
      </c>
      <c r="B805" s="27" t="n"/>
      <c r="C805" s="27" t="inlineStr">
        <is>
          <t>Pickles</t>
        </is>
      </c>
      <c r="D805" s="28" t="inlineStr">
        <is>
          <t>8904025972149</t>
        </is>
      </c>
      <c r="E805" s="27" t="n"/>
      <c r="F805" s="29" t="n">
        <v>0</v>
      </c>
      <c r="G805" s="29" t="n">
        <v>333</v>
      </c>
      <c r="H805" s="27" t="inlineStr">
        <is>
          <t>Inclusive</t>
        </is>
      </c>
      <c r="I805" s="29" t="n">
        <v>222</v>
      </c>
      <c r="J805" s="27" t="inlineStr">
        <is>
          <t>Inclusive</t>
        </is>
      </c>
      <c r="K805" s="29" t="n">
        <v>333</v>
      </c>
      <c r="L805" s="29" t="n">
        <v>0</v>
      </c>
      <c r="M805" s="33" t="n">
        <v>1</v>
      </c>
      <c r="N805" s="27" t="inlineStr">
        <is>
          <t>Yes</t>
        </is>
      </c>
      <c r="O805" s="29" t="n">
        <v>0</v>
      </c>
      <c r="P805" s="30" t="n">
        <v>450</v>
      </c>
      <c r="Q805" s="31" t="inlineStr">
        <is>
          <t>In Stock</t>
        </is>
      </c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5" customHeight="1" s="85">
      <c r="A806" s="27" t="inlineStr">
        <is>
          <t>PALAT GARAM MASALA 50GM</t>
        </is>
      </c>
      <c r="B806" s="27" t="n"/>
      <c r="C806" s="27" t="inlineStr">
        <is>
          <t>Masalas &amp; Spices</t>
        </is>
      </c>
      <c r="D806" s="32" t="inlineStr">
        <is>
          <t>100297</t>
        </is>
      </c>
      <c r="E806" s="27" t="n"/>
      <c r="F806" s="29" t="n">
        <v>0</v>
      </c>
      <c r="G806" s="29" t="n">
        <v>55</v>
      </c>
      <c r="H806" s="27" t="inlineStr">
        <is>
          <t>Inclusive</t>
        </is>
      </c>
      <c r="I806" s="29" t="n">
        <v>40</v>
      </c>
      <c r="J806" s="27" t="inlineStr">
        <is>
          <t>Inclusive</t>
        </is>
      </c>
      <c r="K806" s="29" t="n">
        <v>55</v>
      </c>
      <c r="L806" s="29" t="n">
        <v>0</v>
      </c>
      <c r="M806" s="33" t="n">
        <v>1</v>
      </c>
      <c r="N806" s="27" t="inlineStr">
        <is>
          <t>Yes</t>
        </is>
      </c>
      <c r="O806" s="29" t="n">
        <v>0</v>
      </c>
      <c r="P806" s="30" t="n">
        <v>450</v>
      </c>
      <c r="Q806" s="31" t="inlineStr">
        <is>
          <t>In Stock</t>
        </is>
      </c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5" customHeight="1" s="85">
      <c r="A807" s="27" t="inlineStr">
        <is>
          <t>PALAT KADUMANGA PICKLE 400GM</t>
        </is>
      </c>
      <c r="B807" s="27" t="n"/>
      <c r="C807" s="27" t="inlineStr">
        <is>
          <t>Pickles</t>
        </is>
      </c>
      <c r="D807" s="28" t="inlineStr">
        <is>
          <t>8904025998163</t>
        </is>
      </c>
      <c r="E807" s="27" t="n"/>
      <c r="F807" s="29" t="n">
        <v>0</v>
      </c>
      <c r="G807" s="29" t="n">
        <v>224</v>
      </c>
      <c r="H807" s="27" t="inlineStr">
        <is>
          <t>Exclusive</t>
        </is>
      </c>
      <c r="I807" s="29" t="n">
        <v>155</v>
      </c>
      <c r="J807" s="27" t="inlineStr">
        <is>
          <t>Exclusive</t>
        </is>
      </c>
      <c r="K807" s="29" t="n">
        <v>224</v>
      </c>
      <c r="L807" s="29" t="n">
        <v>0</v>
      </c>
      <c r="M807" s="33" t="n">
        <v>1</v>
      </c>
      <c r="N807" s="27" t="inlineStr">
        <is>
          <t>Yes</t>
        </is>
      </c>
      <c r="O807" s="29" t="n">
        <v>0</v>
      </c>
      <c r="P807" s="30" t="n">
        <v>450</v>
      </c>
      <c r="Q807" s="31" t="inlineStr">
        <is>
          <t>In Stock</t>
        </is>
      </c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5" customHeight="1" s="85">
      <c r="A808" s="27" t="inlineStr">
        <is>
          <t>PALAT PALADA MIX 200GM</t>
        </is>
      </c>
      <c r="B808" s="27" t="n"/>
      <c r="C808" s="27" t="inlineStr">
        <is>
          <t>Ready to Eat &amp; Mixes</t>
        </is>
      </c>
      <c r="D808" s="32" t="inlineStr">
        <is>
          <t>100298</t>
        </is>
      </c>
      <c r="E808" s="27" t="n"/>
      <c r="F808" s="29" t="n">
        <v>0</v>
      </c>
      <c r="G808" s="29" t="n">
        <v>98</v>
      </c>
      <c r="H808" s="27" t="inlineStr">
        <is>
          <t>Exclusive</t>
        </is>
      </c>
      <c r="I808" s="29" t="n">
        <v>74</v>
      </c>
      <c r="J808" s="27" t="inlineStr">
        <is>
          <t>Exclusive</t>
        </is>
      </c>
      <c r="K808" s="29" t="n">
        <v>0</v>
      </c>
      <c r="L808" s="29" t="n">
        <v>0</v>
      </c>
      <c r="M808" s="33" t="n">
        <v>1</v>
      </c>
      <c r="N808" s="27" t="inlineStr">
        <is>
          <t>Yes</t>
        </is>
      </c>
      <c r="O808" s="29" t="n">
        <v>0</v>
      </c>
      <c r="P808" s="30" t="n">
        <v>450</v>
      </c>
      <c r="Q808" s="31" t="inlineStr">
        <is>
          <t>In Stock</t>
        </is>
      </c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5" customHeight="1" s="85">
      <c r="A809" s="27" t="inlineStr">
        <is>
          <t>PALMO COCONUT MILK POWDER</t>
        </is>
      </c>
      <c r="B809" s="27" t="n"/>
      <c r="C809" s="27" t="inlineStr">
        <is>
          <t>Ready to Eat &amp; Mixes</t>
        </is>
      </c>
      <c r="D809" s="28" t="inlineStr">
        <is>
          <t>8902065000099</t>
        </is>
      </c>
      <c r="E809" s="27" t="n"/>
      <c r="F809" s="29" t="n">
        <v>0</v>
      </c>
      <c r="G809" s="29" t="n">
        <v>120</v>
      </c>
      <c r="H809" s="27" t="inlineStr">
        <is>
          <t>Exclusive</t>
        </is>
      </c>
      <c r="I809" s="29" t="n">
        <v>86</v>
      </c>
      <c r="J809" s="27" t="inlineStr">
        <is>
          <t>Exclusive</t>
        </is>
      </c>
      <c r="K809" s="29" t="n">
        <v>120</v>
      </c>
      <c r="L809" s="29" t="n">
        <v>13</v>
      </c>
      <c r="M809" s="33" t="n">
        <v>1</v>
      </c>
      <c r="N809" s="27" t="inlineStr">
        <is>
          <t>Yes</t>
        </is>
      </c>
      <c r="O809" s="29" t="n">
        <v>0</v>
      </c>
      <c r="P809" s="30" t="n">
        <v>450</v>
      </c>
      <c r="Q809" s="31" t="inlineStr">
        <is>
          <t>In Stock</t>
        </is>
      </c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5" customHeight="1" s="85">
      <c r="A810" s="27" t="inlineStr">
        <is>
          <t>PALMO COCONUT MILK POWDER 100GM</t>
        </is>
      </c>
      <c r="B810" s="27" t="n"/>
      <c r="C810" s="27" t="inlineStr">
        <is>
          <t>Ready to Eat &amp; Mixes</t>
        </is>
      </c>
      <c r="D810" s="32" t="inlineStr">
        <is>
          <t>100299</t>
        </is>
      </c>
      <c r="E810" s="27" t="n"/>
      <c r="F810" s="29" t="n">
        <v>0</v>
      </c>
      <c r="G810" s="29" t="n">
        <v>30</v>
      </c>
      <c r="H810" s="27" t="inlineStr">
        <is>
          <t>Exclusive</t>
        </is>
      </c>
      <c r="I810" s="29" t="n">
        <v>86</v>
      </c>
      <c r="J810" s="27" t="inlineStr">
        <is>
          <t>Exclusive</t>
        </is>
      </c>
      <c r="K810" s="29" t="n">
        <v>0</v>
      </c>
      <c r="L810" s="29" t="n">
        <v>10</v>
      </c>
      <c r="M810" s="27" t="n"/>
      <c r="N810" s="27" t="inlineStr">
        <is>
          <t>Yes</t>
        </is>
      </c>
      <c r="O810" s="29" t="n">
        <v>0</v>
      </c>
      <c r="P810" s="30" t="n">
        <v>450</v>
      </c>
      <c r="Q810" s="31" t="inlineStr">
        <is>
          <t>In Stock</t>
        </is>
      </c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5" customHeight="1" s="85">
      <c r="A811" s="27" t="inlineStr">
        <is>
          <t>PALMO COCONUT POWDER 1KG</t>
        </is>
      </c>
      <c r="B811" s="27" t="n"/>
      <c r="C811" s="27" t="inlineStr">
        <is>
          <t>Ready to Eat &amp; Mixes</t>
        </is>
      </c>
      <c r="D811" s="32" t="inlineStr">
        <is>
          <t>100300</t>
        </is>
      </c>
      <c r="E811" s="27" t="n"/>
      <c r="F811" s="29" t="n">
        <v>0</v>
      </c>
      <c r="G811" s="29" t="n">
        <v>850</v>
      </c>
      <c r="H811" s="27" t="inlineStr">
        <is>
          <t>Exclusive</t>
        </is>
      </c>
      <c r="I811" s="29" t="n">
        <v>750</v>
      </c>
      <c r="J811" s="27" t="inlineStr">
        <is>
          <t>Exclusive</t>
        </is>
      </c>
      <c r="K811" s="29" t="n">
        <v>850</v>
      </c>
      <c r="L811" s="29" t="n">
        <v>10</v>
      </c>
      <c r="M811" s="33" t="n">
        <v>1</v>
      </c>
      <c r="N811" s="27" t="inlineStr">
        <is>
          <t>Yes</t>
        </is>
      </c>
      <c r="O811" s="29" t="n">
        <v>0</v>
      </c>
      <c r="P811" s="30" t="n">
        <v>450</v>
      </c>
      <c r="Q811" s="31" t="inlineStr">
        <is>
          <t>In Stock</t>
        </is>
      </c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5" customHeight="1" s="85">
      <c r="A812" s="27" t="inlineStr">
        <is>
          <t>PALSTIC CONTAINER</t>
        </is>
      </c>
      <c r="B812" s="27" t="n"/>
      <c r="C812" s="27" t="inlineStr">
        <is>
          <t>Household &amp; Cleaning</t>
        </is>
      </c>
      <c r="D812" s="28" t="inlineStr">
        <is>
          <t>207316944841</t>
        </is>
      </c>
      <c r="E812" s="27" t="n"/>
      <c r="F812" s="29" t="n">
        <v>0</v>
      </c>
      <c r="G812" s="29" t="n">
        <v>8</v>
      </c>
      <c r="H812" s="27" t="inlineStr">
        <is>
          <t>Exclusive</t>
        </is>
      </c>
      <c r="I812" s="29" t="n">
        <v>7</v>
      </c>
      <c r="J812" s="27" t="inlineStr">
        <is>
          <t>Exclusive</t>
        </is>
      </c>
      <c r="K812" s="29" t="n">
        <v>8</v>
      </c>
      <c r="L812" s="29" t="n">
        <v>0</v>
      </c>
      <c r="M812" s="33" t="n">
        <v>1</v>
      </c>
      <c r="N812" s="27" t="inlineStr">
        <is>
          <t>No</t>
        </is>
      </c>
      <c r="O812" s="29" t="n">
        <v>0</v>
      </c>
      <c r="P812" s="30" t="n">
        <v>450</v>
      </c>
      <c r="Q812" s="31" t="inlineStr">
        <is>
          <t>In Stock</t>
        </is>
      </c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5" customHeight="1" s="85">
      <c r="A813" s="27" t="inlineStr">
        <is>
          <t>PANAM KALKANDAM 250GM</t>
        </is>
      </c>
      <c r="B813" s="27" t="n"/>
      <c r="C813" s="27" t="inlineStr">
        <is>
          <t>Ready to Eat &amp; Mixes</t>
        </is>
      </c>
      <c r="D813" s="28" t="inlineStr">
        <is>
          <t>551128674542</t>
        </is>
      </c>
      <c r="E813" s="27" t="n"/>
      <c r="F813" s="29" t="n">
        <v>0</v>
      </c>
      <c r="G813" s="29" t="n">
        <v>60</v>
      </c>
      <c r="H813" s="27" t="inlineStr">
        <is>
          <t>Exclusive</t>
        </is>
      </c>
      <c r="I813" s="29" t="n">
        <v>50</v>
      </c>
      <c r="J813" s="27" t="inlineStr">
        <is>
          <t>Exclusive</t>
        </is>
      </c>
      <c r="K813" s="29" t="n">
        <v>80</v>
      </c>
      <c r="L813" s="29" t="n">
        <v>0</v>
      </c>
      <c r="M813" s="33" t="n">
        <v>1</v>
      </c>
      <c r="N813" s="27" t="inlineStr">
        <is>
          <t>Yes</t>
        </is>
      </c>
      <c r="O813" s="29" t="n">
        <v>0</v>
      </c>
      <c r="P813" s="30" t="n">
        <v>450</v>
      </c>
      <c r="Q813" s="31" t="inlineStr">
        <is>
          <t>In Stock</t>
        </is>
      </c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5" customHeight="1" s="85">
      <c r="A814" s="27" t="inlineStr">
        <is>
          <t>PANAM KALKANDAM 500GM</t>
        </is>
      </c>
      <c r="B814" s="27" t="n"/>
      <c r="C814" s="27" t="inlineStr">
        <is>
          <t>Ready to Eat &amp; Mixes</t>
        </is>
      </c>
      <c r="D814" s="28" t="inlineStr">
        <is>
          <t>287458236419</t>
        </is>
      </c>
      <c r="E814" s="27" t="n"/>
      <c r="F814" s="29" t="n">
        <v>0</v>
      </c>
      <c r="G814" s="29" t="n">
        <v>120</v>
      </c>
      <c r="H814" s="27" t="inlineStr">
        <is>
          <t>Inclusive</t>
        </is>
      </c>
      <c r="I814" s="29" t="n">
        <v>85</v>
      </c>
      <c r="J814" s="27" t="inlineStr">
        <is>
          <t>Inclusive</t>
        </is>
      </c>
      <c r="K814" s="29" t="n">
        <v>135</v>
      </c>
      <c r="L814" s="29" t="n">
        <v>0</v>
      </c>
      <c r="M814" s="33" t="n">
        <v>1</v>
      </c>
      <c r="N814" s="27" t="inlineStr">
        <is>
          <t>Yes</t>
        </is>
      </c>
      <c r="O814" s="29" t="n">
        <v>0</v>
      </c>
      <c r="P814" s="30" t="n">
        <v>450</v>
      </c>
      <c r="Q814" s="31" t="inlineStr">
        <is>
          <t>In Stock</t>
        </is>
      </c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5" customHeight="1" s="85">
      <c r="A815" s="27" t="inlineStr">
        <is>
          <t>PAPER CUTTER</t>
        </is>
      </c>
      <c r="B815" s="27" t="n"/>
      <c r="C815" s="27" t="inlineStr">
        <is>
          <t>Stationery</t>
        </is>
      </c>
      <c r="D815" s="32" t="inlineStr">
        <is>
          <t>100301</t>
        </is>
      </c>
      <c r="E815" s="27" t="n"/>
      <c r="F815" s="29" t="n">
        <v>0</v>
      </c>
      <c r="G815" s="29" t="n">
        <v>20</v>
      </c>
      <c r="H815" s="27" t="inlineStr">
        <is>
          <t>Inclusive</t>
        </is>
      </c>
      <c r="I815" s="29" t="n">
        <v>7</v>
      </c>
      <c r="J815" s="27" t="inlineStr">
        <is>
          <t>Inclusive</t>
        </is>
      </c>
      <c r="K815" s="29" t="n">
        <v>25</v>
      </c>
      <c r="L815" s="29" t="n">
        <v>10</v>
      </c>
      <c r="M815" s="33" t="n">
        <v>1</v>
      </c>
      <c r="N815" s="27" t="inlineStr">
        <is>
          <t>No</t>
        </is>
      </c>
      <c r="O815" s="29" t="n">
        <v>0</v>
      </c>
      <c r="P815" s="30" t="n">
        <v>450</v>
      </c>
      <c r="Q815" s="31" t="inlineStr">
        <is>
          <t>In Stock</t>
        </is>
      </c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5" customHeight="1" s="85">
      <c r="A816" s="27" t="inlineStr">
        <is>
          <t>PAVITR BIBLE BSI WITH COVER</t>
        </is>
      </c>
      <c r="B816" s="27" t="n"/>
      <c r="C816" s="27" t="inlineStr">
        <is>
          <t>Books &amp; Bibles</t>
        </is>
      </c>
      <c r="D816" s="28" t="inlineStr">
        <is>
          <t>895860743785</t>
        </is>
      </c>
      <c r="E816" s="27" t="n"/>
      <c r="F816" s="29" t="n">
        <v>0</v>
      </c>
      <c r="G816" s="29" t="n">
        <v>450</v>
      </c>
      <c r="H816" s="27" t="inlineStr">
        <is>
          <t>Exclusive</t>
        </is>
      </c>
      <c r="I816" s="29" t="n">
        <v>350</v>
      </c>
      <c r="J816" s="27" t="inlineStr">
        <is>
          <t>Exclusive</t>
        </is>
      </c>
      <c r="K816" s="29" t="n">
        <v>600</v>
      </c>
      <c r="L816" s="29" t="n">
        <v>38</v>
      </c>
      <c r="M816" s="33" t="n">
        <v>1</v>
      </c>
      <c r="N816" s="27" t="inlineStr">
        <is>
          <t>Yes</t>
        </is>
      </c>
      <c r="O816" s="29" t="n">
        <v>0</v>
      </c>
      <c r="P816" s="30" t="n">
        <v>450</v>
      </c>
      <c r="Q816" s="31" t="inlineStr">
        <is>
          <t>In Stock</t>
        </is>
      </c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5" customHeight="1" s="85">
      <c r="A817" s="27" t="inlineStr">
        <is>
          <t>PAVITR BIBLE NEW STOCK 250</t>
        </is>
      </c>
      <c r="B817" s="27" t="n"/>
      <c r="C817" s="27" t="inlineStr">
        <is>
          <t>Books &amp; Bibles</t>
        </is>
      </c>
      <c r="D817" s="32" t="inlineStr">
        <is>
          <t>100302</t>
        </is>
      </c>
      <c r="E817" s="27" t="n"/>
      <c r="F817" s="29" t="n">
        <v>0</v>
      </c>
      <c r="G817" s="29" t="n">
        <v>250</v>
      </c>
      <c r="H817" s="27" t="inlineStr">
        <is>
          <t>Inclusive</t>
        </is>
      </c>
      <c r="I817" s="29" t="n">
        <v>200</v>
      </c>
      <c r="J817" s="27" t="inlineStr">
        <is>
          <t>Inclusive</t>
        </is>
      </c>
      <c r="K817" s="29" t="n">
        <v>300</v>
      </c>
      <c r="L817" s="29" t="n">
        <v>5</v>
      </c>
      <c r="M817" s="33" t="n">
        <v>1</v>
      </c>
      <c r="N817" s="27" t="inlineStr">
        <is>
          <t>Yes</t>
        </is>
      </c>
      <c r="O817" s="29" t="n">
        <v>0</v>
      </c>
      <c r="P817" s="30" t="n">
        <v>450</v>
      </c>
      <c r="Q817" s="31" t="inlineStr">
        <is>
          <t>In Stock</t>
        </is>
      </c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5" customHeight="1" s="85">
      <c r="A818" s="27" t="inlineStr">
        <is>
          <t>PAVIZHAM BEATEN RICE MATTA 500GM</t>
        </is>
      </c>
      <c r="B818" s="27" t="n"/>
      <c r="C818" s="27" t="inlineStr">
        <is>
          <t>Grains &amp; Flours</t>
        </is>
      </c>
      <c r="D818" s="32" t="inlineStr">
        <is>
          <t>100303</t>
        </is>
      </c>
      <c r="E818" s="27" t="n"/>
      <c r="F818" s="29" t="n">
        <v>0</v>
      </c>
      <c r="G818" s="29" t="n">
        <v>56</v>
      </c>
      <c r="H818" s="27" t="inlineStr">
        <is>
          <t>Exclusive</t>
        </is>
      </c>
      <c r="I818" s="29" t="n">
        <v>53.43</v>
      </c>
      <c r="J818" s="27" t="inlineStr">
        <is>
          <t>Exclusive</t>
        </is>
      </c>
      <c r="K818" s="29" t="n">
        <v>0</v>
      </c>
      <c r="L818" s="29" t="n">
        <v>4</v>
      </c>
      <c r="M818" s="27" t="n"/>
      <c r="N818" s="27" t="inlineStr">
        <is>
          <t>Yes</t>
        </is>
      </c>
      <c r="O818" s="29" t="n">
        <v>0</v>
      </c>
      <c r="P818" s="30" t="n">
        <v>450</v>
      </c>
      <c r="Q818" s="31" t="inlineStr">
        <is>
          <t>In Stock</t>
        </is>
      </c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5" customHeight="1" s="85">
      <c r="A819" s="27" t="inlineStr">
        <is>
          <t>PAYYOLI MIXTURE</t>
        </is>
      </c>
      <c r="B819" s="27" t="n"/>
      <c r="C819" s="27" t="inlineStr">
        <is>
          <t>Snacks</t>
        </is>
      </c>
      <c r="D819" s="28" t="inlineStr">
        <is>
          <t>791101379422</t>
        </is>
      </c>
      <c r="E819" s="27" t="n"/>
      <c r="F819" s="29" t="n">
        <v>0</v>
      </c>
      <c r="G819" s="29" t="n">
        <v>60</v>
      </c>
      <c r="H819" s="27" t="inlineStr">
        <is>
          <t>Exclusive</t>
        </is>
      </c>
      <c r="I819" s="29" t="n">
        <v>45</v>
      </c>
      <c r="J819" s="27" t="inlineStr">
        <is>
          <t>Exclusive</t>
        </is>
      </c>
      <c r="K819" s="29" t="n">
        <v>60</v>
      </c>
      <c r="L819" s="29" t="n">
        <v>0</v>
      </c>
      <c r="M819" s="33" t="n">
        <v>1</v>
      </c>
      <c r="N819" s="27" t="inlineStr">
        <is>
          <t>Yes</t>
        </is>
      </c>
      <c r="O819" s="29" t="n">
        <v>0</v>
      </c>
      <c r="P819" s="30" t="n">
        <v>450</v>
      </c>
      <c r="Q819" s="31" t="inlineStr">
        <is>
          <t>In Stock</t>
        </is>
      </c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5" customHeight="1" s="85">
      <c r="A820" s="27" t="inlineStr">
        <is>
          <t>PAZHAM PORI</t>
        </is>
      </c>
      <c r="B820" s="27" t="n"/>
      <c r="C820" s="27" t="inlineStr">
        <is>
          <t>Ready to Eat &amp; Mixes</t>
        </is>
      </c>
      <c r="D820" s="32" t="inlineStr">
        <is>
          <t>100305</t>
        </is>
      </c>
      <c r="E820" s="27" t="n"/>
      <c r="F820" s="29" t="n">
        <v>0</v>
      </c>
      <c r="G820" s="29" t="n">
        <v>10</v>
      </c>
      <c r="H820" s="27" t="inlineStr">
        <is>
          <t>Exclusive</t>
        </is>
      </c>
      <c r="I820" s="29" t="n">
        <v>8</v>
      </c>
      <c r="J820" s="27" t="inlineStr">
        <is>
          <t>Exclusive</t>
        </is>
      </c>
      <c r="K820" s="29" t="n">
        <v>10</v>
      </c>
      <c r="L820" s="29" t="n">
        <v>0</v>
      </c>
      <c r="M820" s="33" t="n">
        <v>1</v>
      </c>
      <c r="N820" s="27" t="inlineStr">
        <is>
          <t>Yes</t>
        </is>
      </c>
      <c r="O820" s="29" t="n">
        <v>0</v>
      </c>
      <c r="P820" s="30" t="n">
        <v>450</v>
      </c>
      <c r="Q820" s="31" t="inlineStr">
        <is>
          <t>In Stock</t>
        </is>
      </c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5" customHeight="1" s="85">
      <c r="A821" s="27" t="inlineStr">
        <is>
          <t>PEN 10</t>
        </is>
      </c>
      <c r="B821" s="27" t="n"/>
      <c r="C821" s="27" t="inlineStr">
        <is>
          <t>Stationery</t>
        </is>
      </c>
      <c r="D821" s="32" t="inlineStr">
        <is>
          <t>100306</t>
        </is>
      </c>
      <c r="E821" s="27" t="n"/>
      <c r="F821" s="29" t="n">
        <v>0</v>
      </c>
      <c r="G821" s="29" t="n">
        <v>10</v>
      </c>
      <c r="H821" s="27" t="inlineStr">
        <is>
          <t>Exclusive</t>
        </is>
      </c>
      <c r="I821" s="29" t="n">
        <v>7</v>
      </c>
      <c r="J821" s="27" t="inlineStr">
        <is>
          <t>Exclusive</t>
        </is>
      </c>
      <c r="K821" s="29" t="n">
        <v>10</v>
      </c>
      <c r="L821" s="29" t="n">
        <v>0</v>
      </c>
      <c r="M821" s="33" t="n">
        <v>1</v>
      </c>
      <c r="N821" s="27" t="inlineStr">
        <is>
          <t>No</t>
        </is>
      </c>
      <c r="O821" s="29" t="n">
        <v>0</v>
      </c>
      <c r="P821" s="30" t="n">
        <v>450</v>
      </c>
      <c r="Q821" s="31" t="inlineStr">
        <is>
          <t>In Stock</t>
        </is>
      </c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5" customHeight="1" s="85">
      <c r="A822" s="27" t="inlineStr">
        <is>
          <t>PEN 5</t>
        </is>
      </c>
      <c r="B822" s="27" t="n"/>
      <c r="C822" s="27" t="inlineStr">
        <is>
          <t>Stationery</t>
        </is>
      </c>
      <c r="D822" s="32" t="inlineStr">
        <is>
          <t>100307</t>
        </is>
      </c>
      <c r="E822" s="27" t="n"/>
      <c r="F822" s="29" t="n">
        <v>0</v>
      </c>
      <c r="G822" s="29" t="n">
        <v>5</v>
      </c>
      <c r="H822" s="27" t="inlineStr">
        <is>
          <t>Exclusive</t>
        </is>
      </c>
      <c r="I822" s="29" t="n">
        <v>4</v>
      </c>
      <c r="J822" s="27" t="inlineStr">
        <is>
          <t>Exclusive</t>
        </is>
      </c>
      <c r="K822" s="29" t="n">
        <v>5</v>
      </c>
      <c r="L822" s="29" t="n">
        <v>4</v>
      </c>
      <c r="M822" s="33" t="n">
        <v>1</v>
      </c>
      <c r="N822" s="27" t="inlineStr">
        <is>
          <t>No</t>
        </is>
      </c>
      <c r="O822" s="29" t="n">
        <v>0</v>
      </c>
      <c r="P822" s="30" t="n">
        <v>450</v>
      </c>
      <c r="Q822" s="31" t="inlineStr">
        <is>
          <t>In Stock</t>
        </is>
      </c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5" customHeight="1" s="85">
      <c r="A823" s="27" t="inlineStr">
        <is>
          <t>PEN 7</t>
        </is>
      </c>
      <c r="B823" s="27" t="n"/>
      <c r="C823" s="27" t="inlineStr">
        <is>
          <t>Stationery</t>
        </is>
      </c>
      <c r="D823" s="32" t="inlineStr">
        <is>
          <t>100308</t>
        </is>
      </c>
      <c r="E823" s="27" t="n"/>
      <c r="F823" s="29" t="n">
        <v>0</v>
      </c>
      <c r="G823" s="29" t="n">
        <v>7</v>
      </c>
      <c r="H823" s="27" t="inlineStr">
        <is>
          <t>Exclusive</t>
        </is>
      </c>
      <c r="I823" s="29" t="n">
        <v>6</v>
      </c>
      <c r="J823" s="27" t="inlineStr">
        <is>
          <t>Exclusive</t>
        </is>
      </c>
      <c r="K823" s="29" t="n">
        <v>7</v>
      </c>
      <c r="L823" s="29" t="n">
        <v>0</v>
      </c>
      <c r="M823" s="33" t="n">
        <v>1</v>
      </c>
      <c r="N823" s="27" t="inlineStr">
        <is>
          <t>No</t>
        </is>
      </c>
      <c r="O823" s="29" t="n">
        <v>0</v>
      </c>
      <c r="P823" s="30" t="n">
        <v>450</v>
      </c>
      <c r="Q823" s="31" t="inlineStr">
        <is>
          <t>In Stock</t>
        </is>
      </c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5" customHeight="1" s="85">
      <c r="A824" s="27" t="inlineStr">
        <is>
          <t>PENCIL 10</t>
        </is>
      </c>
      <c r="B824" s="27" t="n"/>
      <c r="C824" s="27" t="inlineStr">
        <is>
          <t>Stationery</t>
        </is>
      </c>
      <c r="D824" s="32" t="inlineStr">
        <is>
          <t>100309</t>
        </is>
      </c>
      <c r="E824" s="27" t="n"/>
      <c r="F824" s="29" t="n">
        <v>0</v>
      </c>
      <c r="G824" s="29" t="n">
        <v>10</v>
      </c>
      <c r="H824" s="27" t="inlineStr">
        <is>
          <t>Exclusive</t>
        </is>
      </c>
      <c r="I824" s="29" t="n">
        <v>9</v>
      </c>
      <c r="J824" s="27" t="inlineStr">
        <is>
          <t>Exclusive</t>
        </is>
      </c>
      <c r="K824" s="29" t="n">
        <v>10</v>
      </c>
      <c r="L824" s="29" t="n">
        <v>6</v>
      </c>
      <c r="M824" s="33" t="n">
        <v>1</v>
      </c>
      <c r="N824" s="27" t="inlineStr">
        <is>
          <t>No</t>
        </is>
      </c>
      <c r="O824" s="29" t="n">
        <v>0</v>
      </c>
      <c r="P824" s="30" t="n">
        <v>450</v>
      </c>
      <c r="Q824" s="31" t="inlineStr">
        <is>
          <t>In Stock</t>
        </is>
      </c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5" customHeight="1" s="85">
      <c r="A825" s="27" t="inlineStr">
        <is>
          <t>PENCIL 5</t>
        </is>
      </c>
      <c r="B825" s="27" t="n"/>
      <c r="C825" s="27" t="inlineStr">
        <is>
          <t>Stationery</t>
        </is>
      </c>
      <c r="D825" s="32" t="inlineStr">
        <is>
          <t>100310</t>
        </is>
      </c>
      <c r="E825" s="27" t="n"/>
      <c r="F825" s="29" t="n">
        <v>0</v>
      </c>
      <c r="G825" s="29" t="n">
        <v>5</v>
      </c>
      <c r="H825" s="27" t="inlineStr">
        <is>
          <t>Exclusive</t>
        </is>
      </c>
      <c r="I825" s="29" t="n">
        <v>4</v>
      </c>
      <c r="J825" s="27" t="inlineStr">
        <is>
          <t>Exclusive</t>
        </is>
      </c>
      <c r="K825" s="29" t="n">
        <v>5</v>
      </c>
      <c r="L825" s="29" t="n">
        <v>9</v>
      </c>
      <c r="M825" s="33" t="n">
        <v>1</v>
      </c>
      <c r="N825" s="27" t="inlineStr">
        <is>
          <t>No</t>
        </is>
      </c>
      <c r="O825" s="29" t="n">
        <v>0</v>
      </c>
      <c r="P825" s="30" t="n">
        <v>450</v>
      </c>
      <c r="Q825" s="31" t="inlineStr">
        <is>
          <t>In Stock</t>
        </is>
      </c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5" customHeight="1" s="85">
      <c r="A826" s="27" t="inlineStr">
        <is>
          <t>PENCIL 6</t>
        </is>
      </c>
      <c r="B826" s="27" t="n"/>
      <c r="C826" s="27" t="inlineStr">
        <is>
          <t>Stationery</t>
        </is>
      </c>
      <c r="D826" s="32" t="inlineStr">
        <is>
          <t>100311</t>
        </is>
      </c>
      <c r="E826" s="27" t="n"/>
      <c r="F826" s="29" t="n">
        <v>0</v>
      </c>
      <c r="G826" s="29" t="n">
        <v>6</v>
      </c>
      <c r="H826" s="27" t="inlineStr">
        <is>
          <t>Exclusive</t>
        </is>
      </c>
      <c r="I826" s="29" t="n">
        <v>5</v>
      </c>
      <c r="J826" s="27" t="inlineStr">
        <is>
          <t>Exclusive</t>
        </is>
      </c>
      <c r="K826" s="29" t="n">
        <v>6</v>
      </c>
      <c r="L826" s="29" t="n">
        <v>6</v>
      </c>
      <c r="M826" s="33" t="n">
        <v>1</v>
      </c>
      <c r="N826" s="27" t="inlineStr">
        <is>
          <t>No</t>
        </is>
      </c>
      <c r="O826" s="29" t="n">
        <v>0</v>
      </c>
      <c r="P826" s="30" t="n">
        <v>450</v>
      </c>
      <c r="Q826" s="31" t="inlineStr">
        <is>
          <t>In Stock</t>
        </is>
      </c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5" customHeight="1" s="85">
      <c r="A827" s="27" t="inlineStr">
        <is>
          <t>PENCIL COLOR</t>
        </is>
      </c>
      <c r="B827" s="27" t="n"/>
      <c r="C827" s="27" t="inlineStr">
        <is>
          <t>Stationery</t>
        </is>
      </c>
      <c r="D827" s="32" t="inlineStr">
        <is>
          <t>100312</t>
        </is>
      </c>
      <c r="E827" s="27" t="n"/>
      <c r="F827" s="29" t="n">
        <v>0</v>
      </c>
      <c r="G827" s="29" t="n">
        <v>15</v>
      </c>
      <c r="H827" s="27" t="inlineStr">
        <is>
          <t>Exclusive</t>
        </is>
      </c>
      <c r="I827" s="29" t="n">
        <v>12</v>
      </c>
      <c r="J827" s="27" t="inlineStr">
        <is>
          <t>Exclusive</t>
        </is>
      </c>
      <c r="K827" s="29" t="n">
        <v>15</v>
      </c>
      <c r="L827" s="29" t="n">
        <v>9</v>
      </c>
      <c r="M827" s="33" t="n">
        <v>1</v>
      </c>
      <c r="N827" s="27" t="inlineStr">
        <is>
          <t>No</t>
        </is>
      </c>
      <c r="O827" s="29" t="n">
        <v>0</v>
      </c>
      <c r="P827" s="30" t="n">
        <v>450</v>
      </c>
      <c r="Q827" s="31" t="inlineStr">
        <is>
          <t>In Stock</t>
        </is>
      </c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5" customHeight="1" s="85">
      <c r="A828" s="27" t="inlineStr">
        <is>
          <t>PENDRIVE 16GB</t>
        </is>
      </c>
      <c r="B828" s="27" t="n"/>
      <c r="C828" s="27" t="inlineStr">
        <is>
          <t>Electronics</t>
        </is>
      </c>
      <c r="D828" s="34" t="inlineStr">
        <is>
          <t>PD16GB</t>
        </is>
      </c>
      <c r="E828" s="27" t="n"/>
      <c r="F828" s="29" t="n">
        <v>0</v>
      </c>
      <c r="G828" s="29" t="n">
        <v>350</v>
      </c>
      <c r="H828" s="27" t="inlineStr">
        <is>
          <t>Inclusive</t>
        </is>
      </c>
      <c r="I828" s="29" t="n">
        <v>250</v>
      </c>
      <c r="J828" s="27" t="inlineStr">
        <is>
          <t>Inclusive</t>
        </is>
      </c>
      <c r="K828" s="29" t="n">
        <v>450</v>
      </c>
      <c r="L828" s="29" t="n">
        <v>0</v>
      </c>
      <c r="M828" s="33" t="n">
        <v>1</v>
      </c>
      <c r="N828" s="27" t="inlineStr">
        <is>
          <t>No</t>
        </is>
      </c>
      <c r="O828" s="29" t="n">
        <v>0</v>
      </c>
      <c r="P828" s="30" t="n">
        <v>450</v>
      </c>
      <c r="Q828" s="31" t="inlineStr">
        <is>
          <t>In Stock</t>
        </is>
      </c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5" customHeight="1" s="85">
      <c r="A829" s="27" t="inlineStr">
        <is>
          <t>PEN PACK 50/-</t>
        </is>
      </c>
      <c r="B829" s="27" t="n"/>
      <c r="C829" s="27" t="inlineStr">
        <is>
          <t>Stationery</t>
        </is>
      </c>
      <c r="D829" s="32" t="inlineStr">
        <is>
          <t>100313</t>
        </is>
      </c>
      <c r="E829" s="27" t="n"/>
      <c r="F829" s="29" t="n">
        <v>0</v>
      </c>
      <c r="G829" s="29" t="n">
        <v>50</v>
      </c>
      <c r="H829" s="27" t="inlineStr">
        <is>
          <t>Exclusive</t>
        </is>
      </c>
      <c r="I829" s="29" t="n">
        <v>40</v>
      </c>
      <c r="J829" s="27" t="inlineStr">
        <is>
          <t>Exclusive</t>
        </is>
      </c>
      <c r="K829" s="29" t="n">
        <v>5</v>
      </c>
      <c r="L829" s="29" t="n">
        <v>25</v>
      </c>
      <c r="M829" s="33" t="n">
        <v>1</v>
      </c>
      <c r="N829" s="27" t="inlineStr">
        <is>
          <t>No</t>
        </is>
      </c>
      <c r="O829" s="29" t="n">
        <v>0</v>
      </c>
      <c r="P829" s="30" t="n">
        <v>450</v>
      </c>
      <c r="Q829" s="31" t="inlineStr">
        <is>
          <t>In Stock</t>
        </is>
      </c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5" customHeight="1" s="85">
      <c r="A830" s="27" t="inlineStr">
        <is>
          <t>PEN STAND</t>
        </is>
      </c>
      <c r="B830" s="27" t="n"/>
      <c r="C830" s="27" t="inlineStr">
        <is>
          <t>Stationery</t>
        </is>
      </c>
      <c r="D830" s="28" t="inlineStr">
        <is>
          <t>630333183171</t>
        </is>
      </c>
      <c r="E830" s="27" t="n"/>
      <c r="F830" s="29" t="n">
        <v>0</v>
      </c>
      <c r="G830" s="29" t="n">
        <v>25</v>
      </c>
      <c r="H830" s="27" t="inlineStr">
        <is>
          <t>Exclusive</t>
        </is>
      </c>
      <c r="I830" s="29" t="n">
        <v>10</v>
      </c>
      <c r="J830" s="27" t="inlineStr">
        <is>
          <t>Exclusive</t>
        </is>
      </c>
      <c r="K830" s="29" t="n">
        <v>25</v>
      </c>
      <c r="L830" s="29" t="n">
        <v>4</v>
      </c>
      <c r="M830" s="33" t="n">
        <v>1</v>
      </c>
      <c r="N830" s="27" t="inlineStr">
        <is>
          <t>Yes</t>
        </is>
      </c>
      <c r="O830" s="29" t="n">
        <v>0</v>
      </c>
      <c r="P830" s="30" t="n">
        <v>450</v>
      </c>
      <c r="Q830" s="31" t="inlineStr">
        <is>
          <t>In Stock</t>
        </is>
      </c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5" customHeight="1" s="85">
      <c r="A831" s="27" t="inlineStr">
        <is>
          <t>PHOTO CANVAS</t>
        </is>
      </c>
      <c r="B831" s="27" t="n"/>
      <c r="C831" s="27" t="inlineStr">
        <is>
          <t>Church Articles</t>
        </is>
      </c>
      <c r="D831" s="32" t="inlineStr">
        <is>
          <t>100314</t>
        </is>
      </c>
      <c r="E831" s="27" t="n"/>
      <c r="F831" s="29" t="n">
        <v>0</v>
      </c>
      <c r="G831" s="29" t="n">
        <v>180</v>
      </c>
      <c r="H831" s="27" t="inlineStr">
        <is>
          <t>Inclusive</t>
        </is>
      </c>
      <c r="I831" s="29" t="n">
        <v>100</v>
      </c>
      <c r="J831" s="27" t="inlineStr">
        <is>
          <t>Inclusive</t>
        </is>
      </c>
      <c r="K831" s="29" t="n">
        <v>200</v>
      </c>
      <c r="L831" s="29" t="n">
        <v>1</v>
      </c>
      <c r="M831" s="33" t="n">
        <v>1</v>
      </c>
      <c r="N831" s="27" t="inlineStr">
        <is>
          <t>Yes</t>
        </is>
      </c>
      <c r="O831" s="29" t="n">
        <v>0</v>
      </c>
      <c r="P831" s="30" t="n">
        <v>450</v>
      </c>
      <c r="Q831" s="31" t="inlineStr">
        <is>
          <t>In Stock</t>
        </is>
      </c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5" customHeight="1" s="85">
      <c r="A832" s="27" t="inlineStr">
        <is>
          <t>PHOTO PAPER 50</t>
        </is>
      </c>
      <c r="B832" s="27" t="n"/>
      <c r="C832" s="27" t="inlineStr">
        <is>
          <t>Stationery</t>
        </is>
      </c>
      <c r="D832" s="32" t="inlineStr">
        <is>
          <t>100315</t>
        </is>
      </c>
      <c r="E832" s="27" t="n"/>
      <c r="F832" s="29" t="n">
        <v>0</v>
      </c>
      <c r="G832" s="29" t="n">
        <v>220</v>
      </c>
      <c r="H832" s="27" t="inlineStr">
        <is>
          <t>Exclusive</t>
        </is>
      </c>
      <c r="I832" s="29" t="n">
        <v>100</v>
      </c>
      <c r="J832" s="27" t="inlineStr">
        <is>
          <t>Exclusive</t>
        </is>
      </c>
      <c r="K832" s="29" t="n">
        <v>250</v>
      </c>
      <c r="L832" s="29" t="n">
        <v>25</v>
      </c>
      <c r="M832" s="33" t="n">
        <v>1</v>
      </c>
      <c r="N832" s="27" t="inlineStr">
        <is>
          <t>No</t>
        </is>
      </c>
      <c r="O832" s="29" t="n">
        <v>0</v>
      </c>
      <c r="P832" s="30" t="n">
        <v>450</v>
      </c>
      <c r="Q832" s="31" t="inlineStr">
        <is>
          <t>In Stock</t>
        </is>
      </c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5" customHeight="1" s="85">
      <c r="A833" s="27" t="inlineStr">
        <is>
          <t>PIECE CAKE 200GM</t>
        </is>
      </c>
      <c r="B833" s="27" t="n"/>
      <c r="C833" s="27" t="inlineStr">
        <is>
          <t>Snacks</t>
        </is>
      </c>
      <c r="D833" s="32" t="inlineStr">
        <is>
          <t>100316</t>
        </is>
      </c>
      <c r="E833" s="27" t="n"/>
      <c r="F833" s="29" t="n">
        <v>0</v>
      </c>
      <c r="G833" s="29" t="n">
        <v>90</v>
      </c>
      <c r="H833" s="27" t="inlineStr">
        <is>
          <t>Exclusive</t>
        </is>
      </c>
      <c r="I833" s="29" t="n">
        <v>80</v>
      </c>
      <c r="J833" s="27" t="inlineStr">
        <is>
          <t>Exclusive</t>
        </is>
      </c>
      <c r="K833" s="29" t="n">
        <v>90</v>
      </c>
      <c r="L833" s="29" t="n">
        <v>0</v>
      </c>
      <c r="M833" s="27" t="n"/>
      <c r="N833" s="27" t="inlineStr">
        <is>
          <t>Yes</t>
        </is>
      </c>
      <c r="O833" s="29" t="n">
        <v>0</v>
      </c>
      <c r="P833" s="30" t="n">
        <v>450</v>
      </c>
      <c r="Q833" s="31" t="inlineStr">
        <is>
          <t>In Stock</t>
        </is>
      </c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5" customHeight="1" s="85">
      <c r="A834" s="27" t="inlineStr">
        <is>
          <t>PINEAPPLE ESSENCE 20ML</t>
        </is>
      </c>
      <c r="B834" s="27" t="n"/>
      <c r="C834" s="27" t="inlineStr">
        <is>
          <t>Ready to Eat &amp; Mixes</t>
        </is>
      </c>
      <c r="D834" s="28" t="inlineStr">
        <is>
          <t>8907885001707</t>
        </is>
      </c>
      <c r="E834" s="27" t="n"/>
      <c r="F834" s="29" t="n">
        <v>0</v>
      </c>
      <c r="G834" s="29" t="n">
        <v>29</v>
      </c>
      <c r="H834" s="27" t="inlineStr">
        <is>
          <t>Exclusive</t>
        </is>
      </c>
      <c r="I834" s="29" t="n">
        <v>22</v>
      </c>
      <c r="J834" s="27" t="inlineStr">
        <is>
          <t>Exclusive</t>
        </is>
      </c>
      <c r="K834" s="29" t="n">
        <v>29</v>
      </c>
      <c r="L834" s="29" t="n">
        <v>0</v>
      </c>
      <c r="M834" s="33" t="n">
        <v>1</v>
      </c>
      <c r="N834" s="27" t="inlineStr">
        <is>
          <t>Yes</t>
        </is>
      </c>
      <c r="O834" s="29" t="n">
        <v>0</v>
      </c>
      <c r="P834" s="30" t="n">
        <v>450</v>
      </c>
      <c r="Q834" s="31" t="inlineStr">
        <is>
          <t>In Stock</t>
        </is>
      </c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5" customHeight="1" s="85">
      <c r="A835" s="27" t="inlineStr">
        <is>
          <t>PK BREATH EC GRANULES 200GM</t>
        </is>
      </c>
      <c r="B835" s="27" t="n"/>
      <c r="C835" s="27" t="inlineStr">
        <is>
          <t>Healthcare Items</t>
        </is>
      </c>
      <c r="D835" s="32" t="inlineStr">
        <is>
          <t>100317</t>
        </is>
      </c>
      <c r="E835" s="27" t="n"/>
      <c r="F835" s="29" t="n">
        <v>0</v>
      </c>
      <c r="G835" s="29" t="n">
        <v>196</v>
      </c>
      <c r="H835" s="27" t="inlineStr">
        <is>
          <t>Exclusive</t>
        </is>
      </c>
      <c r="I835" s="29" t="n">
        <v>158.67</v>
      </c>
      <c r="J835" s="27" t="inlineStr">
        <is>
          <t>Exclusive</t>
        </is>
      </c>
      <c r="K835" s="29" t="n">
        <v>0</v>
      </c>
      <c r="L835" s="29" t="n">
        <v>1</v>
      </c>
      <c r="M835" s="27" t="n"/>
      <c r="N835" s="27" t="inlineStr">
        <is>
          <t>Yes</t>
        </is>
      </c>
      <c r="O835" s="29" t="n">
        <v>0</v>
      </c>
      <c r="P835" s="30" t="n">
        <v>450</v>
      </c>
      <c r="Q835" s="31" t="inlineStr">
        <is>
          <t>In Stock</t>
        </is>
      </c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5" customHeight="1" s="85">
      <c r="A836" s="27" t="inlineStr">
        <is>
          <t>PK ORTHOHERB OIL</t>
        </is>
      </c>
      <c r="B836" s="27" t="n"/>
      <c r="C836" s="27" t="inlineStr">
        <is>
          <t>Healthcare Items</t>
        </is>
      </c>
      <c r="D836" s="32" t="inlineStr">
        <is>
          <t>100319</t>
        </is>
      </c>
      <c r="E836" s="27" t="n"/>
      <c r="F836" s="29" t="n">
        <v>0</v>
      </c>
      <c r="G836" s="29" t="n">
        <v>140</v>
      </c>
      <c r="H836" s="27" t="inlineStr">
        <is>
          <t>Exclusive</t>
        </is>
      </c>
      <c r="I836" s="29" t="n">
        <v>113.34</v>
      </c>
      <c r="J836" s="27" t="inlineStr">
        <is>
          <t>Exclusive</t>
        </is>
      </c>
      <c r="K836" s="29" t="n">
        <v>0</v>
      </c>
      <c r="L836" s="29" t="n">
        <v>0</v>
      </c>
      <c r="M836" s="27" t="n"/>
      <c r="N836" s="27" t="inlineStr">
        <is>
          <t>Yes</t>
        </is>
      </c>
      <c r="O836" s="29" t="n">
        <v>0</v>
      </c>
      <c r="P836" s="30" t="n">
        <v>450</v>
      </c>
      <c r="Q836" s="31" t="inlineStr">
        <is>
          <t>In Stock</t>
        </is>
      </c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5" customHeight="1" s="85">
      <c r="A837" s="27" t="inlineStr">
        <is>
          <t>PK TULSI COUGH SYRUP</t>
        </is>
      </c>
      <c r="B837" s="27" t="n"/>
      <c r="C837" s="27" t="inlineStr">
        <is>
          <t>Healthcare Items</t>
        </is>
      </c>
      <c r="D837" s="32" t="inlineStr">
        <is>
          <t>100320</t>
        </is>
      </c>
      <c r="E837" s="27" t="n"/>
      <c r="F837" s="29" t="n">
        <v>0</v>
      </c>
      <c r="G837" s="29" t="n">
        <v>75</v>
      </c>
      <c r="H837" s="27" t="inlineStr">
        <is>
          <t>Inclusive</t>
        </is>
      </c>
      <c r="I837" s="29" t="n">
        <v>66</v>
      </c>
      <c r="J837" s="27" t="inlineStr">
        <is>
          <t>Inclusive</t>
        </is>
      </c>
      <c r="K837" s="29" t="n">
        <v>75</v>
      </c>
      <c r="L837" s="29" t="n">
        <v>0</v>
      </c>
      <c r="M837" s="33" t="n">
        <v>1</v>
      </c>
      <c r="N837" s="27" t="inlineStr">
        <is>
          <t>No</t>
        </is>
      </c>
      <c r="O837" s="29" t="n">
        <v>0</v>
      </c>
      <c r="P837" s="30" t="n">
        <v>450</v>
      </c>
      <c r="Q837" s="31" t="inlineStr">
        <is>
          <t>In Stock</t>
        </is>
      </c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5" customHeight="1" s="85">
      <c r="A838" s="27" t="inlineStr">
        <is>
          <t>PLAIN CAKE 200GM</t>
        </is>
      </c>
      <c r="B838" s="27" t="n"/>
      <c r="C838" s="27" t="inlineStr">
        <is>
          <t>Snacks</t>
        </is>
      </c>
      <c r="D838" s="28" t="inlineStr">
        <is>
          <t>452537572101</t>
        </is>
      </c>
      <c r="E838" s="27" t="n"/>
      <c r="F838" s="29" t="n">
        <v>0</v>
      </c>
      <c r="G838" s="29" t="n">
        <v>75</v>
      </c>
      <c r="H838" s="27" t="inlineStr">
        <is>
          <t>Exclusive</t>
        </is>
      </c>
      <c r="I838" s="29" t="n">
        <v>50</v>
      </c>
      <c r="J838" s="27" t="inlineStr">
        <is>
          <t>Exclusive</t>
        </is>
      </c>
      <c r="K838" s="29" t="n">
        <v>80</v>
      </c>
      <c r="L838" s="29" t="n">
        <v>0</v>
      </c>
      <c r="M838" s="33" t="n">
        <v>1</v>
      </c>
      <c r="N838" s="27" t="inlineStr">
        <is>
          <t>Yes</t>
        </is>
      </c>
      <c r="O838" s="29" t="n">
        <v>0</v>
      </c>
      <c r="P838" s="30" t="n">
        <v>450</v>
      </c>
      <c r="Q838" s="31" t="inlineStr">
        <is>
          <t>In Stock</t>
        </is>
      </c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5" customHeight="1" s="85">
      <c r="A839" s="27" t="inlineStr">
        <is>
          <t>PLAIN CAKE 440GM</t>
        </is>
      </c>
      <c r="B839" s="27" t="n"/>
      <c r="C839" s="27" t="inlineStr">
        <is>
          <t>Snacks</t>
        </is>
      </c>
      <c r="D839" s="28" t="inlineStr">
        <is>
          <t>367754342364</t>
        </is>
      </c>
      <c r="E839" s="27" t="n"/>
      <c r="F839" s="29" t="n">
        <v>0</v>
      </c>
      <c r="G839" s="29" t="n">
        <v>150</v>
      </c>
      <c r="H839" s="27" t="inlineStr">
        <is>
          <t>Exclusive</t>
        </is>
      </c>
      <c r="I839" s="29" t="n">
        <v>130</v>
      </c>
      <c r="J839" s="27" t="inlineStr">
        <is>
          <t>Exclusive</t>
        </is>
      </c>
      <c r="K839" s="29" t="n">
        <v>170</v>
      </c>
      <c r="L839" s="29" t="n">
        <v>1</v>
      </c>
      <c r="M839" s="33" t="n">
        <v>1</v>
      </c>
      <c r="N839" s="27" t="inlineStr">
        <is>
          <t>Yes</t>
        </is>
      </c>
      <c r="O839" s="29" t="n">
        <v>0</v>
      </c>
      <c r="P839" s="30" t="n">
        <v>450</v>
      </c>
      <c r="Q839" s="31" t="inlineStr">
        <is>
          <t>In Stock</t>
        </is>
      </c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5" customHeight="1" s="85">
      <c r="A840" s="27" t="inlineStr">
        <is>
          <t>PLASTIC CONTAINER</t>
        </is>
      </c>
      <c r="B840" s="27" t="n"/>
      <c r="C840" s="27" t="inlineStr">
        <is>
          <t>Household &amp; Cleaning</t>
        </is>
      </c>
      <c r="D840" s="32" t="inlineStr">
        <is>
          <t>100321</t>
        </is>
      </c>
      <c r="E840" s="27" t="n"/>
      <c r="F840" s="29" t="n">
        <v>0</v>
      </c>
      <c r="G840" s="29" t="n">
        <v>25</v>
      </c>
      <c r="H840" s="27" t="inlineStr">
        <is>
          <t>Exclusive</t>
        </is>
      </c>
      <c r="I840" s="29" t="n">
        <v>10</v>
      </c>
      <c r="J840" s="27" t="inlineStr">
        <is>
          <t>Exclusive</t>
        </is>
      </c>
      <c r="K840" s="29" t="n">
        <v>30</v>
      </c>
      <c r="L840" s="29" t="n">
        <v>15</v>
      </c>
      <c r="M840" s="33" t="n">
        <v>1</v>
      </c>
      <c r="N840" s="27" t="inlineStr">
        <is>
          <t>No</t>
        </is>
      </c>
      <c r="O840" s="29" t="n">
        <v>0</v>
      </c>
      <c r="P840" s="30" t="n">
        <v>450</v>
      </c>
      <c r="Q840" s="31" t="inlineStr">
        <is>
          <t>In Stock</t>
        </is>
      </c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5" customHeight="1" s="85">
      <c r="A841" s="27" t="inlineStr">
        <is>
          <t>PLASTIC KEY CHAIN 20</t>
        </is>
      </c>
      <c r="B841" s="27" t="n"/>
      <c r="C841" s="27" t="inlineStr">
        <is>
          <t>Church Articles</t>
        </is>
      </c>
      <c r="D841" s="32" t="inlineStr">
        <is>
          <t>100322</t>
        </is>
      </c>
      <c r="E841" s="27" t="n"/>
      <c r="F841" s="29" t="n">
        <v>0</v>
      </c>
      <c r="G841" s="29" t="n">
        <v>20</v>
      </c>
      <c r="H841" s="27" t="inlineStr">
        <is>
          <t>Exclusive</t>
        </is>
      </c>
      <c r="I841" s="29" t="n">
        <v>10</v>
      </c>
      <c r="J841" s="27" t="inlineStr">
        <is>
          <t>Exclusive</t>
        </is>
      </c>
      <c r="K841" s="29" t="n">
        <v>20</v>
      </c>
      <c r="L841" s="29" t="n">
        <v>15</v>
      </c>
      <c r="M841" s="33" t="n">
        <v>1</v>
      </c>
      <c r="N841" s="27" t="inlineStr">
        <is>
          <t>No</t>
        </is>
      </c>
      <c r="O841" s="29" t="n">
        <v>0</v>
      </c>
      <c r="P841" s="30" t="n">
        <v>450</v>
      </c>
      <c r="Q841" s="31" t="inlineStr">
        <is>
          <t>In Stock</t>
        </is>
      </c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5" customHeight="1" s="85">
      <c r="A842" s="27" t="inlineStr">
        <is>
          <t>PLASTIC TRAY</t>
        </is>
      </c>
      <c r="B842" s="27" t="n"/>
      <c r="C842" s="27" t="inlineStr">
        <is>
          <t>Household &amp; Cleaning</t>
        </is>
      </c>
      <c r="D842" s="32" t="inlineStr">
        <is>
          <t>100323</t>
        </is>
      </c>
      <c r="E842" s="27" t="n"/>
      <c r="F842" s="29" t="n">
        <v>0</v>
      </c>
      <c r="G842" s="29" t="n">
        <v>20</v>
      </c>
      <c r="H842" s="27" t="inlineStr">
        <is>
          <t>Exclusive</t>
        </is>
      </c>
      <c r="I842" s="29" t="n">
        <v>18</v>
      </c>
      <c r="J842" s="27" t="inlineStr">
        <is>
          <t>Exclusive</t>
        </is>
      </c>
      <c r="K842" s="29" t="n">
        <v>20</v>
      </c>
      <c r="L842" s="29" t="n">
        <v>0</v>
      </c>
      <c r="M842" s="33" t="n">
        <v>1</v>
      </c>
      <c r="N842" s="27" t="inlineStr">
        <is>
          <t>Yes</t>
        </is>
      </c>
      <c r="O842" s="29" t="n">
        <v>0</v>
      </c>
      <c r="P842" s="30" t="n">
        <v>450</v>
      </c>
      <c r="Q842" s="31" t="inlineStr">
        <is>
          <t>In Stock</t>
        </is>
      </c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5" customHeight="1" s="85">
      <c r="A843" s="27" t="inlineStr">
        <is>
          <t>POCKET TEXT</t>
        </is>
      </c>
      <c r="B843" s="27" t="n"/>
      <c r="C843" s="27" t="inlineStr">
        <is>
          <t>Books &amp; Bibles</t>
        </is>
      </c>
      <c r="D843" s="32" t="inlineStr">
        <is>
          <t>100325</t>
        </is>
      </c>
      <c r="E843" s="27" t="n"/>
      <c r="F843" s="29" t="n">
        <v>0</v>
      </c>
      <c r="G843" s="29" t="n">
        <v>10</v>
      </c>
      <c r="H843" s="27" t="inlineStr">
        <is>
          <t>Inclusive</t>
        </is>
      </c>
      <c r="I843" s="29" t="n">
        <v>4</v>
      </c>
      <c r="J843" s="27" t="inlineStr">
        <is>
          <t>Inclusive</t>
        </is>
      </c>
      <c r="K843" s="29" t="n">
        <v>12</v>
      </c>
      <c r="L843" s="29" t="n">
        <v>232</v>
      </c>
      <c r="M843" s="33" t="n">
        <v>1</v>
      </c>
      <c r="N843" s="27" t="inlineStr">
        <is>
          <t>Yes</t>
        </is>
      </c>
      <c r="O843" s="29" t="n">
        <v>0</v>
      </c>
      <c r="P843" s="30" t="n">
        <v>450</v>
      </c>
      <c r="Q843" s="31" t="inlineStr">
        <is>
          <t>In Stock</t>
        </is>
      </c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5" customHeight="1" s="85">
      <c r="A844" s="27" t="inlineStr">
        <is>
          <t>PONKATHIR APPAM PODI 1KG</t>
        </is>
      </c>
      <c r="B844" s="27" t="n"/>
      <c r="C844" s="27" t="inlineStr">
        <is>
          <t>Grains &amp; Flours</t>
        </is>
      </c>
      <c r="D844" s="32" t="inlineStr">
        <is>
          <t>100326</t>
        </is>
      </c>
      <c r="E844" s="27" t="n"/>
      <c r="F844" s="29" t="n">
        <v>0</v>
      </c>
      <c r="G844" s="29" t="n">
        <v>142</v>
      </c>
      <c r="H844" s="27" t="inlineStr">
        <is>
          <t>Exclusive</t>
        </is>
      </c>
      <c r="I844" s="29" t="n">
        <v>110</v>
      </c>
      <c r="J844" s="27" t="inlineStr">
        <is>
          <t>Exclusive</t>
        </is>
      </c>
      <c r="K844" s="29" t="n">
        <v>142</v>
      </c>
      <c r="L844" s="29" t="n">
        <v>30</v>
      </c>
      <c r="M844" s="27" t="n"/>
      <c r="N844" s="27" t="inlineStr">
        <is>
          <t>Yes</t>
        </is>
      </c>
      <c r="O844" s="29" t="n">
        <v>0</v>
      </c>
      <c r="P844" s="30" t="n">
        <v>450</v>
      </c>
      <c r="Q844" s="31" t="inlineStr">
        <is>
          <t>In Stock</t>
        </is>
      </c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5" customHeight="1" s="85">
      <c r="A845" s="27" t="inlineStr">
        <is>
          <t>PONKATHIR APPAM PODI 500GM</t>
        </is>
      </c>
      <c r="B845" s="27" t="n"/>
      <c r="C845" s="27" t="inlineStr">
        <is>
          <t>Grains &amp; Flours</t>
        </is>
      </c>
      <c r="D845" s="28" t="inlineStr">
        <is>
          <t>8908009275028</t>
        </is>
      </c>
      <c r="E845" s="27" t="n"/>
      <c r="F845" s="29" t="n">
        <v>0</v>
      </c>
      <c r="G845" s="29" t="n">
        <v>71</v>
      </c>
      <c r="H845" s="27" t="inlineStr">
        <is>
          <t>Exclusive</t>
        </is>
      </c>
      <c r="I845" s="29" t="n">
        <v>59</v>
      </c>
      <c r="J845" s="27" t="inlineStr">
        <is>
          <t>Exclusive</t>
        </is>
      </c>
      <c r="K845" s="29" t="n">
        <v>65</v>
      </c>
      <c r="L845" s="29" t="n">
        <v>0</v>
      </c>
      <c r="M845" s="33" t="n">
        <v>1</v>
      </c>
      <c r="N845" s="27" t="inlineStr">
        <is>
          <t>Yes</t>
        </is>
      </c>
      <c r="O845" s="29" t="n">
        <v>0</v>
      </c>
      <c r="P845" s="30" t="n">
        <v>450</v>
      </c>
      <c r="Q845" s="31" t="inlineStr">
        <is>
          <t>In Stock</t>
        </is>
      </c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5" customHeight="1" s="85">
      <c r="A846" s="27" t="inlineStr">
        <is>
          <t>PONKATHIR AVALOSE PODI 300GM</t>
        </is>
      </c>
      <c r="B846" s="27" t="n"/>
      <c r="C846" s="27" t="inlineStr">
        <is>
          <t>Grains &amp; Flours</t>
        </is>
      </c>
      <c r="D846" s="32" t="inlineStr">
        <is>
          <t>100327</t>
        </is>
      </c>
      <c r="E846" s="27" t="n"/>
      <c r="F846" s="29" t="n">
        <v>0</v>
      </c>
      <c r="G846" s="29" t="n">
        <v>56</v>
      </c>
      <c r="H846" s="27" t="inlineStr">
        <is>
          <t>Exclusive</t>
        </is>
      </c>
      <c r="I846" s="29" t="n">
        <v>75</v>
      </c>
      <c r="J846" s="27" t="inlineStr">
        <is>
          <t>Exclusive</t>
        </is>
      </c>
      <c r="K846" s="29" t="n">
        <v>0</v>
      </c>
      <c r="L846" s="29" t="n">
        <v>4</v>
      </c>
      <c r="M846" s="27" t="n"/>
      <c r="N846" s="27" t="inlineStr">
        <is>
          <t>Yes</t>
        </is>
      </c>
      <c r="O846" s="29" t="n">
        <v>0</v>
      </c>
      <c r="P846" s="30" t="n">
        <v>450</v>
      </c>
      <c r="Q846" s="31" t="inlineStr">
        <is>
          <t>In Stock</t>
        </is>
      </c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5" customHeight="1" s="85">
      <c r="A847" s="27" t="inlineStr">
        <is>
          <t>PONKATHIR CHEMBA PUTTU PODI 1KG</t>
        </is>
      </c>
      <c r="B847" s="27" t="n"/>
      <c r="C847" s="27" t="inlineStr">
        <is>
          <t>Grains &amp; Flours</t>
        </is>
      </c>
      <c r="D847" s="28" t="inlineStr">
        <is>
          <t>8908009275066</t>
        </is>
      </c>
      <c r="E847" s="27" t="n"/>
      <c r="F847" s="29" t="n">
        <v>0</v>
      </c>
      <c r="G847" s="29" t="n">
        <v>168</v>
      </c>
      <c r="H847" s="27" t="inlineStr">
        <is>
          <t>Exclusive</t>
        </is>
      </c>
      <c r="I847" s="29" t="n">
        <v>126</v>
      </c>
      <c r="J847" s="27" t="inlineStr">
        <is>
          <t>Exclusive</t>
        </is>
      </c>
      <c r="K847" s="29" t="n">
        <v>168</v>
      </c>
      <c r="L847" s="29" t="n">
        <v>0</v>
      </c>
      <c r="M847" s="33" t="n">
        <v>1</v>
      </c>
      <c r="N847" s="27" t="inlineStr">
        <is>
          <t>Yes</t>
        </is>
      </c>
      <c r="O847" s="29" t="n">
        <v>0</v>
      </c>
      <c r="P847" s="30" t="n">
        <v>450</v>
      </c>
      <c r="Q847" s="31" t="inlineStr">
        <is>
          <t>In Stock</t>
        </is>
      </c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5" customHeight="1" s="85">
      <c r="A848" s="27" t="inlineStr">
        <is>
          <t>PONKATHIR CHEMBA PUTTU PODI 500GM</t>
        </is>
      </c>
      <c r="B848" s="27" t="n"/>
      <c r="C848" s="27" t="inlineStr">
        <is>
          <t>Grains &amp; Flours</t>
        </is>
      </c>
      <c r="D848" s="28" t="inlineStr">
        <is>
          <t>8908009275059</t>
        </is>
      </c>
      <c r="E848" s="27" t="n"/>
      <c r="F848" s="29" t="n">
        <v>0</v>
      </c>
      <c r="G848" s="29" t="n">
        <v>88</v>
      </c>
      <c r="H848" s="27" t="inlineStr">
        <is>
          <t>Exclusive</t>
        </is>
      </c>
      <c r="I848" s="29" t="n">
        <v>75</v>
      </c>
      <c r="J848" s="27" t="inlineStr">
        <is>
          <t>Exclusive</t>
        </is>
      </c>
      <c r="K848" s="29" t="n">
        <v>86</v>
      </c>
      <c r="L848" s="29" t="n">
        <v>0</v>
      </c>
      <c r="M848" s="33" t="n">
        <v>1</v>
      </c>
      <c r="N848" s="27" t="inlineStr">
        <is>
          <t>Yes</t>
        </is>
      </c>
      <c r="O848" s="29" t="n">
        <v>0</v>
      </c>
      <c r="P848" s="30" t="n">
        <v>450</v>
      </c>
      <c r="Q848" s="31" t="inlineStr">
        <is>
          <t>In Stock</t>
        </is>
      </c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5" customHeight="1" s="85">
      <c r="A849" s="27" t="inlineStr">
        <is>
          <t>PONKATHIR CORN PUTTU PODI 500GM</t>
        </is>
      </c>
      <c r="B849" s="27" t="n"/>
      <c r="C849" s="27" t="inlineStr">
        <is>
          <t>Grains &amp; Flours</t>
        </is>
      </c>
      <c r="D849" s="28" t="inlineStr">
        <is>
          <t>8908009275325</t>
        </is>
      </c>
      <c r="E849" s="27" t="n"/>
      <c r="F849" s="29" t="n">
        <v>0</v>
      </c>
      <c r="G849" s="29" t="n">
        <v>92</v>
      </c>
      <c r="H849" s="27" t="inlineStr">
        <is>
          <t>Exclusive</t>
        </is>
      </c>
      <c r="I849" s="29" t="n">
        <v>55.71</v>
      </c>
      <c r="J849" s="27" t="inlineStr">
        <is>
          <t>Exclusive</t>
        </is>
      </c>
      <c r="K849" s="29" t="n">
        <v>92</v>
      </c>
      <c r="L849" s="29" t="n">
        <v>1</v>
      </c>
      <c r="M849" s="27" t="n"/>
      <c r="N849" s="27" t="inlineStr">
        <is>
          <t>Yes</t>
        </is>
      </c>
      <c r="O849" s="29" t="n">
        <v>0</v>
      </c>
      <c r="P849" s="30" t="n">
        <v>450</v>
      </c>
      <c r="Q849" s="31" t="inlineStr">
        <is>
          <t>In Stock</t>
        </is>
      </c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5" customHeight="1" s="85">
      <c r="A850" s="27" t="inlineStr">
        <is>
          <t>PONKATHIR DOSA PODI 500GM</t>
        </is>
      </c>
      <c r="B850" s="27" t="n"/>
      <c r="C850" s="27" t="inlineStr">
        <is>
          <t>Grains &amp; Flours</t>
        </is>
      </c>
      <c r="D850" s="32" t="inlineStr">
        <is>
          <t>100330</t>
        </is>
      </c>
      <c r="E850" s="27" t="n"/>
      <c r="F850" s="29" t="n">
        <v>0</v>
      </c>
      <c r="G850" s="29" t="n">
        <v>95</v>
      </c>
      <c r="H850" s="27" t="inlineStr">
        <is>
          <t>Exclusive</t>
        </is>
      </c>
      <c r="I850" s="29" t="n">
        <v>80</v>
      </c>
      <c r="J850" s="27" t="inlineStr">
        <is>
          <t>Exclusive</t>
        </is>
      </c>
      <c r="K850" s="29" t="n">
        <v>95</v>
      </c>
      <c r="L850" s="29" t="n">
        <v>0</v>
      </c>
      <c r="M850" s="27" t="n"/>
      <c r="N850" s="27" t="inlineStr">
        <is>
          <t>Yes</t>
        </is>
      </c>
      <c r="O850" s="29" t="n">
        <v>0</v>
      </c>
      <c r="P850" s="30" t="n">
        <v>450</v>
      </c>
      <c r="Q850" s="31" t="inlineStr">
        <is>
          <t>In Stock</t>
        </is>
      </c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5" customHeight="1" s="85">
      <c r="A851" s="27" t="inlineStr">
        <is>
          <t>PONKATHIR IDLI POWDER 500GM</t>
        </is>
      </c>
      <c r="B851" s="27" t="n"/>
      <c r="C851" s="27" t="inlineStr">
        <is>
          <t>Grains &amp; Flours</t>
        </is>
      </c>
      <c r="D851" s="32" t="inlineStr">
        <is>
          <t>100331</t>
        </is>
      </c>
      <c r="E851" s="27" t="n"/>
      <c r="F851" s="29" t="n">
        <v>0</v>
      </c>
      <c r="G851" s="29" t="n">
        <v>95</v>
      </c>
      <c r="H851" s="27" t="inlineStr">
        <is>
          <t>Exclusive</t>
        </is>
      </c>
      <c r="I851" s="29" t="n">
        <v>74</v>
      </c>
      <c r="J851" s="27" t="inlineStr">
        <is>
          <t>Exclusive</t>
        </is>
      </c>
      <c r="K851" s="29" t="n">
        <v>95</v>
      </c>
      <c r="L851" s="29" t="n">
        <v>10</v>
      </c>
      <c r="M851" s="27" t="n"/>
      <c r="N851" s="27" t="inlineStr">
        <is>
          <t>Yes</t>
        </is>
      </c>
      <c r="O851" s="29" t="n">
        <v>0</v>
      </c>
      <c r="P851" s="30" t="n">
        <v>450</v>
      </c>
      <c r="Q851" s="31" t="inlineStr">
        <is>
          <t>In Stock</t>
        </is>
      </c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5" customHeight="1" s="85">
      <c r="A852" s="27" t="inlineStr">
        <is>
          <t>PONKATHIR INSTANT IDIYAPPAM 200GM</t>
        </is>
      </c>
      <c r="B852" s="27" t="n"/>
      <c r="C852" s="27" t="inlineStr">
        <is>
          <t>Ready to Eat &amp; Mixes</t>
        </is>
      </c>
      <c r="D852" s="28" t="inlineStr">
        <is>
          <t>8906176080957</t>
        </is>
      </c>
      <c r="E852" s="27" t="n"/>
      <c r="F852" s="29" t="n">
        <v>0</v>
      </c>
      <c r="G852" s="29" t="n">
        <v>95</v>
      </c>
      <c r="H852" s="27" t="inlineStr">
        <is>
          <t>Exclusive</t>
        </is>
      </c>
      <c r="I852" s="29" t="n">
        <v>67.86</v>
      </c>
      <c r="J852" s="27" t="inlineStr">
        <is>
          <t>Exclusive</t>
        </is>
      </c>
      <c r="K852" s="29" t="n">
        <v>95</v>
      </c>
      <c r="L852" s="29" t="n">
        <v>0</v>
      </c>
      <c r="M852" s="27" t="n"/>
      <c r="N852" s="27" t="inlineStr">
        <is>
          <t>Yes</t>
        </is>
      </c>
      <c r="O852" s="29" t="n">
        <v>0</v>
      </c>
      <c r="P852" s="30" t="n">
        <v>450</v>
      </c>
      <c r="Q852" s="31" t="inlineStr">
        <is>
          <t>In Stock</t>
        </is>
      </c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5" customHeight="1" s="85">
      <c r="A853" s="27" t="inlineStr">
        <is>
          <t>PONKATHIR PUTTU PODI 1KG</t>
        </is>
      </c>
      <c r="B853" s="27" t="n"/>
      <c r="C853" s="27" t="inlineStr">
        <is>
          <t>Grains &amp; Flours</t>
        </is>
      </c>
      <c r="D853" s="32" t="inlineStr">
        <is>
          <t>100332</t>
        </is>
      </c>
      <c r="E853" s="27" t="n"/>
      <c r="F853" s="29" t="n">
        <v>0</v>
      </c>
      <c r="G853" s="29" t="n">
        <v>142</v>
      </c>
      <c r="H853" s="27" t="inlineStr">
        <is>
          <t>Exclusive</t>
        </is>
      </c>
      <c r="I853" s="29" t="n">
        <v>110</v>
      </c>
      <c r="J853" s="27" t="inlineStr">
        <is>
          <t>Exclusive</t>
        </is>
      </c>
      <c r="K853" s="29" t="n">
        <v>142</v>
      </c>
      <c r="L853" s="29" t="n">
        <v>39</v>
      </c>
      <c r="M853" s="27" t="n"/>
      <c r="N853" s="27" t="inlineStr">
        <is>
          <t>Yes</t>
        </is>
      </c>
      <c r="O853" s="29" t="n">
        <v>0</v>
      </c>
      <c r="P853" s="30" t="n">
        <v>450</v>
      </c>
      <c r="Q853" s="31" t="inlineStr">
        <is>
          <t>In Stock</t>
        </is>
      </c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5" customHeight="1" s="85">
      <c r="A854" s="27" t="inlineStr">
        <is>
          <t>PONKATHIR PUTTU PODI 500GM</t>
        </is>
      </c>
      <c r="B854" s="27" t="n"/>
      <c r="C854" s="27" t="inlineStr">
        <is>
          <t>Grains &amp; Flours</t>
        </is>
      </c>
      <c r="D854" s="28" t="inlineStr">
        <is>
          <t>8908009275165</t>
        </is>
      </c>
      <c r="E854" s="27" t="n"/>
      <c r="F854" s="29" t="n">
        <v>0</v>
      </c>
      <c r="G854" s="29" t="n">
        <v>71</v>
      </c>
      <c r="H854" s="27" t="inlineStr">
        <is>
          <t>Exclusive</t>
        </is>
      </c>
      <c r="I854" s="29" t="n">
        <v>60</v>
      </c>
      <c r="J854" s="27" t="inlineStr">
        <is>
          <t>Exclusive</t>
        </is>
      </c>
      <c r="K854" s="29" t="n">
        <v>71</v>
      </c>
      <c r="L854" s="29" t="n">
        <v>0</v>
      </c>
      <c r="M854" s="33" t="n">
        <v>1</v>
      </c>
      <c r="N854" s="27" t="inlineStr">
        <is>
          <t>Yes</t>
        </is>
      </c>
      <c r="O854" s="29" t="n">
        <v>0</v>
      </c>
      <c r="P854" s="30" t="n">
        <v>450</v>
      </c>
      <c r="Q854" s="31" t="inlineStr">
        <is>
          <t>In Stock</t>
        </is>
      </c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5" customHeight="1" s="85">
      <c r="A855" s="27" t="inlineStr">
        <is>
          <t>PONKATHIR RAGI PUTTU PODI 500GM</t>
        </is>
      </c>
      <c r="B855" s="27" t="n"/>
      <c r="C855" s="27" t="inlineStr">
        <is>
          <t>Grains &amp; Flours</t>
        </is>
      </c>
      <c r="D855" s="28" t="inlineStr">
        <is>
          <t>8908009275332</t>
        </is>
      </c>
      <c r="E855" s="27" t="n"/>
      <c r="F855" s="29" t="n">
        <v>0</v>
      </c>
      <c r="G855" s="29" t="n">
        <v>88</v>
      </c>
      <c r="H855" s="27" t="inlineStr">
        <is>
          <t>Exclusive</t>
        </is>
      </c>
      <c r="I855" s="29" t="n">
        <v>76</v>
      </c>
      <c r="J855" s="27" t="inlineStr">
        <is>
          <t>Exclusive</t>
        </is>
      </c>
      <c r="K855" s="29" t="n">
        <v>88</v>
      </c>
      <c r="L855" s="29" t="n">
        <v>0</v>
      </c>
      <c r="M855" s="33" t="n">
        <v>1</v>
      </c>
      <c r="N855" s="27" t="inlineStr">
        <is>
          <t>Yes</t>
        </is>
      </c>
      <c r="O855" s="29" t="n">
        <v>0</v>
      </c>
      <c r="P855" s="30" t="n">
        <v>450</v>
      </c>
      <c r="Q855" s="31" t="inlineStr">
        <is>
          <t>In Stock</t>
        </is>
      </c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5" customHeight="1" s="85">
      <c r="A856" s="27" t="inlineStr">
        <is>
          <t>PONKATHIR ROASTED RAVA 1KG</t>
        </is>
      </c>
      <c r="B856" s="27" t="n"/>
      <c r="C856" s="27" t="inlineStr">
        <is>
          <t>Grains &amp; Flours</t>
        </is>
      </c>
      <c r="D856" s="32" t="inlineStr">
        <is>
          <t>100333</t>
        </is>
      </c>
      <c r="E856" s="27" t="n"/>
      <c r="F856" s="29" t="n">
        <v>0</v>
      </c>
      <c r="G856" s="29" t="n">
        <v>178</v>
      </c>
      <c r="H856" s="27" t="inlineStr">
        <is>
          <t>Exclusive</t>
        </is>
      </c>
      <c r="I856" s="29" t="n">
        <v>94.67</v>
      </c>
      <c r="J856" s="27" t="inlineStr">
        <is>
          <t>Exclusive</t>
        </is>
      </c>
      <c r="K856" s="29" t="n">
        <v>0</v>
      </c>
      <c r="L856" s="29" t="n">
        <v>9</v>
      </c>
      <c r="M856" s="27" t="n"/>
      <c r="N856" s="27" t="inlineStr">
        <is>
          <t>Yes</t>
        </is>
      </c>
      <c r="O856" s="29" t="n">
        <v>0</v>
      </c>
      <c r="P856" s="30" t="n">
        <v>450</v>
      </c>
      <c r="Q856" s="31" t="inlineStr">
        <is>
          <t>In Stock</t>
        </is>
      </c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5" customHeight="1" s="85">
      <c r="A857" s="27" t="inlineStr">
        <is>
          <t>PONKATHIR WHEAT PUTTU PODI 500GM</t>
        </is>
      </c>
      <c r="B857" s="27" t="n"/>
      <c r="C857" s="27" t="inlineStr">
        <is>
          <t>Grains &amp; Flours</t>
        </is>
      </c>
      <c r="D857" s="28" t="inlineStr">
        <is>
          <t>8908009275080</t>
        </is>
      </c>
      <c r="E857" s="27" t="n"/>
      <c r="F857" s="29" t="n">
        <v>0</v>
      </c>
      <c r="G857" s="29" t="n">
        <v>78</v>
      </c>
      <c r="H857" s="27" t="inlineStr">
        <is>
          <t>Exclusive</t>
        </is>
      </c>
      <c r="I857" s="29" t="n">
        <v>55.71</v>
      </c>
      <c r="J857" s="27" t="inlineStr">
        <is>
          <t>Exclusive</t>
        </is>
      </c>
      <c r="K857" s="29" t="n">
        <v>78</v>
      </c>
      <c r="L857" s="29" t="n">
        <v>0</v>
      </c>
      <c r="M857" s="27" t="n"/>
      <c r="N857" s="27" t="inlineStr">
        <is>
          <t>Yes</t>
        </is>
      </c>
      <c r="O857" s="29" t="n">
        <v>0</v>
      </c>
      <c r="P857" s="30" t="n">
        <v>450</v>
      </c>
      <c r="Q857" s="31" t="inlineStr">
        <is>
          <t>In Stock</t>
        </is>
      </c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5" customHeight="1" s="85">
      <c r="A858" s="27" t="inlineStr">
        <is>
          <t>PONKATHIR WHITE PUTTU PODI 1KG</t>
        </is>
      </c>
      <c r="B858" s="27" t="n"/>
      <c r="C858" s="27" t="inlineStr">
        <is>
          <t>Grains &amp; Flours</t>
        </is>
      </c>
      <c r="D858" s="28" t="inlineStr">
        <is>
          <t>8908009275004</t>
        </is>
      </c>
      <c r="E858" s="27" t="n"/>
      <c r="F858" s="29" t="n">
        <v>0</v>
      </c>
      <c r="G858" s="29" t="n">
        <v>142</v>
      </c>
      <c r="H858" s="27" t="inlineStr">
        <is>
          <t>Exclusive</t>
        </is>
      </c>
      <c r="I858" s="29" t="n">
        <v>120</v>
      </c>
      <c r="J858" s="27" t="inlineStr">
        <is>
          <t>Exclusive</t>
        </is>
      </c>
      <c r="K858" s="29" t="n">
        <v>145</v>
      </c>
      <c r="L858" s="29" t="n">
        <v>0</v>
      </c>
      <c r="M858" s="33" t="n">
        <v>1</v>
      </c>
      <c r="N858" s="27" t="inlineStr">
        <is>
          <t>Yes</t>
        </is>
      </c>
      <c r="O858" s="29" t="n">
        <v>0</v>
      </c>
      <c r="P858" s="30" t="n">
        <v>450</v>
      </c>
      <c r="Q858" s="31" t="inlineStr">
        <is>
          <t>In Stock</t>
        </is>
      </c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5" customHeight="1" s="85">
      <c r="A859" s="27" t="inlineStr">
        <is>
          <t>PONKATIR AVLOSE PODI 300GM</t>
        </is>
      </c>
      <c r="B859" s="27" t="n"/>
      <c r="C859" s="27" t="inlineStr">
        <is>
          <t>Grains &amp; Flours</t>
        </is>
      </c>
      <c r="D859" s="28" t="inlineStr">
        <is>
          <t>8908009275899</t>
        </is>
      </c>
      <c r="E859" s="27" t="n"/>
      <c r="F859" s="29" t="n">
        <v>0</v>
      </c>
      <c r="G859" s="29" t="n">
        <v>136</v>
      </c>
      <c r="H859" s="27" t="inlineStr">
        <is>
          <t>Exclusive</t>
        </is>
      </c>
      <c r="I859" s="29" t="n">
        <v>99</v>
      </c>
      <c r="J859" s="27" t="inlineStr">
        <is>
          <t>Exclusive</t>
        </is>
      </c>
      <c r="K859" s="29" t="n">
        <v>130</v>
      </c>
      <c r="L859" s="29" t="n">
        <v>0</v>
      </c>
      <c r="M859" s="33" t="n">
        <v>1</v>
      </c>
      <c r="N859" s="27" t="inlineStr">
        <is>
          <t>Yes</t>
        </is>
      </c>
      <c r="O859" s="29" t="n">
        <v>0</v>
      </c>
      <c r="P859" s="30" t="n">
        <v>450</v>
      </c>
      <c r="Q859" s="31" t="inlineStr">
        <is>
          <t>In Stock</t>
        </is>
      </c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5" customHeight="1" s="85">
      <c r="A860" s="27" t="inlineStr">
        <is>
          <t>PONKATIR EASY IDIYAPPAM PODI 500GM</t>
        </is>
      </c>
      <c r="B860" s="27" t="n"/>
      <c r="C860" s="27" t="inlineStr">
        <is>
          <t>Grains &amp; Flours</t>
        </is>
      </c>
      <c r="D860" s="28" t="inlineStr">
        <is>
          <t>8908009275233</t>
        </is>
      </c>
      <c r="E860" s="27" t="n"/>
      <c r="F860" s="29" t="n">
        <v>0</v>
      </c>
      <c r="G860" s="29" t="n">
        <v>74</v>
      </c>
      <c r="H860" s="27" t="inlineStr">
        <is>
          <t>Exclusive</t>
        </is>
      </c>
      <c r="I860" s="29" t="n">
        <v>70</v>
      </c>
      <c r="J860" s="27" t="inlineStr">
        <is>
          <t>Exclusive</t>
        </is>
      </c>
      <c r="K860" s="29" t="n">
        <v>74</v>
      </c>
      <c r="L860" s="29" t="n">
        <v>0</v>
      </c>
      <c r="M860" s="33" t="n">
        <v>1</v>
      </c>
      <c r="N860" s="27" t="inlineStr">
        <is>
          <t>Yes</t>
        </is>
      </c>
      <c r="O860" s="29" t="n">
        <v>0</v>
      </c>
      <c r="P860" s="30" t="n">
        <v>450</v>
      </c>
      <c r="Q860" s="31" t="inlineStr">
        <is>
          <t>In Stock</t>
        </is>
      </c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5" customHeight="1" s="85">
      <c r="A861" s="27" t="inlineStr">
        <is>
          <t>PONKATIR EASY PALAPPAM 500GM</t>
        </is>
      </c>
      <c r="B861" s="27" t="n"/>
      <c r="C861" s="27" t="inlineStr">
        <is>
          <t>Grains &amp; Flours</t>
        </is>
      </c>
      <c r="D861" s="28" t="inlineStr">
        <is>
          <t>8908009275158</t>
        </is>
      </c>
      <c r="E861" s="27" t="n"/>
      <c r="F861" s="29" t="n">
        <v>0</v>
      </c>
      <c r="G861" s="29" t="n">
        <v>84</v>
      </c>
      <c r="H861" s="27" t="inlineStr">
        <is>
          <t>Exclusive</t>
        </is>
      </c>
      <c r="I861" s="29" t="n">
        <v>73</v>
      </c>
      <c r="J861" s="27" t="inlineStr">
        <is>
          <t>Exclusive</t>
        </is>
      </c>
      <c r="K861" s="29" t="n">
        <v>84</v>
      </c>
      <c r="L861" s="29" t="n">
        <v>16</v>
      </c>
      <c r="M861" s="33" t="n">
        <v>1</v>
      </c>
      <c r="N861" s="27" t="inlineStr">
        <is>
          <t>Yes</t>
        </is>
      </c>
      <c r="O861" s="29" t="n">
        <v>0</v>
      </c>
      <c r="P861" s="30" t="n">
        <v>450</v>
      </c>
      <c r="Q861" s="31" t="inlineStr">
        <is>
          <t>In Stock</t>
        </is>
      </c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5" customHeight="1" s="85">
      <c r="A862" s="27" t="inlineStr">
        <is>
          <t>PONKATIR PALADA 200GM</t>
        </is>
      </c>
      <c r="B862" s="27" t="n"/>
      <c r="C862" s="27" t="inlineStr">
        <is>
          <t>Ready to Eat &amp; Mixes</t>
        </is>
      </c>
      <c r="D862" s="28" t="inlineStr">
        <is>
          <t>8908009275356</t>
        </is>
      </c>
      <c r="E862" s="27" t="n"/>
      <c r="F862" s="29" t="n">
        <v>0</v>
      </c>
      <c r="G862" s="29" t="n">
        <v>85</v>
      </c>
      <c r="H862" s="27" t="inlineStr">
        <is>
          <t>Exclusive</t>
        </is>
      </c>
      <c r="I862" s="29" t="n">
        <v>60</v>
      </c>
      <c r="J862" s="27" t="inlineStr">
        <is>
          <t>Exclusive</t>
        </is>
      </c>
      <c r="K862" s="29" t="n">
        <v>82</v>
      </c>
      <c r="L862" s="29" t="n">
        <v>20</v>
      </c>
      <c r="M862" s="33" t="n">
        <v>1</v>
      </c>
      <c r="N862" s="27" t="inlineStr">
        <is>
          <t>Yes</t>
        </is>
      </c>
      <c r="O862" s="29" t="n">
        <v>0</v>
      </c>
      <c r="P862" s="30" t="n">
        <v>450</v>
      </c>
      <c r="Q862" s="31" t="inlineStr">
        <is>
          <t>In Stock</t>
        </is>
      </c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5" customHeight="1" s="85">
      <c r="A863" s="27" t="inlineStr">
        <is>
          <t>PONKATIR RAWA 1KG</t>
        </is>
      </c>
      <c r="B863" s="27" t="n"/>
      <c r="C863" s="27" t="inlineStr">
        <is>
          <t>Grains &amp; Flours</t>
        </is>
      </c>
      <c r="D863" s="28" t="inlineStr">
        <is>
          <t>8908009275127</t>
        </is>
      </c>
      <c r="E863" s="27" t="n"/>
      <c r="F863" s="29" t="n">
        <v>0</v>
      </c>
      <c r="G863" s="29" t="n">
        <v>142</v>
      </c>
      <c r="H863" s="27" t="inlineStr">
        <is>
          <t>Exclusive</t>
        </is>
      </c>
      <c r="I863" s="29" t="n">
        <v>119</v>
      </c>
      <c r="J863" s="27" t="inlineStr">
        <is>
          <t>Exclusive</t>
        </is>
      </c>
      <c r="K863" s="29" t="n">
        <v>142</v>
      </c>
      <c r="L863" s="29" t="n">
        <v>0</v>
      </c>
      <c r="M863" s="33" t="n">
        <v>1</v>
      </c>
      <c r="N863" s="27" t="inlineStr">
        <is>
          <t>Yes</t>
        </is>
      </c>
      <c r="O863" s="29" t="n">
        <v>0</v>
      </c>
      <c r="P863" s="30" t="n">
        <v>450</v>
      </c>
      <c r="Q863" s="31" t="inlineStr">
        <is>
          <t>In Stock</t>
        </is>
      </c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5" customHeight="1" s="85">
      <c r="A864" s="27" t="inlineStr">
        <is>
          <t>PONKATIR RAWA 500GM</t>
        </is>
      </c>
      <c r="B864" s="27" t="n"/>
      <c r="C864" s="27" t="inlineStr">
        <is>
          <t>Grains &amp; Flours</t>
        </is>
      </c>
      <c r="D864" s="28" t="inlineStr">
        <is>
          <t>8908009275110</t>
        </is>
      </c>
      <c r="E864" s="27" t="n"/>
      <c r="F864" s="29" t="n">
        <v>0</v>
      </c>
      <c r="G864" s="29" t="n">
        <v>71</v>
      </c>
      <c r="H864" s="27" t="inlineStr">
        <is>
          <t>Exclusive</t>
        </is>
      </c>
      <c r="I864" s="29" t="n">
        <v>59</v>
      </c>
      <c r="J864" s="27" t="inlineStr">
        <is>
          <t>Exclusive</t>
        </is>
      </c>
      <c r="K864" s="29" t="n">
        <v>71</v>
      </c>
      <c r="L864" s="29" t="n">
        <v>0</v>
      </c>
      <c r="M864" s="33" t="n">
        <v>1</v>
      </c>
      <c r="N864" s="27" t="inlineStr">
        <is>
          <t>Yes</t>
        </is>
      </c>
      <c r="O864" s="29" t="n">
        <v>0</v>
      </c>
      <c r="P864" s="30" t="n">
        <v>450</v>
      </c>
      <c r="Q864" s="31" t="inlineStr">
        <is>
          <t>In Stock</t>
        </is>
      </c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5" customHeight="1" s="85">
      <c r="A865" s="27" t="inlineStr">
        <is>
          <t>PONKATIR RICE POWDER-ARI PODI 1KG</t>
        </is>
      </c>
      <c r="B865" s="27" t="n"/>
      <c r="C865" s="27" t="inlineStr">
        <is>
          <t>Grains &amp; Flours</t>
        </is>
      </c>
      <c r="D865" s="28" t="inlineStr">
        <is>
          <t>8908009275035</t>
        </is>
      </c>
      <c r="E865" s="27" t="n"/>
      <c r="F865" s="29" t="n">
        <v>0</v>
      </c>
      <c r="G865" s="29" t="n">
        <v>142</v>
      </c>
      <c r="H865" s="27" t="inlineStr">
        <is>
          <t>Exclusive</t>
        </is>
      </c>
      <c r="I865" s="29" t="n">
        <v>120</v>
      </c>
      <c r="J865" s="27" t="inlineStr">
        <is>
          <t>Exclusive</t>
        </is>
      </c>
      <c r="K865" s="29" t="n">
        <v>142</v>
      </c>
      <c r="L865" s="29" t="n">
        <v>0</v>
      </c>
      <c r="M865" s="33" t="n">
        <v>1</v>
      </c>
      <c r="N865" s="27" t="inlineStr">
        <is>
          <t>Yes</t>
        </is>
      </c>
      <c r="O865" s="29" t="n">
        <v>0</v>
      </c>
      <c r="P865" s="30" t="n">
        <v>450</v>
      </c>
      <c r="Q865" s="31" t="inlineStr">
        <is>
          <t>In Stock</t>
        </is>
      </c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5" customHeight="1" s="85">
      <c r="A866" s="27" t="inlineStr">
        <is>
          <t>PONKATIR SEMIYA PAYASAM 200GM</t>
        </is>
      </c>
      <c r="B866" s="27" t="n"/>
      <c r="C866" s="27" t="inlineStr">
        <is>
          <t>Ready to Eat &amp; Mixes</t>
        </is>
      </c>
      <c r="D866" s="32" t="inlineStr">
        <is>
          <t>100335</t>
        </is>
      </c>
      <c r="E866" s="27" t="n"/>
      <c r="F866" s="29" t="n">
        <v>0</v>
      </c>
      <c r="G866" s="29" t="n">
        <v>85</v>
      </c>
      <c r="H866" s="27" t="inlineStr">
        <is>
          <t>Inclusive</t>
        </is>
      </c>
      <c r="I866" s="29" t="n">
        <v>58</v>
      </c>
      <c r="J866" s="27" t="inlineStr">
        <is>
          <t>Inclusive</t>
        </is>
      </c>
      <c r="K866" s="29" t="n">
        <v>85</v>
      </c>
      <c r="L866" s="29" t="n">
        <v>0</v>
      </c>
      <c r="M866" s="33" t="n">
        <v>1</v>
      </c>
      <c r="N866" s="27" t="inlineStr">
        <is>
          <t>No</t>
        </is>
      </c>
      <c r="O866" s="29" t="n">
        <v>0</v>
      </c>
      <c r="P866" s="30" t="n">
        <v>450</v>
      </c>
      <c r="Q866" s="31" t="inlineStr">
        <is>
          <t>In Stock</t>
        </is>
      </c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5" customHeight="1" s="85">
      <c r="A867" s="27" t="inlineStr">
        <is>
          <t>PONKATIR UPMA MIX 400GM</t>
        </is>
      </c>
      <c r="B867" s="27" t="n"/>
      <c r="C867" s="27" t="inlineStr">
        <is>
          <t>Ready to Eat &amp; Mixes</t>
        </is>
      </c>
      <c r="D867" s="28" t="inlineStr">
        <is>
          <t>8906176080698</t>
        </is>
      </c>
      <c r="E867" s="27" t="n"/>
      <c r="F867" s="29" t="n">
        <v>0</v>
      </c>
      <c r="G867" s="29" t="n">
        <v>105</v>
      </c>
      <c r="H867" s="27" t="inlineStr">
        <is>
          <t>Inclusive</t>
        </is>
      </c>
      <c r="I867" s="29" t="n">
        <v>86</v>
      </c>
      <c r="J867" s="27" t="inlineStr">
        <is>
          <t>Inclusive</t>
        </is>
      </c>
      <c r="K867" s="29" t="n">
        <v>0</v>
      </c>
      <c r="L867" s="29" t="n">
        <v>3</v>
      </c>
      <c r="M867" s="33" t="n">
        <v>1</v>
      </c>
      <c r="N867" s="27" t="inlineStr">
        <is>
          <t>No</t>
        </is>
      </c>
      <c r="O867" s="29" t="n">
        <v>0</v>
      </c>
      <c r="P867" s="30" t="n">
        <v>450</v>
      </c>
      <c r="Q867" s="31" t="inlineStr">
        <is>
          <t>In Stock</t>
        </is>
      </c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5" customHeight="1" s="85">
      <c r="A868" s="27" t="inlineStr">
        <is>
          <t>PONKATIR VATTAYAPPAM PODI 500GM</t>
        </is>
      </c>
      <c r="B868" s="27" t="n"/>
      <c r="C868" s="27" t="inlineStr">
        <is>
          <t>Grains &amp; Flours</t>
        </is>
      </c>
      <c r="D868" s="28" t="inlineStr">
        <is>
          <t>8908009275349</t>
        </is>
      </c>
      <c r="E868" s="27" t="n"/>
      <c r="F868" s="29" t="n">
        <v>0</v>
      </c>
      <c r="G868" s="29" t="n">
        <v>95</v>
      </c>
      <c r="H868" s="27" t="inlineStr">
        <is>
          <t>Exclusive</t>
        </is>
      </c>
      <c r="I868" s="29" t="n">
        <v>81</v>
      </c>
      <c r="J868" s="27" t="inlineStr">
        <is>
          <t>Exclusive</t>
        </is>
      </c>
      <c r="K868" s="29" t="n">
        <v>95</v>
      </c>
      <c r="L868" s="29" t="n">
        <v>0</v>
      </c>
      <c r="M868" s="33" t="n">
        <v>1</v>
      </c>
      <c r="N868" s="27" t="inlineStr">
        <is>
          <t>Yes</t>
        </is>
      </c>
      <c r="O868" s="29" t="n">
        <v>0</v>
      </c>
      <c r="P868" s="30" t="n">
        <v>450</v>
      </c>
      <c r="Q868" s="31" t="inlineStr">
        <is>
          <t>In Stock</t>
        </is>
      </c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5" customHeight="1" s="85">
      <c r="A869" s="27" t="inlineStr">
        <is>
          <t>POWER OF SUB CONCISE MIND</t>
        </is>
      </c>
      <c r="B869" s="27" t="n"/>
      <c r="C869" s="27" t="inlineStr">
        <is>
          <t>Books &amp; Bibles</t>
        </is>
      </c>
      <c r="D869" s="28" t="inlineStr">
        <is>
          <t>598923354191</t>
        </is>
      </c>
      <c r="E869" s="27" t="n"/>
      <c r="F869" s="29" t="n">
        <v>0</v>
      </c>
      <c r="G869" s="29" t="n">
        <v>170</v>
      </c>
      <c r="H869" s="27" t="inlineStr">
        <is>
          <t>Inclusive</t>
        </is>
      </c>
      <c r="I869" s="29" t="n">
        <v>95</v>
      </c>
      <c r="J869" s="27" t="inlineStr">
        <is>
          <t>Inclusive</t>
        </is>
      </c>
      <c r="K869" s="29" t="n">
        <v>200</v>
      </c>
      <c r="L869" s="29" t="n">
        <v>8</v>
      </c>
      <c r="M869" s="33" t="n">
        <v>1</v>
      </c>
      <c r="N869" s="27" t="inlineStr">
        <is>
          <t>Yes</t>
        </is>
      </c>
      <c r="O869" s="29" t="n">
        <v>0</v>
      </c>
      <c r="P869" s="30" t="n">
        <v>450</v>
      </c>
      <c r="Q869" s="31" t="inlineStr">
        <is>
          <t>In Stock</t>
        </is>
      </c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5" customHeight="1" s="85">
      <c r="A870" s="27" t="inlineStr">
        <is>
          <t>PRAYER SCARFS</t>
        </is>
      </c>
      <c r="B870" s="27" t="n"/>
      <c r="C870" s="27" t="inlineStr">
        <is>
          <t>Kerala Clothing</t>
        </is>
      </c>
      <c r="D870" s="28" t="inlineStr">
        <is>
          <t>708590004759</t>
        </is>
      </c>
      <c r="E870" s="27" t="n"/>
      <c r="F870" s="29" t="n">
        <v>0</v>
      </c>
      <c r="G870" s="29" t="n">
        <v>120</v>
      </c>
      <c r="H870" s="27" t="inlineStr">
        <is>
          <t>Inclusive</t>
        </is>
      </c>
      <c r="I870" s="29" t="n">
        <v>51</v>
      </c>
      <c r="J870" s="27" t="inlineStr">
        <is>
          <t>Inclusive</t>
        </is>
      </c>
      <c r="K870" s="29" t="n">
        <v>130</v>
      </c>
      <c r="L870" s="29" t="n">
        <v>38</v>
      </c>
      <c r="M870" s="33" t="n">
        <v>1</v>
      </c>
      <c r="N870" s="27" t="inlineStr">
        <is>
          <t>Yes</t>
        </is>
      </c>
      <c r="O870" s="29" t="n">
        <v>0</v>
      </c>
      <c r="P870" s="30" t="n">
        <v>450</v>
      </c>
      <c r="Q870" s="31" t="inlineStr">
        <is>
          <t>In Stock</t>
        </is>
      </c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5" customHeight="1" s="85">
      <c r="A871" s="27" t="inlineStr">
        <is>
          <t>PRINTED CUPS</t>
        </is>
      </c>
      <c r="B871" s="27" t="n"/>
      <c r="C871" s="27" t="inlineStr">
        <is>
          <t>Church Articles</t>
        </is>
      </c>
      <c r="D871" s="28" t="inlineStr">
        <is>
          <t>701316412690</t>
        </is>
      </c>
      <c r="E871" s="27" t="n"/>
      <c r="F871" s="29" t="n">
        <v>0</v>
      </c>
      <c r="G871" s="29" t="n">
        <v>150</v>
      </c>
      <c r="H871" s="27" t="inlineStr">
        <is>
          <t>Exclusive</t>
        </is>
      </c>
      <c r="I871" s="29" t="n">
        <v>100</v>
      </c>
      <c r="J871" s="27" t="inlineStr">
        <is>
          <t>Exclusive</t>
        </is>
      </c>
      <c r="K871" s="29" t="n">
        <v>225</v>
      </c>
      <c r="L871" s="29" t="n">
        <v>0</v>
      </c>
      <c r="M871" s="27" t="n"/>
      <c r="N871" s="27" t="inlineStr">
        <is>
          <t>Yes</t>
        </is>
      </c>
      <c r="O871" s="29" t="n">
        <v>0</v>
      </c>
      <c r="P871" s="30" t="n">
        <v>450</v>
      </c>
      <c r="Q871" s="31" t="inlineStr">
        <is>
          <t>In Stock</t>
        </is>
      </c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5" customHeight="1" s="85">
      <c r="A872" s="27" t="inlineStr">
        <is>
          <t>PRO 3 EAR BUDS</t>
        </is>
      </c>
      <c r="B872" s="27" t="n"/>
      <c r="C872" s="27" t="inlineStr">
        <is>
          <t>Electronics</t>
        </is>
      </c>
      <c r="D872" s="28" t="inlineStr">
        <is>
          <t>869666661980</t>
        </is>
      </c>
      <c r="E872" s="27" t="n"/>
      <c r="F872" s="29" t="n">
        <v>0</v>
      </c>
      <c r="G872" s="29" t="n">
        <v>440</v>
      </c>
      <c r="H872" s="27" t="inlineStr">
        <is>
          <t>Exclusive</t>
        </is>
      </c>
      <c r="I872" s="29" t="n">
        <v>220</v>
      </c>
      <c r="J872" s="27" t="inlineStr">
        <is>
          <t>Exclusive</t>
        </is>
      </c>
      <c r="K872" s="29" t="n">
        <v>825</v>
      </c>
      <c r="L872" s="29" t="n">
        <v>3</v>
      </c>
      <c r="M872" s="27" t="n"/>
      <c r="N872" s="27" t="inlineStr">
        <is>
          <t>Yes</t>
        </is>
      </c>
      <c r="O872" s="29" t="n">
        <v>0</v>
      </c>
      <c r="P872" s="30" t="n">
        <v>450</v>
      </c>
      <c r="Q872" s="31" t="inlineStr">
        <is>
          <t>In Stock</t>
        </is>
      </c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5" customHeight="1" s="85">
      <c r="A873" s="27" t="inlineStr">
        <is>
          <t>PROMISE CARD</t>
        </is>
      </c>
      <c r="B873" s="27" t="n"/>
      <c r="C873" s="27" t="inlineStr">
        <is>
          <t>Church Articles</t>
        </is>
      </c>
      <c r="D873" s="32" t="inlineStr">
        <is>
          <t>100336</t>
        </is>
      </c>
      <c r="E873" s="27" t="n"/>
      <c r="F873" s="29" t="n">
        <v>0</v>
      </c>
      <c r="G873" s="29" t="n">
        <v>5</v>
      </c>
      <c r="H873" s="27" t="inlineStr">
        <is>
          <t>Exclusive</t>
        </is>
      </c>
      <c r="I873" s="29" t="n">
        <v>2.5</v>
      </c>
      <c r="J873" s="27" t="inlineStr">
        <is>
          <t>Exclusive</t>
        </is>
      </c>
      <c r="K873" s="29" t="n">
        <v>5</v>
      </c>
      <c r="L873" s="29" t="n">
        <v>0</v>
      </c>
      <c r="M873" s="33" t="n">
        <v>1</v>
      </c>
      <c r="N873" s="27" t="inlineStr">
        <is>
          <t>Yes</t>
        </is>
      </c>
      <c r="O873" s="29" t="n">
        <v>0</v>
      </c>
      <c r="P873" s="30" t="n">
        <v>450</v>
      </c>
      <c r="Q873" s="31" t="inlineStr">
        <is>
          <t>In Stock</t>
        </is>
      </c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5" customHeight="1" s="85">
      <c r="A874" s="27" t="inlineStr">
        <is>
          <t>PULPY NARIAL JUICE</t>
        </is>
      </c>
      <c r="B874" s="27" t="n"/>
      <c r="C874" s="27" t="inlineStr">
        <is>
          <t>Beverages</t>
        </is>
      </c>
      <c r="D874" s="28" t="inlineStr">
        <is>
          <t>8901716105268</t>
        </is>
      </c>
      <c r="E874" s="27" t="n"/>
      <c r="F874" s="29" t="n">
        <v>0</v>
      </c>
      <c r="G874" s="29" t="n">
        <v>55</v>
      </c>
      <c r="H874" s="27" t="inlineStr">
        <is>
          <t>Exclusive</t>
        </is>
      </c>
      <c r="I874" s="29" t="n">
        <v>35</v>
      </c>
      <c r="J874" s="27" t="inlineStr">
        <is>
          <t>Exclusive</t>
        </is>
      </c>
      <c r="K874" s="29" t="n">
        <v>55</v>
      </c>
      <c r="L874" s="29" t="n">
        <v>22</v>
      </c>
      <c r="M874" s="33" t="n">
        <v>1</v>
      </c>
      <c r="N874" s="27" t="inlineStr">
        <is>
          <t>Yes</t>
        </is>
      </c>
      <c r="O874" s="29" t="n">
        <v>0</v>
      </c>
      <c r="P874" s="30" t="n">
        <v>450</v>
      </c>
      <c r="Q874" s="31" t="inlineStr">
        <is>
          <t>In Stock</t>
        </is>
      </c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5" customHeight="1" s="85">
      <c r="A875" s="27" t="inlineStr">
        <is>
          <t>PUTTU MAKER</t>
        </is>
      </c>
      <c r="B875" s="27" t="n"/>
      <c r="C875" s="27" t="inlineStr">
        <is>
          <t>Kitchen Utensils</t>
        </is>
      </c>
      <c r="D875" s="28" t="inlineStr">
        <is>
          <t>762324240590</t>
        </is>
      </c>
      <c r="E875" s="27" t="n"/>
      <c r="F875" s="29" t="n">
        <v>0</v>
      </c>
      <c r="G875" s="29" t="n">
        <v>380</v>
      </c>
      <c r="H875" s="27" t="inlineStr">
        <is>
          <t>Inclusive</t>
        </is>
      </c>
      <c r="I875" s="29" t="n">
        <v>280</v>
      </c>
      <c r="J875" s="27" t="inlineStr">
        <is>
          <t>Inclusive</t>
        </is>
      </c>
      <c r="K875" s="29" t="n">
        <v>395</v>
      </c>
      <c r="L875" s="29" t="n">
        <v>0</v>
      </c>
      <c r="M875" s="33" t="n">
        <v>1</v>
      </c>
      <c r="N875" s="27" t="inlineStr">
        <is>
          <t>Yes</t>
        </is>
      </c>
      <c r="O875" s="29" t="n">
        <v>0</v>
      </c>
      <c r="P875" s="30" t="n">
        <v>450</v>
      </c>
      <c r="Q875" s="31" t="inlineStr">
        <is>
          <t>In Stock</t>
        </is>
      </c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5" customHeight="1" s="85">
      <c r="A876" s="27" t="inlineStr">
        <is>
          <t>PUTTU MAKER HANDLE MESSKIT</t>
        </is>
      </c>
      <c r="B876" s="27" t="n"/>
      <c r="C876" s="27" t="inlineStr">
        <is>
          <t>Kitchen Utensils</t>
        </is>
      </c>
      <c r="D876" s="32" t="inlineStr">
        <is>
          <t>100337</t>
        </is>
      </c>
      <c r="E876" s="27" t="n"/>
      <c r="F876" s="29" t="n">
        <v>0</v>
      </c>
      <c r="G876" s="29" t="n">
        <v>395</v>
      </c>
      <c r="H876" s="27" t="inlineStr">
        <is>
          <t>Exclusive</t>
        </is>
      </c>
      <c r="I876" s="29" t="n">
        <v>325</v>
      </c>
      <c r="J876" s="27" t="inlineStr">
        <is>
          <t>Exclusive</t>
        </is>
      </c>
      <c r="K876" s="29" t="n">
        <v>395</v>
      </c>
      <c r="L876" s="29" t="n">
        <v>1</v>
      </c>
      <c r="M876" s="33" t="n">
        <v>1</v>
      </c>
      <c r="N876" s="27" t="inlineStr">
        <is>
          <t>Yes</t>
        </is>
      </c>
      <c r="O876" s="29" t="n">
        <v>0</v>
      </c>
      <c r="P876" s="30" t="n">
        <v>450</v>
      </c>
      <c r="Q876" s="31" t="inlineStr">
        <is>
          <t>In Stock</t>
        </is>
      </c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5" customHeight="1" s="85">
      <c r="A877" s="27" t="inlineStr">
        <is>
          <t>PVM BEATEN RICE (RED MATTA AVIL) 500GM</t>
        </is>
      </c>
      <c r="B877" s="27" t="n"/>
      <c r="C877" s="27" t="inlineStr">
        <is>
          <t>Grains &amp; Flours</t>
        </is>
      </c>
      <c r="D877" s="32" t="inlineStr">
        <is>
          <t>100338</t>
        </is>
      </c>
      <c r="E877" s="27" t="n"/>
      <c r="F877" s="29" t="n">
        <v>0</v>
      </c>
      <c r="G877" s="29" t="n">
        <v>86</v>
      </c>
      <c r="H877" s="27" t="inlineStr">
        <is>
          <t>Exclusive</t>
        </is>
      </c>
      <c r="I877" s="29" t="n">
        <v>64</v>
      </c>
      <c r="J877" s="27" t="inlineStr">
        <is>
          <t>Exclusive</t>
        </is>
      </c>
      <c r="K877" s="29" t="n">
        <v>86</v>
      </c>
      <c r="L877" s="29" t="n">
        <v>71</v>
      </c>
      <c r="M877" s="33" t="n">
        <v>1</v>
      </c>
      <c r="N877" s="27" t="inlineStr">
        <is>
          <t>Yes</t>
        </is>
      </c>
      <c r="O877" s="29" t="n">
        <v>0</v>
      </c>
      <c r="P877" s="30" t="n">
        <v>450</v>
      </c>
      <c r="Q877" s="31" t="inlineStr">
        <is>
          <t>In Stock</t>
        </is>
      </c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5" customHeight="1" s="85">
      <c r="A878" s="27" t="inlineStr">
        <is>
          <t>PVM CHEMBA PUTTU PODI 1KG</t>
        </is>
      </c>
      <c r="B878" s="27" t="n"/>
      <c r="C878" s="27" t="inlineStr">
        <is>
          <t>Grains &amp; Flours</t>
        </is>
      </c>
      <c r="D878" s="28" t="inlineStr">
        <is>
          <t>8906004656682</t>
        </is>
      </c>
      <c r="E878" s="27" t="n"/>
      <c r="F878" s="29" t="n">
        <v>0</v>
      </c>
      <c r="G878" s="29" t="n">
        <v>149</v>
      </c>
      <c r="H878" s="27" t="inlineStr">
        <is>
          <t>Exclusive</t>
        </is>
      </c>
      <c r="I878" s="29" t="n">
        <v>130</v>
      </c>
      <c r="J878" s="27" t="inlineStr">
        <is>
          <t>Exclusive</t>
        </is>
      </c>
      <c r="K878" s="29" t="n">
        <v>149</v>
      </c>
      <c r="L878" s="29" t="n">
        <v>0</v>
      </c>
      <c r="M878" s="33" t="n">
        <v>1</v>
      </c>
      <c r="N878" s="27" t="inlineStr">
        <is>
          <t>Yes</t>
        </is>
      </c>
      <c r="O878" s="29" t="n">
        <v>0</v>
      </c>
      <c r="P878" s="30" t="n">
        <v>450</v>
      </c>
      <c r="Q878" s="31" t="inlineStr">
        <is>
          <t>In Stock</t>
        </is>
      </c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5" customHeight="1" s="85">
      <c r="A879" s="27" t="inlineStr">
        <is>
          <t>PVM COCONUT OIL 1LTR</t>
        </is>
      </c>
      <c r="B879" s="27" t="n"/>
      <c r="C879" s="27" t="inlineStr">
        <is>
          <t>Edible Oils &amp; Ghee</t>
        </is>
      </c>
      <c r="D879" s="28" t="inlineStr">
        <is>
          <t>8960046522596</t>
        </is>
      </c>
      <c r="E879" s="27" t="n"/>
      <c r="F879" s="29" t="n">
        <v>0</v>
      </c>
      <c r="G879" s="29" t="n">
        <v>695</v>
      </c>
      <c r="H879" s="27" t="inlineStr">
        <is>
          <t>Exclusive</t>
        </is>
      </c>
      <c r="I879" s="29" t="n">
        <v>612</v>
      </c>
      <c r="J879" s="27" t="inlineStr">
        <is>
          <t>Exclusive</t>
        </is>
      </c>
      <c r="K879" s="29" t="n">
        <v>723</v>
      </c>
      <c r="L879" s="29" t="n">
        <v>0</v>
      </c>
      <c r="M879" s="33" t="n">
        <v>1</v>
      </c>
      <c r="N879" s="27" t="inlineStr">
        <is>
          <t>Yes</t>
        </is>
      </c>
      <c r="O879" s="29" t="n">
        <v>0</v>
      </c>
      <c r="P879" s="30" t="n">
        <v>450</v>
      </c>
      <c r="Q879" s="31" t="inlineStr">
        <is>
          <t>In Stock</t>
        </is>
      </c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5" customHeight="1" s="85">
      <c r="A880" s="27" t="inlineStr">
        <is>
          <t>PVM COCONUT OIL 500GM</t>
        </is>
      </c>
      <c r="B880" s="27" t="n"/>
      <c r="C880" s="27" t="inlineStr">
        <is>
          <t>Edible Oils &amp; Ghee</t>
        </is>
      </c>
      <c r="D880" s="28" t="inlineStr">
        <is>
          <t>8960046522886</t>
        </is>
      </c>
      <c r="E880" s="27" t="n"/>
      <c r="F880" s="29" t="n">
        <v>0</v>
      </c>
      <c r="G880" s="29" t="n">
        <v>355</v>
      </c>
      <c r="H880" s="27" t="inlineStr">
        <is>
          <t>Inclusive</t>
        </is>
      </c>
      <c r="I880" s="29" t="n">
        <v>186</v>
      </c>
      <c r="J880" s="27" t="inlineStr">
        <is>
          <t>Inclusive</t>
        </is>
      </c>
      <c r="K880" s="29" t="n">
        <v>250</v>
      </c>
      <c r="L880" s="29" t="n">
        <v>2</v>
      </c>
      <c r="M880" s="33" t="n">
        <v>1</v>
      </c>
      <c r="N880" s="27" t="inlineStr">
        <is>
          <t>Yes</t>
        </is>
      </c>
      <c r="O880" s="29" t="n">
        <v>0</v>
      </c>
      <c r="P880" s="30" t="n">
        <v>450</v>
      </c>
      <c r="Q880" s="31" t="inlineStr">
        <is>
          <t>In Stock</t>
        </is>
      </c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5" customHeight="1" s="85">
      <c r="A881" s="27" t="inlineStr">
        <is>
          <t>PVM CRISTAL SALT 1KG</t>
        </is>
      </c>
      <c r="B881" s="27" t="n"/>
      <c r="C881" s="27" t="inlineStr">
        <is>
          <t>Ready to Eat &amp; Mixes</t>
        </is>
      </c>
      <c r="D881" s="28" t="inlineStr">
        <is>
          <t>8906004652301</t>
        </is>
      </c>
      <c r="E881" s="27" t="n"/>
      <c r="F881" s="29" t="n">
        <v>0</v>
      </c>
      <c r="G881" s="29" t="n">
        <v>35</v>
      </c>
      <c r="H881" s="27" t="inlineStr">
        <is>
          <t>Inclusive</t>
        </is>
      </c>
      <c r="I881" s="29" t="n">
        <v>35</v>
      </c>
      <c r="J881" s="27" t="inlineStr">
        <is>
          <t>Inclusive</t>
        </is>
      </c>
      <c r="K881" s="29" t="n">
        <v>35</v>
      </c>
      <c r="L881" s="29" t="n">
        <v>0</v>
      </c>
      <c r="M881" s="33" t="n">
        <v>1</v>
      </c>
      <c r="N881" s="27" t="inlineStr">
        <is>
          <t>Yes</t>
        </is>
      </c>
      <c r="O881" s="29" t="n">
        <v>0</v>
      </c>
      <c r="P881" s="30" t="n">
        <v>450</v>
      </c>
      <c r="Q881" s="31" t="inlineStr">
        <is>
          <t>In Stock</t>
        </is>
      </c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5" customHeight="1" s="85">
      <c r="A882" s="27" t="inlineStr">
        <is>
          <t>PVM DOSA PODI</t>
        </is>
      </c>
      <c r="B882" s="27" t="n"/>
      <c r="C882" s="27" t="inlineStr">
        <is>
          <t>Grains &amp; Flours</t>
        </is>
      </c>
      <c r="D882" s="28" t="inlineStr">
        <is>
          <t>8906004651571</t>
        </is>
      </c>
      <c r="E882" s="27" t="n"/>
      <c r="F882" s="29" t="n">
        <v>0</v>
      </c>
      <c r="G882" s="29" t="n">
        <v>84</v>
      </c>
      <c r="H882" s="27" t="inlineStr">
        <is>
          <t>Exclusive</t>
        </is>
      </c>
      <c r="I882" s="29" t="n">
        <v>73</v>
      </c>
      <c r="J882" s="27" t="inlineStr">
        <is>
          <t>Exclusive</t>
        </is>
      </c>
      <c r="K882" s="29" t="n">
        <v>84</v>
      </c>
      <c r="L882" s="29" t="n">
        <v>0</v>
      </c>
      <c r="M882" s="27" t="n"/>
      <c r="N882" s="27" t="inlineStr">
        <is>
          <t>Yes</t>
        </is>
      </c>
      <c r="O882" s="29" t="n">
        <v>0</v>
      </c>
      <c r="P882" s="30" t="n">
        <v>450</v>
      </c>
      <c r="Q882" s="31" t="inlineStr">
        <is>
          <t>In Stock</t>
        </is>
      </c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5" customHeight="1" s="85">
      <c r="A883" s="27" t="inlineStr">
        <is>
          <t>PVM IDLI PODI 500GM</t>
        </is>
      </c>
      <c r="B883" s="27" t="n"/>
      <c r="C883" s="27" t="inlineStr">
        <is>
          <t>Grains &amp; Flours</t>
        </is>
      </c>
      <c r="D883" s="28" t="inlineStr">
        <is>
          <t>8906004650604</t>
        </is>
      </c>
      <c r="E883" s="27" t="n"/>
      <c r="F883" s="29" t="n">
        <v>0</v>
      </c>
      <c r="G883" s="29" t="n">
        <v>87</v>
      </c>
      <c r="H883" s="27" t="inlineStr">
        <is>
          <t>Inclusive</t>
        </is>
      </c>
      <c r="I883" s="29" t="n">
        <v>70</v>
      </c>
      <c r="J883" s="27" t="inlineStr">
        <is>
          <t>Inclusive</t>
        </is>
      </c>
      <c r="K883" s="29" t="n">
        <v>87</v>
      </c>
      <c r="L883" s="29" t="n">
        <v>0</v>
      </c>
      <c r="M883" s="33" t="n">
        <v>1</v>
      </c>
      <c r="N883" s="27" t="inlineStr">
        <is>
          <t>Yes</t>
        </is>
      </c>
      <c r="O883" s="29" t="n">
        <v>0</v>
      </c>
      <c r="P883" s="30" t="n">
        <v>450</v>
      </c>
      <c r="Q883" s="31" t="inlineStr">
        <is>
          <t>In Stock</t>
        </is>
      </c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5" customHeight="1" s="85">
      <c r="A884" s="27" t="inlineStr">
        <is>
          <t>PVM KURUVA RICE 5KG</t>
        </is>
      </c>
      <c r="B884" s="27" t="n"/>
      <c r="C884" s="27" t="inlineStr">
        <is>
          <t>Rice Items</t>
        </is>
      </c>
      <c r="D884" s="28" t="inlineStr">
        <is>
          <t>8906004653216</t>
        </is>
      </c>
      <c r="E884" s="27" t="n"/>
      <c r="F884" s="29" t="n">
        <v>0</v>
      </c>
      <c r="G884" s="29" t="n">
        <v>370</v>
      </c>
      <c r="H884" s="27" t="inlineStr">
        <is>
          <t>Exclusive</t>
        </is>
      </c>
      <c r="I884" s="29" t="n">
        <v>320</v>
      </c>
      <c r="J884" s="27" t="inlineStr">
        <is>
          <t>Exclusive</t>
        </is>
      </c>
      <c r="K884" s="29" t="n">
        <v>397</v>
      </c>
      <c r="L884" s="29" t="n">
        <v>0</v>
      </c>
      <c r="M884" s="33" t="n">
        <v>1</v>
      </c>
      <c r="N884" s="27" t="inlineStr">
        <is>
          <t>Yes</t>
        </is>
      </c>
      <c r="O884" s="29" t="n">
        <v>0</v>
      </c>
      <c r="P884" s="30" t="n">
        <v>450</v>
      </c>
      <c r="Q884" s="31" t="inlineStr">
        <is>
          <t>In Stock</t>
        </is>
      </c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5" customHeight="1" s="85">
      <c r="A885" s="27" t="inlineStr">
        <is>
          <t>PVM MATTA AVIL 200GM</t>
        </is>
      </c>
      <c r="B885" s="27" t="n"/>
      <c r="C885" s="27" t="inlineStr">
        <is>
          <t>Grains &amp; Flours</t>
        </is>
      </c>
      <c r="D885" s="28" t="inlineStr">
        <is>
          <t>8906004651526</t>
        </is>
      </c>
      <c r="E885" s="27" t="n"/>
      <c r="F885" s="29" t="n">
        <v>0</v>
      </c>
      <c r="G885" s="29" t="n">
        <v>32</v>
      </c>
      <c r="H885" s="27" t="inlineStr">
        <is>
          <t>Exclusive</t>
        </is>
      </c>
      <c r="I885" s="29" t="n">
        <v>26</v>
      </c>
      <c r="J885" s="27" t="inlineStr">
        <is>
          <t>Exclusive</t>
        </is>
      </c>
      <c r="K885" s="29" t="n">
        <v>32</v>
      </c>
      <c r="L885" s="29" t="n">
        <v>0</v>
      </c>
      <c r="M885" s="33" t="n">
        <v>1</v>
      </c>
      <c r="N885" s="27" t="inlineStr">
        <is>
          <t>Yes</t>
        </is>
      </c>
      <c r="O885" s="29" t="n">
        <v>0</v>
      </c>
      <c r="P885" s="30" t="n">
        <v>450</v>
      </c>
      <c r="Q885" s="31" t="inlineStr">
        <is>
          <t>In Stock</t>
        </is>
      </c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5" customHeight="1" s="85">
      <c r="A886" s="27" t="inlineStr">
        <is>
          <t>PVM MATTA AVIL ROASTED</t>
        </is>
      </c>
      <c r="B886" s="27" t="n"/>
      <c r="C886" s="27" t="inlineStr">
        <is>
          <t>Snacks</t>
        </is>
      </c>
      <c r="D886" s="28" t="inlineStr">
        <is>
          <t>8906004650468</t>
        </is>
      </c>
      <c r="E886" s="27" t="n"/>
      <c r="F886" s="29" t="n">
        <v>0</v>
      </c>
      <c r="G886" s="29" t="n">
        <v>70</v>
      </c>
      <c r="H886" s="27" t="inlineStr">
        <is>
          <t>Exclusive</t>
        </is>
      </c>
      <c r="I886" s="29" t="n">
        <v>62</v>
      </c>
      <c r="J886" s="27" t="inlineStr">
        <is>
          <t>Exclusive</t>
        </is>
      </c>
      <c r="K886" s="29" t="n">
        <v>72</v>
      </c>
      <c r="L886" s="29" t="n">
        <v>0</v>
      </c>
      <c r="M886" s="33" t="n">
        <v>1</v>
      </c>
      <c r="N886" s="27" t="inlineStr">
        <is>
          <t>Yes</t>
        </is>
      </c>
      <c r="O886" s="29" t="n">
        <v>0</v>
      </c>
      <c r="P886" s="30" t="n">
        <v>450</v>
      </c>
      <c r="Q886" s="31" t="inlineStr">
        <is>
          <t>In Stock</t>
        </is>
      </c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5" customHeight="1" s="85">
      <c r="A887" s="27" t="inlineStr">
        <is>
          <t>PVM MATTA BROKEN RICE 500GM</t>
        </is>
      </c>
      <c r="B887" s="27" t="n"/>
      <c r="C887" s="27" t="inlineStr">
        <is>
          <t>Rice Items</t>
        </is>
      </c>
      <c r="D887" s="32" t="inlineStr">
        <is>
          <t>100339</t>
        </is>
      </c>
      <c r="E887" s="27" t="n"/>
      <c r="F887" s="29" t="n">
        <v>0</v>
      </c>
      <c r="G887" s="29" t="n">
        <v>58</v>
      </c>
      <c r="H887" s="27" t="inlineStr">
        <is>
          <t>Exclusive</t>
        </is>
      </c>
      <c r="I887" s="29" t="n">
        <v>53</v>
      </c>
      <c r="J887" s="27" t="inlineStr">
        <is>
          <t>Exclusive</t>
        </is>
      </c>
      <c r="K887" s="29" t="n">
        <v>58</v>
      </c>
      <c r="L887" s="29" t="n">
        <v>0</v>
      </c>
      <c r="M887" s="27" t="n"/>
      <c r="N887" s="27" t="inlineStr">
        <is>
          <t>Yes</t>
        </is>
      </c>
      <c r="O887" s="29" t="n">
        <v>0</v>
      </c>
      <c r="P887" s="30" t="n">
        <v>450</v>
      </c>
      <c r="Q887" s="31" t="inlineStr">
        <is>
          <t>In Stock</t>
        </is>
      </c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5" customHeight="1" s="85">
      <c r="A888" s="27" t="inlineStr">
        <is>
          <t>PVM MUTTA RAW RICE 1KG</t>
        </is>
      </c>
      <c r="B888" s="27" t="n"/>
      <c r="C888" s="27" t="inlineStr">
        <is>
          <t>Rice Items</t>
        </is>
      </c>
      <c r="D888" s="28" t="inlineStr">
        <is>
          <t>8906004650994</t>
        </is>
      </c>
      <c r="E888" s="27" t="n"/>
      <c r="F888" s="29" t="n">
        <v>0</v>
      </c>
      <c r="G888" s="29" t="n">
        <v>103</v>
      </c>
      <c r="H888" s="27" t="inlineStr">
        <is>
          <t>Exclusive</t>
        </is>
      </c>
      <c r="I888" s="29" t="n">
        <v>87</v>
      </c>
      <c r="J888" s="27" t="inlineStr">
        <is>
          <t>Exclusive</t>
        </is>
      </c>
      <c r="K888" s="29" t="n">
        <v>105</v>
      </c>
      <c r="L888" s="29" t="n">
        <v>10</v>
      </c>
      <c r="M888" s="33" t="n">
        <v>1</v>
      </c>
      <c r="N888" s="27" t="inlineStr">
        <is>
          <t>Yes</t>
        </is>
      </c>
      <c r="O888" s="29" t="n">
        <v>0</v>
      </c>
      <c r="P888" s="30" t="n">
        <v>450</v>
      </c>
      <c r="Q888" s="31" t="inlineStr">
        <is>
          <t>In Stock</t>
        </is>
      </c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5" customHeight="1" s="85">
      <c r="A889" s="27" t="inlineStr">
        <is>
          <t>PVM PALAPPAM PODI500GM</t>
        </is>
      </c>
      <c r="B889" s="27" t="n"/>
      <c r="C889" s="27" t="inlineStr">
        <is>
          <t>Grains &amp; Flours</t>
        </is>
      </c>
      <c r="D889" s="32" t="inlineStr">
        <is>
          <t>100340</t>
        </is>
      </c>
      <c r="E889" s="27" t="n"/>
      <c r="F889" s="29" t="n">
        <v>0</v>
      </c>
      <c r="G889" s="29" t="n">
        <v>72</v>
      </c>
      <c r="H889" s="27" t="inlineStr">
        <is>
          <t>Inclusive</t>
        </is>
      </c>
      <c r="I889" s="29" t="n">
        <v>64</v>
      </c>
      <c r="J889" s="27" t="inlineStr">
        <is>
          <t>Inclusive</t>
        </is>
      </c>
      <c r="K889" s="29" t="n">
        <v>72</v>
      </c>
      <c r="L889" s="29" t="n">
        <v>2</v>
      </c>
      <c r="M889" s="33" t="n">
        <v>1</v>
      </c>
      <c r="N889" s="27" t="inlineStr">
        <is>
          <t>No</t>
        </is>
      </c>
      <c r="O889" s="29" t="n">
        <v>0</v>
      </c>
      <c r="P889" s="30" t="n">
        <v>450</v>
      </c>
      <c r="Q889" s="31" t="inlineStr">
        <is>
          <t>In Stock</t>
        </is>
      </c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5" customHeight="1" s="85">
      <c r="A890" s="27" t="inlineStr">
        <is>
          <t>PVM PREMIUM COCONUT OIL</t>
        </is>
      </c>
      <c r="B890" s="27" t="n"/>
      <c r="C890" s="27" t="inlineStr">
        <is>
          <t>Edible Oils &amp; Ghee</t>
        </is>
      </c>
      <c r="D890" s="28" t="inlineStr">
        <is>
          <t>4906004654251</t>
        </is>
      </c>
      <c r="E890" s="27" t="n"/>
      <c r="F890" s="29" t="n">
        <v>0</v>
      </c>
      <c r="G890" s="29" t="n">
        <v>530</v>
      </c>
      <c r="H890" s="27" t="inlineStr">
        <is>
          <t>Exclusive</t>
        </is>
      </c>
      <c r="I890" s="29" t="n">
        <v>480</v>
      </c>
      <c r="J890" s="27" t="inlineStr">
        <is>
          <t>Exclusive</t>
        </is>
      </c>
      <c r="K890" s="29" t="n">
        <v>530</v>
      </c>
      <c r="L890" s="29" t="n">
        <v>12</v>
      </c>
      <c r="M890" s="33" t="n">
        <v>1</v>
      </c>
      <c r="N890" s="27" t="inlineStr">
        <is>
          <t>Yes</t>
        </is>
      </c>
      <c r="O890" s="29" t="n">
        <v>0</v>
      </c>
      <c r="P890" s="30" t="n">
        <v>450</v>
      </c>
      <c r="Q890" s="31" t="inlineStr">
        <is>
          <t>In Stock</t>
        </is>
      </c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5" customHeight="1" s="85">
      <c r="A891" s="27" t="inlineStr">
        <is>
          <t>PVM RICE BRAN OIL 1LTR</t>
        </is>
      </c>
      <c r="B891" s="27" t="n"/>
      <c r="C891" s="27" t="inlineStr">
        <is>
          <t>Edible Oils &amp; Ghee</t>
        </is>
      </c>
      <c r="D891" s="28" t="inlineStr">
        <is>
          <t>8906004651465</t>
        </is>
      </c>
      <c r="E891" s="27" t="n"/>
      <c r="F891" s="29" t="n">
        <v>0</v>
      </c>
      <c r="G891" s="29" t="n">
        <v>170</v>
      </c>
      <c r="H891" s="27" t="inlineStr">
        <is>
          <t>Exclusive</t>
        </is>
      </c>
      <c r="I891" s="29" t="n">
        <v>151</v>
      </c>
      <c r="J891" s="27" t="inlineStr">
        <is>
          <t>Exclusive</t>
        </is>
      </c>
      <c r="K891" s="29" t="n">
        <v>170</v>
      </c>
      <c r="L891" s="29" t="n">
        <v>0</v>
      </c>
      <c r="M891" s="33" t="n">
        <v>1</v>
      </c>
      <c r="N891" s="27" t="inlineStr">
        <is>
          <t>Yes</t>
        </is>
      </c>
      <c r="O891" s="29" t="n">
        <v>0</v>
      </c>
      <c r="P891" s="30" t="n">
        <v>450</v>
      </c>
      <c r="Q891" s="31" t="inlineStr">
        <is>
          <t>In Stock</t>
        </is>
      </c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5" customHeight="1" s="85">
      <c r="A892" s="27" t="inlineStr">
        <is>
          <t>PVM SORTED JAYA RICE 5KG</t>
        </is>
      </c>
      <c r="B892" s="27" t="n"/>
      <c r="C892" s="27" t="inlineStr">
        <is>
          <t>Rice Items</t>
        </is>
      </c>
      <c r="D892" s="28" t="inlineStr">
        <is>
          <t>8906004657016</t>
        </is>
      </c>
      <c r="E892" s="27" t="n"/>
      <c r="F892" s="29" t="n">
        <v>0</v>
      </c>
      <c r="G892" s="29" t="n">
        <v>406</v>
      </c>
      <c r="H892" s="27" t="inlineStr">
        <is>
          <t>Exclusive</t>
        </is>
      </c>
      <c r="I892" s="29" t="n">
        <v>347</v>
      </c>
      <c r="J892" s="27" t="inlineStr">
        <is>
          <t>Exclusive</t>
        </is>
      </c>
      <c r="K892" s="29" t="n">
        <v>450</v>
      </c>
      <c r="L892" s="29" t="n">
        <v>2</v>
      </c>
      <c r="M892" s="33" t="n">
        <v>1</v>
      </c>
      <c r="N892" s="27" t="inlineStr">
        <is>
          <t>Yes</t>
        </is>
      </c>
      <c r="O892" s="29" t="n">
        <v>0</v>
      </c>
      <c r="P892" s="30" t="n">
        <v>450</v>
      </c>
      <c r="Q892" s="31" t="inlineStr">
        <is>
          <t>In Stock</t>
        </is>
      </c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5" customHeight="1" s="85">
      <c r="A893" s="27" t="inlineStr">
        <is>
          <t>PVM SORTED JYOTI VADI RICE2KG</t>
        </is>
      </c>
      <c r="B893" s="27" t="n"/>
      <c r="C893" s="27" t="inlineStr">
        <is>
          <t>Rice Items</t>
        </is>
      </c>
      <c r="D893" s="28" t="inlineStr">
        <is>
          <t>8906004650413</t>
        </is>
      </c>
      <c r="E893" s="27" t="n"/>
      <c r="F893" s="29" t="n">
        <v>0</v>
      </c>
      <c r="G893" s="29" t="n">
        <v>187</v>
      </c>
      <c r="H893" s="27" t="inlineStr">
        <is>
          <t>Exclusive</t>
        </is>
      </c>
      <c r="I893" s="29" t="n">
        <v>170</v>
      </c>
      <c r="J893" s="27" t="inlineStr">
        <is>
          <t>Exclusive</t>
        </is>
      </c>
      <c r="K893" s="29" t="n">
        <v>189</v>
      </c>
      <c r="L893" s="29" t="n">
        <v>0</v>
      </c>
      <c r="M893" s="33" t="n">
        <v>1</v>
      </c>
      <c r="N893" s="27" t="inlineStr">
        <is>
          <t>Yes</t>
        </is>
      </c>
      <c r="O893" s="29" t="n">
        <v>0</v>
      </c>
      <c r="P893" s="30" t="n">
        <v>450</v>
      </c>
      <c r="Q893" s="31" t="inlineStr">
        <is>
          <t>In Stock</t>
        </is>
      </c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5" customHeight="1" s="85">
      <c r="A894" s="27" t="inlineStr">
        <is>
          <t>PVM SORTED UNDA RICE 2KG</t>
        </is>
      </c>
      <c r="B894" s="27" t="n"/>
      <c r="C894" s="27" t="inlineStr">
        <is>
          <t>Rice Items</t>
        </is>
      </c>
      <c r="D894" s="28" t="inlineStr">
        <is>
          <t>8906004650444</t>
        </is>
      </c>
      <c r="E894" s="27" t="n"/>
      <c r="F894" s="29" t="n">
        <v>0</v>
      </c>
      <c r="G894" s="29" t="n">
        <v>177</v>
      </c>
      <c r="H894" s="27" t="inlineStr">
        <is>
          <t>Exclusive</t>
        </is>
      </c>
      <c r="I894" s="29" t="n">
        <v>167</v>
      </c>
      <c r="J894" s="27" t="inlineStr">
        <is>
          <t>Exclusive</t>
        </is>
      </c>
      <c r="K894" s="29" t="n">
        <v>180</v>
      </c>
      <c r="L894" s="29" t="n">
        <v>0</v>
      </c>
      <c r="M894" s="33" t="n">
        <v>1</v>
      </c>
      <c r="N894" s="27" t="inlineStr">
        <is>
          <t>Yes</t>
        </is>
      </c>
      <c r="O894" s="29" t="n">
        <v>0</v>
      </c>
      <c r="P894" s="30" t="n">
        <v>450</v>
      </c>
      <c r="Q894" s="31" t="inlineStr">
        <is>
          <t>In Stock</t>
        </is>
      </c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5" customHeight="1" s="85">
      <c r="A895" s="27" t="inlineStr">
        <is>
          <t>PVM SUREKHA RICE 5KG</t>
        </is>
      </c>
      <c r="B895" s="27" t="n"/>
      <c r="C895" s="27" t="inlineStr">
        <is>
          <t>Rice Items</t>
        </is>
      </c>
      <c r="D895" s="32" t="inlineStr">
        <is>
          <t>100341</t>
        </is>
      </c>
      <c r="E895" s="27" t="n"/>
      <c r="F895" s="29" t="n">
        <v>0</v>
      </c>
      <c r="G895" s="29" t="n">
        <v>424</v>
      </c>
      <c r="H895" s="27" t="inlineStr">
        <is>
          <t>Exclusive</t>
        </is>
      </c>
      <c r="I895" s="29" t="n">
        <v>304.76</v>
      </c>
      <c r="J895" s="27" t="inlineStr">
        <is>
          <t>Exclusive</t>
        </is>
      </c>
      <c r="K895" s="29" t="n">
        <v>0</v>
      </c>
      <c r="L895" s="29" t="n">
        <v>0</v>
      </c>
      <c r="M895" s="27" t="n"/>
      <c r="N895" s="27" t="inlineStr">
        <is>
          <t>Yes</t>
        </is>
      </c>
      <c r="O895" s="29" t="n">
        <v>0</v>
      </c>
      <c r="P895" s="30" t="n">
        <v>450</v>
      </c>
      <c r="Q895" s="31" t="inlineStr">
        <is>
          <t>In Stock</t>
        </is>
      </c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5" customHeight="1" s="85">
      <c r="A896" s="27" t="inlineStr">
        <is>
          <t>PVM UNDA RICE 10KG</t>
        </is>
      </c>
      <c r="B896" s="27" t="n"/>
      <c r="C896" s="27" t="inlineStr">
        <is>
          <t>Rice Items</t>
        </is>
      </c>
      <c r="D896" s="28" t="inlineStr">
        <is>
          <t>8906004652707</t>
        </is>
      </c>
      <c r="E896" s="27" t="n"/>
      <c r="F896" s="29" t="n">
        <v>0</v>
      </c>
      <c r="G896" s="29" t="n">
        <v>875</v>
      </c>
      <c r="H896" s="27" t="inlineStr">
        <is>
          <t>Exclusive</t>
        </is>
      </c>
      <c r="I896" s="29" t="n">
        <v>700</v>
      </c>
      <c r="J896" s="27" t="inlineStr">
        <is>
          <t>Exclusive</t>
        </is>
      </c>
      <c r="K896" s="29" t="n">
        <v>895</v>
      </c>
      <c r="L896" s="29" t="n">
        <v>0</v>
      </c>
      <c r="M896" s="33" t="n">
        <v>1</v>
      </c>
      <c r="N896" s="27" t="inlineStr">
        <is>
          <t>Yes</t>
        </is>
      </c>
      <c r="O896" s="29" t="n">
        <v>0</v>
      </c>
      <c r="P896" s="30" t="n">
        <v>450</v>
      </c>
      <c r="Q896" s="31" t="inlineStr">
        <is>
          <t>In Stock</t>
        </is>
      </c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5" customHeight="1" s="85">
      <c r="A897" s="27" t="inlineStr">
        <is>
          <t>PVM UNDA RICE 5KG</t>
        </is>
      </c>
      <c r="B897" s="27" t="n"/>
      <c r="C897" s="27" t="inlineStr">
        <is>
          <t>Rice Items</t>
        </is>
      </c>
      <c r="D897" s="28" t="inlineStr">
        <is>
          <t>8906004652660</t>
        </is>
      </c>
      <c r="E897" s="27" t="n"/>
      <c r="F897" s="29" t="n">
        <v>0</v>
      </c>
      <c r="G897" s="29" t="n">
        <v>433</v>
      </c>
      <c r="H897" s="27" t="inlineStr">
        <is>
          <t>Inclusive</t>
        </is>
      </c>
      <c r="I897" s="29" t="n">
        <v>350</v>
      </c>
      <c r="J897" s="27" t="inlineStr">
        <is>
          <t>Inclusive</t>
        </is>
      </c>
      <c r="K897" s="29" t="n">
        <v>451</v>
      </c>
      <c r="L897" s="29" t="n">
        <v>0</v>
      </c>
      <c r="M897" s="33" t="n">
        <v>1</v>
      </c>
      <c r="N897" s="27" t="inlineStr">
        <is>
          <t>Yes</t>
        </is>
      </c>
      <c r="O897" s="29" t="n">
        <v>0</v>
      </c>
      <c r="P897" s="30" t="n">
        <v>450</v>
      </c>
      <c r="Q897" s="31" t="inlineStr">
        <is>
          <t>In Stock</t>
        </is>
      </c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5" customHeight="1" s="85">
      <c r="A898" s="27" t="inlineStr">
        <is>
          <t>PVM VADI MATTA RICE 5KG</t>
        </is>
      </c>
      <c r="B898" s="27" t="n"/>
      <c r="C898" s="27" t="inlineStr">
        <is>
          <t>Rice Items</t>
        </is>
      </c>
      <c r="D898" s="28" t="inlineStr">
        <is>
          <t>8906004652653</t>
        </is>
      </c>
      <c r="E898" s="27" t="n"/>
      <c r="F898" s="29" t="n">
        <v>0</v>
      </c>
      <c r="G898" s="29" t="n">
        <v>549</v>
      </c>
      <c r="H898" s="27" t="inlineStr">
        <is>
          <t>Exclusive</t>
        </is>
      </c>
      <c r="I898" s="29" t="n">
        <v>420</v>
      </c>
      <c r="J898" s="27" t="inlineStr">
        <is>
          <t>Exclusive</t>
        </is>
      </c>
      <c r="K898" s="29" t="n">
        <v>513</v>
      </c>
      <c r="L898" s="29" t="n">
        <v>0</v>
      </c>
      <c r="M898" s="33" t="n">
        <v>1</v>
      </c>
      <c r="N898" s="27" t="inlineStr">
        <is>
          <t>Yes</t>
        </is>
      </c>
      <c r="O898" s="29" t="n">
        <v>0</v>
      </c>
      <c r="P898" s="30" t="n">
        <v>450</v>
      </c>
      <c r="Q898" s="31" t="inlineStr">
        <is>
          <t>In Stock</t>
        </is>
      </c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5" customHeight="1" s="85">
      <c r="A899" s="27" t="inlineStr">
        <is>
          <t>PVM VADI RICE 10KG</t>
        </is>
      </c>
      <c r="B899" s="27" t="n"/>
      <c r="C899" s="27" t="inlineStr">
        <is>
          <t>Rice Items</t>
        </is>
      </c>
      <c r="D899" s="28" t="inlineStr">
        <is>
          <t>8906004652691</t>
        </is>
      </c>
      <c r="E899" s="27" t="n"/>
      <c r="F899" s="29" t="n">
        <v>0</v>
      </c>
      <c r="G899" s="29" t="n">
        <v>1089</v>
      </c>
      <c r="H899" s="27" t="inlineStr">
        <is>
          <t>Inclusive</t>
        </is>
      </c>
      <c r="I899" s="29" t="n">
        <v>840</v>
      </c>
      <c r="J899" s="27" t="inlineStr">
        <is>
          <t>Inclusive</t>
        </is>
      </c>
      <c r="K899" s="29" t="n">
        <v>1017</v>
      </c>
      <c r="L899" s="29" t="n">
        <v>0</v>
      </c>
      <c r="M899" s="33" t="n">
        <v>1</v>
      </c>
      <c r="N899" s="27" t="inlineStr">
        <is>
          <t>Yes</t>
        </is>
      </c>
      <c r="O899" s="29" t="n">
        <v>0</v>
      </c>
      <c r="P899" s="30" t="n">
        <v>450</v>
      </c>
      <c r="Q899" s="31" t="inlineStr">
        <is>
          <t>In Stock</t>
        </is>
      </c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5" customHeight="1" s="85">
      <c r="A900" s="27" t="inlineStr">
        <is>
          <t>PVM VADI RICE LOOSE 30KG</t>
        </is>
      </c>
      <c r="B900" s="27" t="n"/>
      <c r="C900" s="27" t="inlineStr">
        <is>
          <t>Rice Items</t>
        </is>
      </c>
      <c r="D900" s="32" t="inlineStr">
        <is>
          <t>100345</t>
        </is>
      </c>
      <c r="E900" s="27" t="n"/>
      <c r="F900" s="29" t="n">
        <v>0</v>
      </c>
      <c r="G900" s="29" t="n">
        <v>85</v>
      </c>
      <c r="H900" s="27" t="inlineStr">
        <is>
          <t>Inclusive</t>
        </is>
      </c>
      <c r="I900" s="29" t="n">
        <v>80</v>
      </c>
      <c r="J900" s="27" t="inlineStr">
        <is>
          <t>Inclusive</t>
        </is>
      </c>
      <c r="K900" s="29" t="n">
        <v>92</v>
      </c>
      <c r="L900" s="29" t="n">
        <v>0</v>
      </c>
      <c r="M900" s="33" t="n">
        <v>1</v>
      </c>
      <c r="N900" s="27" t="inlineStr">
        <is>
          <t>Yes</t>
        </is>
      </c>
      <c r="O900" s="29" t="n">
        <v>0</v>
      </c>
      <c r="P900" s="30" t="n">
        <v>450</v>
      </c>
      <c r="Q900" s="31" t="inlineStr">
        <is>
          <t>In Stock</t>
        </is>
      </c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5" customHeight="1" s="85">
      <c r="A901" s="27" t="inlineStr">
        <is>
          <t>PVM WHITE AVIL (BEATEN RICE) 400GM</t>
        </is>
      </c>
      <c r="B901" s="27" t="n"/>
      <c r="C901" s="27" t="inlineStr">
        <is>
          <t>Grains &amp; Flours</t>
        </is>
      </c>
      <c r="D901" s="32" t="inlineStr">
        <is>
          <t>100346</t>
        </is>
      </c>
      <c r="E901" s="27" t="n"/>
      <c r="F901" s="29" t="n">
        <v>0</v>
      </c>
      <c r="G901" s="29" t="n">
        <v>67</v>
      </c>
      <c r="H901" s="27" t="inlineStr">
        <is>
          <t>Inclusive</t>
        </is>
      </c>
      <c r="I901" s="29" t="n">
        <v>59</v>
      </c>
      <c r="J901" s="27" t="inlineStr">
        <is>
          <t>Inclusive</t>
        </is>
      </c>
      <c r="K901" s="29" t="n">
        <v>0</v>
      </c>
      <c r="L901" s="29" t="n">
        <v>0</v>
      </c>
      <c r="M901" s="33" t="n">
        <v>1</v>
      </c>
      <c r="N901" s="27" t="inlineStr">
        <is>
          <t>Yes</t>
        </is>
      </c>
      <c r="O901" s="29" t="n">
        <v>0</v>
      </c>
      <c r="P901" s="30" t="n">
        <v>450</v>
      </c>
      <c r="Q901" s="31" t="inlineStr">
        <is>
          <t>In Stock</t>
        </is>
      </c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5" customHeight="1" s="85">
      <c r="A902" s="27" t="inlineStr">
        <is>
          <t>PYAJ ONION BIG (SAVALA) 1KG</t>
        </is>
      </c>
      <c r="B902" s="27" t="n"/>
      <c r="C902" s="27" t="inlineStr">
        <is>
          <t>Raw Items &amp; Produce</t>
        </is>
      </c>
      <c r="D902" s="32" t="inlineStr">
        <is>
          <t>100347</t>
        </is>
      </c>
      <c r="E902" s="27" t="n"/>
      <c r="F902" s="29" t="n">
        <v>0</v>
      </c>
      <c r="G902" s="29" t="n">
        <v>25</v>
      </c>
      <c r="H902" s="27" t="inlineStr">
        <is>
          <t>Exclusive</t>
        </is>
      </c>
      <c r="I902" s="29" t="n">
        <v>21</v>
      </c>
      <c r="J902" s="27" t="inlineStr">
        <is>
          <t>Exclusive</t>
        </is>
      </c>
      <c r="K902" s="29" t="n">
        <v>30</v>
      </c>
      <c r="L902" s="29" t="n">
        <v>30.5</v>
      </c>
      <c r="M902" s="33" t="n">
        <v>1</v>
      </c>
      <c r="N902" s="27" t="inlineStr">
        <is>
          <t>Yes</t>
        </is>
      </c>
      <c r="O902" s="29" t="n">
        <v>0</v>
      </c>
      <c r="P902" s="30" t="n">
        <v>450</v>
      </c>
      <c r="Q902" s="31" t="inlineStr">
        <is>
          <t>In Stock</t>
        </is>
      </c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5" customHeight="1" s="85">
      <c r="A903" s="27" t="inlineStr">
        <is>
          <t>QUALITY BEEF ROAST MASALA 100GM</t>
        </is>
      </c>
      <c r="B903" s="27" t="n"/>
      <c r="C903" s="27" t="inlineStr">
        <is>
          <t>Masalas &amp; Spices</t>
        </is>
      </c>
      <c r="D903" s="28" t="inlineStr">
        <is>
          <t>8906017764060</t>
        </is>
      </c>
      <c r="E903" s="27" t="n"/>
      <c r="F903" s="29" t="n">
        <v>0</v>
      </c>
      <c r="G903" s="29" t="n">
        <v>73</v>
      </c>
      <c r="H903" s="27" t="inlineStr">
        <is>
          <t>Exclusive</t>
        </is>
      </c>
      <c r="I903" s="29" t="n">
        <v>46</v>
      </c>
      <c r="J903" s="27" t="inlineStr">
        <is>
          <t>Exclusive</t>
        </is>
      </c>
      <c r="K903" s="29" t="n">
        <v>73</v>
      </c>
      <c r="L903" s="29" t="n">
        <v>0</v>
      </c>
      <c r="M903" s="33" t="n">
        <v>1</v>
      </c>
      <c r="N903" s="27" t="inlineStr">
        <is>
          <t>Yes</t>
        </is>
      </c>
      <c r="O903" s="29" t="n">
        <v>0</v>
      </c>
      <c r="P903" s="30" t="n">
        <v>450</v>
      </c>
      <c r="Q903" s="31" t="inlineStr">
        <is>
          <t>In Stock</t>
        </is>
      </c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5" customHeight="1" s="85">
      <c r="A904" s="27" t="inlineStr">
        <is>
          <t>QUALITY BIRYANI MASALA 100GM</t>
        </is>
      </c>
      <c r="B904" s="27" t="n"/>
      <c r="C904" s="27" t="inlineStr">
        <is>
          <t>Masalas &amp; Spices</t>
        </is>
      </c>
      <c r="D904" s="28" t="inlineStr">
        <is>
          <t>8906017763131</t>
        </is>
      </c>
      <c r="E904" s="27" t="n"/>
      <c r="F904" s="29" t="n">
        <v>0</v>
      </c>
      <c r="G904" s="29" t="n">
        <v>64</v>
      </c>
      <c r="H904" s="27" t="inlineStr">
        <is>
          <t>Exclusive</t>
        </is>
      </c>
      <c r="I904" s="29" t="n">
        <v>50</v>
      </c>
      <c r="J904" s="27" t="inlineStr">
        <is>
          <t>Exclusive</t>
        </is>
      </c>
      <c r="K904" s="29" t="n">
        <v>64</v>
      </c>
      <c r="L904" s="29" t="n">
        <v>0</v>
      </c>
      <c r="M904" s="33" t="n">
        <v>1</v>
      </c>
      <c r="N904" s="27" t="inlineStr">
        <is>
          <t>Yes</t>
        </is>
      </c>
      <c r="O904" s="29" t="n">
        <v>0</v>
      </c>
      <c r="P904" s="30" t="n">
        <v>450</v>
      </c>
      <c r="Q904" s="31" t="inlineStr">
        <is>
          <t>In Stock</t>
        </is>
      </c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5" customHeight="1" s="85">
      <c r="A905" s="27" t="inlineStr">
        <is>
          <t>QUALITY BLACK PEPER POWDER 100GM</t>
        </is>
      </c>
      <c r="B905" s="27" t="n"/>
      <c r="C905" s="27" t="inlineStr">
        <is>
          <t>Masalas &amp; Spices</t>
        </is>
      </c>
      <c r="D905" s="28" t="inlineStr">
        <is>
          <t>8906017761588</t>
        </is>
      </c>
      <c r="E905" s="27" t="n"/>
      <c r="F905" s="29" t="n">
        <v>0</v>
      </c>
      <c r="G905" s="29" t="n">
        <v>164</v>
      </c>
      <c r="H905" s="27" t="inlineStr">
        <is>
          <t>Inclusive</t>
        </is>
      </c>
      <c r="I905" s="29" t="n">
        <v>102</v>
      </c>
      <c r="J905" s="27" t="inlineStr">
        <is>
          <t>Inclusive</t>
        </is>
      </c>
      <c r="K905" s="29" t="n">
        <v>164</v>
      </c>
      <c r="L905" s="29" t="n">
        <v>0</v>
      </c>
      <c r="M905" s="33" t="n">
        <v>1</v>
      </c>
      <c r="N905" s="27" t="inlineStr">
        <is>
          <t>Yes</t>
        </is>
      </c>
      <c r="O905" s="29" t="n">
        <v>0</v>
      </c>
      <c r="P905" s="30" t="n">
        <v>450</v>
      </c>
      <c r="Q905" s="31" t="inlineStr">
        <is>
          <t>In Stock</t>
        </is>
      </c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5" customHeight="1" s="85">
      <c r="A906" s="27" t="inlineStr">
        <is>
          <t>QUALITY CHICKEN 65 MASALA</t>
        </is>
      </c>
      <c r="B906" s="27" t="n"/>
      <c r="C906" s="27" t="inlineStr">
        <is>
          <t>Masalas &amp; Spices</t>
        </is>
      </c>
      <c r="D906" s="28" t="inlineStr">
        <is>
          <t>8906017761069</t>
        </is>
      </c>
      <c r="E906" s="27" t="n"/>
      <c r="F906" s="29" t="n">
        <v>0</v>
      </c>
      <c r="G906" s="29" t="n">
        <v>36</v>
      </c>
      <c r="H906" s="27" t="inlineStr">
        <is>
          <t>Exclusive</t>
        </is>
      </c>
      <c r="I906" s="29" t="n">
        <v>33</v>
      </c>
      <c r="J906" s="27" t="inlineStr">
        <is>
          <t>Exclusive</t>
        </is>
      </c>
      <c r="K906" s="29" t="n">
        <v>36</v>
      </c>
      <c r="L906" s="29" t="n">
        <v>0</v>
      </c>
      <c r="M906" s="33" t="n">
        <v>1</v>
      </c>
      <c r="N906" s="27" t="inlineStr">
        <is>
          <t>Yes</t>
        </is>
      </c>
      <c r="O906" s="29" t="n">
        <v>0</v>
      </c>
      <c r="P906" s="30" t="n">
        <v>450</v>
      </c>
      <c r="Q906" s="31" t="inlineStr">
        <is>
          <t>In Stock</t>
        </is>
      </c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5" customHeight="1" s="85">
      <c r="A907" s="27" t="inlineStr">
        <is>
          <t>QUALITY CHICKEN MASALA 100GM</t>
        </is>
      </c>
      <c r="B907" s="27" t="n"/>
      <c r="C907" s="27" t="inlineStr">
        <is>
          <t>Masalas &amp; Spices</t>
        </is>
      </c>
      <c r="D907" s="28" t="inlineStr">
        <is>
          <t>8906017761090</t>
        </is>
      </c>
      <c r="E907" s="27" t="n"/>
      <c r="F907" s="29" t="n">
        <v>0</v>
      </c>
      <c r="G907" s="29" t="n">
        <v>73</v>
      </c>
      <c r="H907" s="27" t="inlineStr">
        <is>
          <t>Exclusive</t>
        </is>
      </c>
      <c r="I907" s="29" t="n">
        <v>56</v>
      </c>
      <c r="J907" s="27" t="inlineStr">
        <is>
          <t>Exclusive</t>
        </is>
      </c>
      <c r="K907" s="29" t="n">
        <v>73</v>
      </c>
      <c r="L907" s="29" t="n">
        <v>10</v>
      </c>
      <c r="M907" s="33" t="n">
        <v>1</v>
      </c>
      <c r="N907" s="27" t="inlineStr">
        <is>
          <t>Yes</t>
        </is>
      </c>
      <c r="O907" s="29" t="n">
        <v>0</v>
      </c>
      <c r="P907" s="30" t="n">
        <v>450</v>
      </c>
      <c r="Q907" s="31" t="inlineStr">
        <is>
          <t>In Stock</t>
        </is>
      </c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5" customHeight="1" s="85">
      <c r="A908" s="27" t="inlineStr">
        <is>
          <t>QUALITY CHILLI POWDER 250GM</t>
        </is>
      </c>
      <c r="B908" s="27" t="n"/>
      <c r="C908" s="27" t="inlineStr">
        <is>
          <t>Masalas &amp; Spices</t>
        </is>
      </c>
      <c r="D908" s="28" t="inlineStr">
        <is>
          <t>8906017760222</t>
        </is>
      </c>
      <c r="E908" s="27" t="n"/>
      <c r="F908" s="29" t="n">
        <v>0</v>
      </c>
      <c r="G908" s="29" t="n">
        <v>120</v>
      </c>
      <c r="H908" s="27" t="inlineStr">
        <is>
          <t>Exclusive</t>
        </is>
      </c>
      <c r="I908" s="29" t="n">
        <v>89</v>
      </c>
      <c r="J908" s="27" t="inlineStr">
        <is>
          <t>Exclusive</t>
        </is>
      </c>
      <c r="K908" s="29" t="n">
        <v>120</v>
      </c>
      <c r="L908" s="29" t="n">
        <v>3</v>
      </c>
      <c r="M908" s="33" t="n">
        <v>1</v>
      </c>
      <c r="N908" s="27" t="inlineStr">
        <is>
          <t>Yes</t>
        </is>
      </c>
      <c r="O908" s="29" t="n">
        <v>0</v>
      </c>
      <c r="P908" s="30" t="n">
        <v>450</v>
      </c>
      <c r="Q908" s="31" t="inlineStr">
        <is>
          <t>In Stock</t>
        </is>
      </c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5" customHeight="1" s="85">
      <c r="A909" s="27" t="inlineStr">
        <is>
          <t>QUALITY CHILLY POWDER 100GM</t>
        </is>
      </c>
      <c r="B909" s="27" t="n"/>
      <c r="C909" s="27" t="inlineStr">
        <is>
          <t>Masalas &amp; Spices</t>
        </is>
      </c>
      <c r="D909" s="28" t="inlineStr">
        <is>
          <t>8906017760192</t>
        </is>
      </c>
      <c r="E909" s="27" t="n"/>
      <c r="F909" s="29" t="n">
        <v>0</v>
      </c>
      <c r="G909" s="29" t="n">
        <v>64</v>
      </c>
      <c r="H909" s="27" t="inlineStr">
        <is>
          <t>Exclusive</t>
        </is>
      </c>
      <c r="I909" s="29" t="n">
        <v>38</v>
      </c>
      <c r="J909" s="27" t="inlineStr">
        <is>
          <t>Exclusive</t>
        </is>
      </c>
      <c r="K909" s="29" t="n">
        <v>64</v>
      </c>
      <c r="L909" s="29" t="n">
        <v>0</v>
      </c>
      <c r="M909" s="33" t="n">
        <v>1</v>
      </c>
      <c r="N909" s="27" t="inlineStr">
        <is>
          <t>Yes</t>
        </is>
      </c>
      <c r="O909" s="29" t="n">
        <v>0</v>
      </c>
      <c r="P909" s="30" t="n">
        <v>450</v>
      </c>
      <c r="Q909" s="31" t="inlineStr">
        <is>
          <t>In Stock</t>
        </is>
      </c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5" customHeight="1" s="85">
      <c r="A910" s="27" t="inlineStr">
        <is>
          <t>QUALITY CORIANDER POWDER 100GM</t>
        </is>
      </c>
      <c r="B910" s="27" t="n"/>
      <c r="C910" s="27" t="inlineStr">
        <is>
          <t>Masalas &amp; Spices</t>
        </is>
      </c>
      <c r="D910" s="28" t="inlineStr">
        <is>
          <t>8906017760604</t>
        </is>
      </c>
      <c r="E910" s="27" t="n"/>
      <c r="F910" s="29" t="n">
        <v>0</v>
      </c>
      <c r="G910" s="29" t="n">
        <v>34</v>
      </c>
      <c r="H910" s="27" t="inlineStr">
        <is>
          <t>Exclusive</t>
        </is>
      </c>
      <c r="I910" s="29" t="n">
        <v>20</v>
      </c>
      <c r="J910" s="27" t="inlineStr">
        <is>
          <t>Exclusive</t>
        </is>
      </c>
      <c r="K910" s="29" t="n">
        <v>34</v>
      </c>
      <c r="L910" s="29" t="n">
        <v>10</v>
      </c>
      <c r="M910" s="33" t="n">
        <v>1</v>
      </c>
      <c r="N910" s="27" t="inlineStr">
        <is>
          <t>Yes</t>
        </is>
      </c>
      <c r="O910" s="29" t="n">
        <v>0</v>
      </c>
      <c r="P910" s="30" t="n">
        <v>450</v>
      </c>
      <c r="Q910" s="31" t="inlineStr">
        <is>
          <t>In Stock</t>
        </is>
      </c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5" customHeight="1" s="85">
      <c r="A911" s="27" t="inlineStr">
        <is>
          <t>QUALITY CRUSHED CHILLI 50GM</t>
        </is>
      </c>
      <c r="B911" s="27" t="n"/>
      <c r="C911" s="27" t="inlineStr">
        <is>
          <t>Masalas &amp; Spices</t>
        </is>
      </c>
      <c r="D911" s="28" t="inlineStr">
        <is>
          <t>8906017766835</t>
        </is>
      </c>
      <c r="E911" s="27" t="n"/>
      <c r="F911" s="29" t="n">
        <v>0</v>
      </c>
      <c r="G911" s="29" t="n">
        <v>28</v>
      </c>
      <c r="H911" s="27" t="inlineStr">
        <is>
          <t>Exclusive</t>
        </is>
      </c>
      <c r="I911" s="29" t="n">
        <v>20</v>
      </c>
      <c r="J911" s="27" t="inlineStr">
        <is>
          <t>Exclusive</t>
        </is>
      </c>
      <c r="K911" s="29" t="n">
        <v>28</v>
      </c>
      <c r="L911" s="29" t="n">
        <v>0</v>
      </c>
      <c r="M911" s="33" t="n">
        <v>1</v>
      </c>
      <c r="N911" s="27" t="inlineStr">
        <is>
          <t>Yes</t>
        </is>
      </c>
      <c r="O911" s="29" t="n">
        <v>0</v>
      </c>
      <c r="P911" s="30" t="n">
        <v>450</v>
      </c>
      <c r="Q911" s="31" t="inlineStr">
        <is>
          <t>In Stock</t>
        </is>
      </c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5" customHeight="1" s="85">
      <c r="A912" s="27" t="inlineStr">
        <is>
          <t>QUALITY DRY GINGER POWDER</t>
        </is>
      </c>
      <c r="B912" s="27" t="n"/>
      <c r="C912" s="27" t="inlineStr">
        <is>
          <t>Masalas &amp; Spices</t>
        </is>
      </c>
      <c r="D912" s="28" t="inlineStr">
        <is>
          <t>8906017768808</t>
        </is>
      </c>
      <c r="E912" s="27" t="n"/>
      <c r="F912" s="29" t="n">
        <v>0</v>
      </c>
      <c r="G912" s="29" t="n">
        <v>46</v>
      </c>
      <c r="H912" s="27" t="inlineStr">
        <is>
          <t>Inclusive</t>
        </is>
      </c>
      <c r="I912" s="29" t="n">
        <v>16</v>
      </c>
      <c r="J912" s="27" t="inlineStr">
        <is>
          <t>Inclusive</t>
        </is>
      </c>
      <c r="K912" s="29" t="n">
        <v>28</v>
      </c>
      <c r="L912" s="29" t="n">
        <v>0</v>
      </c>
      <c r="M912" s="33" t="n">
        <v>1</v>
      </c>
      <c r="N912" s="27" t="inlineStr">
        <is>
          <t>Yes</t>
        </is>
      </c>
      <c r="O912" s="29" t="n">
        <v>0</v>
      </c>
      <c r="P912" s="30" t="n">
        <v>450</v>
      </c>
      <c r="Q912" s="31" t="inlineStr">
        <is>
          <t>In Stock</t>
        </is>
      </c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5" customHeight="1" s="85">
      <c r="A913" s="27" t="inlineStr">
        <is>
          <t>QUALITY FISH MASALA 100GM</t>
        </is>
      </c>
      <c r="B913" s="27" t="n"/>
      <c r="C913" s="27" t="inlineStr">
        <is>
          <t>Masalas &amp; Spices</t>
        </is>
      </c>
      <c r="D913" s="28" t="inlineStr">
        <is>
          <t>8906017760208</t>
        </is>
      </c>
      <c r="E913" s="27" t="n"/>
      <c r="F913" s="29" t="n">
        <v>0</v>
      </c>
      <c r="G913" s="29" t="n">
        <v>81</v>
      </c>
      <c r="H913" s="27" t="inlineStr">
        <is>
          <t>Exclusive</t>
        </is>
      </c>
      <c r="I913" s="29" t="n">
        <v>61</v>
      </c>
      <c r="J913" s="27" t="inlineStr">
        <is>
          <t>Exclusive</t>
        </is>
      </c>
      <c r="K913" s="29" t="n">
        <v>81</v>
      </c>
      <c r="L913" s="29" t="n">
        <v>0</v>
      </c>
      <c r="M913" s="33" t="n">
        <v>1</v>
      </c>
      <c r="N913" s="27" t="inlineStr">
        <is>
          <t>Yes</t>
        </is>
      </c>
      <c r="O913" s="29" t="n">
        <v>0</v>
      </c>
      <c r="P913" s="30" t="n">
        <v>450</v>
      </c>
      <c r="Q913" s="31" t="inlineStr">
        <is>
          <t>In Stock</t>
        </is>
      </c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5" customHeight="1" s="85">
      <c r="A914" s="27" t="inlineStr">
        <is>
          <t>QUALITY GARAM MASALA 50GM</t>
        </is>
      </c>
      <c r="B914" s="27" t="n"/>
      <c r="C914" s="27" t="inlineStr">
        <is>
          <t>Masalas &amp; Spices</t>
        </is>
      </c>
      <c r="D914" s="32" t="inlineStr">
        <is>
          <t>100348</t>
        </is>
      </c>
      <c r="E914" s="27" t="n"/>
      <c r="F914" s="29" t="n">
        <v>0</v>
      </c>
      <c r="G914" s="29" t="n">
        <v>58</v>
      </c>
      <c r="H914" s="27" t="inlineStr">
        <is>
          <t>Inclusive</t>
        </is>
      </c>
      <c r="I914" s="29" t="n">
        <v>36</v>
      </c>
      <c r="J914" s="27" t="inlineStr">
        <is>
          <t>Inclusive</t>
        </is>
      </c>
      <c r="K914" s="29" t="n">
        <v>58</v>
      </c>
      <c r="L914" s="29" t="n">
        <v>0</v>
      </c>
      <c r="M914" s="33" t="n">
        <v>1</v>
      </c>
      <c r="N914" s="27" t="inlineStr">
        <is>
          <t>No</t>
        </is>
      </c>
      <c r="O914" s="29" t="n">
        <v>0</v>
      </c>
      <c r="P914" s="30" t="n">
        <v>450</v>
      </c>
      <c r="Q914" s="31" t="inlineStr">
        <is>
          <t>In Stock</t>
        </is>
      </c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5" customHeight="1" s="85">
      <c r="A915" s="27" t="inlineStr">
        <is>
          <t>QUALITY GARAM MASALA POWDER 100GM</t>
        </is>
      </c>
      <c r="B915" s="27" t="n"/>
      <c r="C915" s="27" t="inlineStr">
        <is>
          <t>Masalas &amp; Spices</t>
        </is>
      </c>
      <c r="D915" s="28" t="inlineStr">
        <is>
          <t>8906017762028</t>
        </is>
      </c>
      <c r="E915" s="27" t="n"/>
      <c r="F915" s="29" t="n">
        <v>0</v>
      </c>
      <c r="G915" s="29" t="n">
        <v>10</v>
      </c>
      <c r="H915" s="27" t="inlineStr">
        <is>
          <t>Exclusive</t>
        </is>
      </c>
      <c r="I915" s="29" t="n">
        <v>9</v>
      </c>
      <c r="J915" s="27" t="inlineStr">
        <is>
          <t>Exclusive</t>
        </is>
      </c>
      <c r="K915" s="29" t="n">
        <v>10</v>
      </c>
      <c r="L915" s="29" t="n">
        <v>8</v>
      </c>
      <c r="M915" s="33" t="n">
        <v>1</v>
      </c>
      <c r="N915" s="27" t="inlineStr">
        <is>
          <t>Yes</t>
        </is>
      </c>
      <c r="O915" s="29" t="n">
        <v>0</v>
      </c>
      <c r="P915" s="30" t="n">
        <v>450</v>
      </c>
      <c r="Q915" s="31" t="inlineStr">
        <is>
          <t>In Stock</t>
        </is>
      </c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5" customHeight="1" s="85">
      <c r="A916" s="27" t="inlineStr">
        <is>
          <t>QUALITY JEERAKAM CUMIN 100GM</t>
        </is>
      </c>
      <c r="B916" s="27" t="n"/>
      <c r="C916" s="27" t="inlineStr">
        <is>
          <t>Masalas &amp; Spices</t>
        </is>
      </c>
      <c r="D916" s="28" t="inlineStr">
        <is>
          <t>8906017768884</t>
        </is>
      </c>
      <c r="E916" s="27" t="n"/>
      <c r="F916" s="29" t="n">
        <v>0</v>
      </c>
      <c r="G916" s="29" t="n">
        <v>78</v>
      </c>
      <c r="H916" s="27" t="inlineStr">
        <is>
          <t>Inclusive</t>
        </is>
      </c>
      <c r="I916" s="29" t="n">
        <v>49</v>
      </c>
      <c r="J916" s="27" t="inlineStr">
        <is>
          <t>Inclusive</t>
        </is>
      </c>
      <c r="K916" s="29" t="n">
        <v>0</v>
      </c>
      <c r="L916" s="29" t="n">
        <v>0</v>
      </c>
      <c r="M916" s="33" t="n">
        <v>1</v>
      </c>
      <c r="N916" s="27" t="inlineStr">
        <is>
          <t>Yes</t>
        </is>
      </c>
      <c r="O916" s="29" t="n">
        <v>0</v>
      </c>
      <c r="P916" s="30" t="n">
        <v>450</v>
      </c>
      <c r="Q916" s="31" t="inlineStr">
        <is>
          <t>In Stock</t>
        </is>
      </c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5" customHeight="1" s="85">
      <c r="A917" s="27" t="inlineStr">
        <is>
          <t>QUALITY KASHMIRI CHILLI POWDER 100GM</t>
        </is>
      </c>
      <c r="B917" s="27" t="n"/>
      <c r="C917" s="27" t="inlineStr">
        <is>
          <t>Masalas &amp; Spices</t>
        </is>
      </c>
      <c r="D917" s="28" t="inlineStr">
        <is>
          <t>8906017760413</t>
        </is>
      </c>
      <c r="E917" s="27" t="n"/>
      <c r="F917" s="29" t="n">
        <v>0</v>
      </c>
      <c r="G917" s="29" t="n">
        <v>83</v>
      </c>
      <c r="H917" s="27" t="inlineStr">
        <is>
          <t>Exclusive</t>
        </is>
      </c>
      <c r="I917" s="29" t="n">
        <v>54</v>
      </c>
      <c r="J917" s="27" t="inlineStr">
        <is>
          <t>Exclusive</t>
        </is>
      </c>
      <c r="K917" s="29" t="n">
        <v>83</v>
      </c>
      <c r="L917" s="29" t="n">
        <v>0</v>
      </c>
      <c r="M917" s="33" t="n">
        <v>1</v>
      </c>
      <c r="N917" s="27" t="inlineStr">
        <is>
          <t>Yes</t>
        </is>
      </c>
      <c r="O917" s="29" t="n">
        <v>0</v>
      </c>
      <c r="P917" s="30" t="n">
        <v>450</v>
      </c>
      <c r="Q917" s="31" t="inlineStr">
        <is>
          <t>In Stock</t>
        </is>
      </c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5" customHeight="1" s="85">
      <c r="A918" s="27" t="inlineStr">
        <is>
          <t>QUALITY KASHMIRI CHILLY 250GM</t>
        </is>
      </c>
      <c r="B918" s="27" t="n"/>
      <c r="C918" s="27" t="inlineStr">
        <is>
          <t>Masalas &amp; Spices</t>
        </is>
      </c>
      <c r="D918" s="28" t="inlineStr">
        <is>
          <t>8906017760444</t>
        </is>
      </c>
      <c r="E918" s="27" t="n"/>
      <c r="F918" s="29" t="n">
        <v>0</v>
      </c>
      <c r="G918" s="29" t="n">
        <v>255</v>
      </c>
      <c r="H918" s="27" t="inlineStr">
        <is>
          <t>Exclusive</t>
        </is>
      </c>
      <c r="I918" s="29" t="n">
        <v>152</v>
      </c>
      <c r="J918" s="27" t="inlineStr">
        <is>
          <t>Exclusive</t>
        </is>
      </c>
      <c r="K918" s="29" t="n">
        <v>255</v>
      </c>
      <c r="L918" s="29" t="n">
        <v>0</v>
      </c>
      <c r="M918" s="33" t="n">
        <v>1</v>
      </c>
      <c r="N918" s="27" t="inlineStr">
        <is>
          <t>Yes</t>
        </is>
      </c>
      <c r="O918" s="29" t="n">
        <v>0</v>
      </c>
      <c r="P918" s="30" t="n">
        <v>450</v>
      </c>
      <c r="Q918" s="31" t="inlineStr">
        <is>
          <t>In Stock</t>
        </is>
      </c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5" customHeight="1" s="85">
      <c r="A919" s="27" t="inlineStr">
        <is>
          <t>QUALITY KAYAM 50GM</t>
        </is>
      </c>
      <c r="B919" s="27" t="n"/>
      <c r="C919" s="27" t="inlineStr">
        <is>
          <t>Masalas &amp; Spices</t>
        </is>
      </c>
      <c r="D919" s="28" t="inlineStr">
        <is>
          <t>8906017760116</t>
        </is>
      </c>
      <c r="E919" s="27" t="n"/>
      <c r="F919" s="29" t="n">
        <v>0</v>
      </c>
      <c r="G919" s="29" t="n">
        <v>88</v>
      </c>
      <c r="H919" s="27" t="inlineStr">
        <is>
          <t>Exclusive</t>
        </is>
      </c>
      <c r="I919" s="29" t="n">
        <v>53</v>
      </c>
      <c r="J919" s="27" t="inlineStr">
        <is>
          <t>Exclusive</t>
        </is>
      </c>
      <c r="K919" s="29" t="n">
        <v>88</v>
      </c>
      <c r="L919" s="29" t="n">
        <v>0</v>
      </c>
      <c r="M919" s="33" t="n">
        <v>1</v>
      </c>
      <c r="N919" s="27" t="inlineStr">
        <is>
          <t>Yes</t>
        </is>
      </c>
      <c r="O919" s="29" t="n">
        <v>0</v>
      </c>
      <c r="P919" s="30" t="n">
        <v>450</v>
      </c>
      <c r="Q919" s="31" t="inlineStr">
        <is>
          <t>In Stock</t>
        </is>
      </c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5" customHeight="1" s="85">
      <c r="A920" s="27" t="inlineStr">
        <is>
          <t>QUALITY KAYAM POWDER 25GM</t>
        </is>
      </c>
      <c r="B920" s="27" t="n"/>
      <c r="C920" s="27" t="inlineStr">
        <is>
          <t>Masalas &amp; Spices</t>
        </is>
      </c>
      <c r="D920" s="28" t="inlineStr">
        <is>
          <t>8906017760109</t>
        </is>
      </c>
      <c r="E920" s="27" t="n"/>
      <c r="F920" s="29" t="n">
        <v>0</v>
      </c>
      <c r="G920" s="29" t="n">
        <v>45</v>
      </c>
      <c r="H920" s="27" t="inlineStr">
        <is>
          <t>Exclusive</t>
        </is>
      </c>
      <c r="I920" s="29" t="n">
        <v>32</v>
      </c>
      <c r="J920" s="27" t="inlineStr">
        <is>
          <t>Exclusive</t>
        </is>
      </c>
      <c r="K920" s="29" t="n">
        <v>0</v>
      </c>
      <c r="L920" s="29" t="n">
        <v>0</v>
      </c>
      <c r="M920" s="33" t="n">
        <v>1</v>
      </c>
      <c r="N920" s="27" t="inlineStr">
        <is>
          <t>Yes</t>
        </is>
      </c>
      <c r="O920" s="29" t="n">
        <v>0</v>
      </c>
      <c r="P920" s="30" t="n">
        <v>450</v>
      </c>
      <c r="Q920" s="31" t="inlineStr">
        <is>
          <t>In Stock</t>
        </is>
      </c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5" customHeight="1" s="85">
      <c r="A921" s="27" t="inlineStr">
        <is>
          <t>QUALITY MEAT MASALA 100GM</t>
        </is>
      </c>
      <c r="B921" s="27" t="n"/>
      <c r="C921" s="27" t="inlineStr">
        <is>
          <t>Masalas &amp; Spices</t>
        </is>
      </c>
      <c r="D921" s="28" t="inlineStr">
        <is>
          <t>8906017761052</t>
        </is>
      </c>
      <c r="E921" s="27" t="n"/>
      <c r="F921" s="29" t="n">
        <v>0</v>
      </c>
      <c r="G921" s="29" t="n">
        <v>64</v>
      </c>
      <c r="H921" s="27" t="inlineStr">
        <is>
          <t>Exclusive</t>
        </is>
      </c>
      <c r="I921" s="29" t="n">
        <v>39</v>
      </c>
      <c r="J921" s="27" t="inlineStr">
        <is>
          <t>Exclusive</t>
        </is>
      </c>
      <c r="K921" s="29" t="n">
        <v>64</v>
      </c>
      <c r="L921" s="29" t="n">
        <v>0</v>
      </c>
      <c r="M921" s="33" t="n">
        <v>1</v>
      </c>
      <c r="N921" s="27" t="inlineStr">
        <is>
          <t>Yes</t>
        </is>
      </c>
      <c r="O921" s="29" t="n">
        <v>0</v>
      </c>
      <c r="P921" s="30" t="n">
        <v>450</v>
      </c>
      <c r="Q921" s="31" t="inlineStr">
        <is>
          <t>In Stock</t>
        </is>
      </c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5" customHeight="1" s="85">
      <c r="A922" s="27" t="inlineStr">
        <is>
          <t>QUALITY MUSTARD 100GM</t>
        </is>
      </c>
      <c r="B922" s="27" t="n"/>
      <c r="C922" s="27" t="inlineStr">
        <is>
          <t>Masalas &amp; Spices</t>
        </is>
      </c>
      <c r="D922" s="28" t="inlineStr">
        <is>
          <t>8906017762011</t>
        </is>
      </c>
      <c r="E922" s="27" t="n"/>
      <c r="F922" s="29" t="n">
        <v>0</v>
      </c>
      <c r="G922" s="29" t="n">
        <v>26</v>
      </c>
      <c r="H922" s="27" t="inlineStr">
        <is>
          <t>Inclusive</t>
        </is>
      </c>
      <c r="I922" s="29" t="n">
        <v>19</v>
      </c>
      <c r="J922" s="27" t="inlineStr">
        <is>
          <t>Inclusive</t>
        </is>
      </c>
      <c r="K922" s="29" t="n">
        <v>22</v>
      </c>
      <c r="L922" s="29" t="n">
        <v>0</v>
      </c>
      <c r="M922" s="33" t="n">
        <v>1</v>
      </c>
      <c r="N922" s="27" t="inlineStr">
        <is>
          <t>Yes</t>
        </is>
      </c>
      <c r="O922" s="29" t="n">
        <v>0</v>
      </c>
      <c r="P922" s="30" t="n">
        <v>450</v>
      </c>
      <c r="Q922" s="31" t="inlineStr">
        <is>
          <t>In Stock</t>
        </is>
      </c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5" customHeight="1" s="85">
      <c r="A923" s="27" t="inlineStr">
        <is>
          <t>QUALITY MUTTON MASALA POWDER 100GM</t>
        </is>
      </c>
      <c r="B923" s="27" t="n"/>
      <c r="C923" s="27" t="inlineStr">
        <is>
          <t>Masalas &amp; Spices</t>
        </is>
      </c>
      <c r="D923" s="28" t="inlineStr">
        <is>
          <t>8906017761199</t>
        </is>
      </c>
      <c r="E923" s="27" t="n"/>
      <c r="F923" s="29" t="n">
        <v>0</v>
      </c>
      <c r="G923" s="29" t="n">
        <v>68</v>
      </c>
      <c r="H923" s="27" t="inlineStr">
        <is>
          <t>Exclusive</t>
        </is>
      </c>
      <c r="I923" s="29" t="n">
        <v>42</v>
      </c>
      <c r="J923" s="27" t="inlineStr">
        <is>
          <t>Exclusive</t>
        </is>
      </c>
      <c r="K923" s="29" t="n">
        <v>68</v>
      </c>
      <c r="L923" s="29" t="n">
        <v>0</v>
      </c>
      <c r="M923" s="33" t="n">
        <v>1</v>
      </c>
      <c r="N923" s="27" t="inlineStr">
        <is>
          <t>Yes</t>
        </is>
      </c>
      <c r="O923" s="29" t="n">
        <v>0</v>
      </c>
      <c r="P923" s="30" t="n">
        <v>450</v>
      </c>
      <c r="Q923" s="31" t="inlineStr">
        <is>
          <t>In Stock</t>
        </is>
      </c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5" customHeight="1" s="85">
      <c r="A924" s="27" t="inlineStr">
        <is>
          <t>QUALITY PALADA PAYASAM 200G.</t>
        </is>
      </c>
      <c r="B924" s="27" t="n"/>
      <c r="C924" s="27" t="inlineStr">
        <is>
          <t>Ready to Eat &amp; Mixes</t>
        </is>
      </c>
      <c r="D924" s="28" t="inlineStr">
        <is>
          <t>8906017761427</t>
        </is>
      </c>
      <c r="E924" s="27" t="n"/>
      <c r="F924" s="29" t="n">
        <v>0</v>
      </c>
      <c r="G924" s="29" t="n">
        <v>85</v>
      </c>
      <c r="H924" s="27" t="inlineStr">
        <is>
          <t>Exclusive</t>
        </is>
      </c>
      <c r="I924" s="29" t="n">
        <v>55</v>
      </c>
      <c r="J924" s="27" t="inlineStr">
        <is>
          <t>Exclusive</t>
        </is>
      </c>
      <c r="K924" s="29" t="n">
        <v>85</v>
      </c>
      <c r="L924" s="29" t="n">
        <v>0</v>
      </c>
      <c r="M924" s="33" t="n">
        <v>1</v>
      </c>
      <c r="N924" s="27" t="inlineStr">
        <is>
          <t>Yes</t>
        </is>
      </c>
      <c r="O924" s="29" t="n">
        <v>0</v>
      </c>
      <c r="P924" s="30" t="n">
        <v>450</v>
      </c>
      <c r="Q924" s="31" t="inlineStr">
        <is>
          <t>In Stock</t>
        </is>
      </c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5" customHeight="1" s="85">
      <c r="A925" s="27" t="inlineStr">
        <is>
          <t>QUALITY PICKLE POWDER 100GM</t>
        </is>
      </c>
      <c r="B925" s="27" t="n"/>
      <c r="C925" s="27" t="inlineStr">
        <is>
          <t>Masalas &amp; Spices</t>
        </is>
      </c>
      <c r="D925" s="28" t="inlineStr">
        <is>
          <t>8906017761557</t>
        </is>
      </c>
      <c r="E925" s="27" t="n"/>
      <c r="F925" s="29" t="n">
        <v>0</v>
      </c>
      <c r="G925" s="29" t="n">
        <v>65</v>
      </c>
      <c r="H925" s="27" t="inlineStr">
        <is>
          <t>Inclusive</t>
        </is>
      </c>
      <c r="I925" s="29" t="n">
        <v>36</v>
      </c>
      <c r="J925" s="27" t="inlineStr">
        <is>
          <t>Inclusive</t>
        </is>
      </c>
      <c r="K925" s="29" t="n">
        <v>0</v>
      </c>
      <c r="L925" s="29" t="n">
        <v>0</v>
      </c>
      <c r="M925" s="33" t="n">
        <v>1</v>
      </c>
      <c r="N925" s="27" t="inlineStr">
        <is>
          <t>Yes</t>
        </is>
      </c>
      <c r="O925" s="29" t="n">
        <v>0</v>
      </c>
      <c r="P925" s="30" t="n">
        <v>450</v>
      </c>
      <c r="Q925" s="31" t="inlineStr">
        <is>
          <t>In Stock</t>
        </is>
      </c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5" customHeight="1" s="85">
      <c r="A926" s="27" t="inlineStr">
        <is>
          <t>QUALITY RASAM POWDER 100GM</t>
        </is>
      </c>
      <c r="B926" s="27" t="n"/>
      <c r="C926" s="27" t="inlineStr">
        <is>
          <t>Masalas &amp; Spices</t>
        </is>
      </c>
      <c r="D926" s="28" t="inlineStr">
        <is>
          <t>8906017763452</t>
        </is>
      </c>
      <c r="E926" s="27" t="n"/>
      <c r="F926" s="29" t="n">
        <v>0</v>
      </c>
      <c r="G926" s="29" t="n">
        <v>69</v>
      </c>
      <c r="H926" s="27" t="inlineStr">
        <is>
          <t>Exclusive</t>
        </is>
      </c>
      <c r="I926" s="29" t="n">
        <v>40</v>
      </c>
      <c r="J926" s="27" t="inlineStr">
        <is>
          <t>Exclusive</t>
        </is>
      </c>
      <c r="K926" s="29" t="n">
        <v>69</v>
      </c>
      <c r="L926" s="29" t="n">
        <v>1</v>
      </c>
      <c r="M926" s="33" t="n">
        <v>1</v>
      </c>
      <c r="N926" s="27" t="inlineStr">
        <is>
          <t>Yes</t>
        </is>
      </c>
      <c r="O926" s="29" t="n">
        <v>0</v>
      </c>
      <c r="P926" s="30" t="n">
        <v>450</v>
      </c>
      <c r="Q926" s="31" t="inlineStr">
        <is>
          <t>In Stock</t>
        </is>
      </c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5" customHeight="1" s="85">
      <c r="A927" s="27" t="inlineStr">
        <is>
          <t>QUALITY SAMBAR POWDER 100GM</t>
        </is>
      </c>
      <c r="B927" s="27" t="n"/>
      <c r="C927" s="27" t="inlineStr">
        <is>
          <t>Masalas &amp; Spices</t>
        </is>
      </c>
      <c r="D927" s="28" t="inlineStr">
        <is>
          <t>8906017761410</t>
        </is>
      </c>
      <c r="E927" s="27" t="n"/>
      <c r="F927" s="29" t="n">
        <v>0</v>
      </c>
      <c r="G927" s="29" t="n">
        <v>62</v>
      </c>
      <c r="H927" s="27" t="inlineStr">
        <is>
          <t>Exclusive</t>
        </is>
      </c>
      <c r="I927" s="29" t="n">
        <v>40</v>
      </c>
      <c r="J927" s="27" t="inlineStr">
        <is>
          <t>Exclusive</t>
        </is>
      </c>
      <c r="K927" s="29" t="n">
        <v>52</v>
      </c>
      <c r="L927" s="29" t="n">
        <v>0</v>
      </c>
      <c r="M927" s="33" t="n">
        <v>1</v>
      </c>
      <c r="N927" s="27" t="inlineStr">
        <is>
          <t>Yes</t>
        </is>
      </c>
      <c r="O927" s="29" t="n">
        <v>0</v>
      </c>
      <c r="P927" s="30" t="n">
        <v>450</v>
      </c>
      <c r="Q927" s="31" t="inlineStr">
        <is>
          <t>In Stock</t>
        </is>
      </c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5" customHeight="1" s="85">
      <c r="A928" s="27" t="inlineStr">
        <is>
          <t>QUALITY SAUNF PERUMJEERAKAM 100GM</t>
        </is>
      </c>
      <c r="B928" s="27" t="n"/>
      <c r="C928" s="27" t="inlineStr">
        <is>
          <t>Masalas &amp; Spices</t>
        </is>
      </c>
      <c r="D928" s="32" t="inlineStr">
        <is>
          <t>100349</t>
        </is>
      </c>
      <c r="E928" s="27" t="n"/>
      <c r="F928" s="29" t="n">
        <v>0</v>
      </c>
      <c r="G928" s="29" t="n">
        <v>45</v>
      </c>
      <c r="H928" s="27" t="inlineStr">
        <is>
          <t>Exclusive</t>
        </is>
      </c>
      <c r="I928" s="29" t="n">
        <v>30</v>
      </c>
      <c r="J928" s="27" t="inlineStr">
        <is>
          <t>Exclusive</t>
        </is>
      </c>
      <c r="K928" s="29" t="n">
        <v>0</v>
      </c>
      <c r="L928" s="29" t="n">
        <v>0</v>
      </c>
      <c r="M928" s="33" t="n">
        <v>1</v>
      </c>
      <c r="N928" s="27" t="inlineStr">
        <is>
          <t>Yes</t>
        </is>
      </c>
      <c r="O928" s="29" t="n">
        <v>0</v>
      </c>
      <c r="P928" s="30" t="n">
        <v>450</v>
      </c>
      <c r="Q928" s="31" t="inlineStr">
        <is>
          <t>In Stock</t>
        </is>
      </c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5" customHeight="1" s="85">
      <c r="A929" s="27" t="inlineStr">
        <is>
          <t>QUALITY TURMERIC POWDER 100GM</t>
        </is>
      </c>
      <c r="B929" s="27" t="n"/>
      <c r="C929" s="27" t="inlineStr">
        <is>
          <t>Masalas &amp; Spices</t>
        </is>
      </c>
      <c r="D929" s="28" t="inlineStr">
        <is>
          <t>8906017760048</t>
        </is>
      </c>
      <c r="E929" s="27" t="n"/>
      <c r="F929" s="29" t="n">
        <v>0</v>
      </c>
      <c r="G929" s="29" t="n">
        <v>34</v>
      </c>
      <c r="H929" s="27" t="inlineStr">
        <is>
          <t>Exclusive</t>
        </is>
      </c>
      <c r="I929" s="29" t="n">
        <v>28</v>
      </c>
      <c r="J929" s="27" t="inlineStr">
        <is>
          <t>Exclusive</t>
        </is>
      </c>
      <c r="K929" s="29" t="n">
        <v>34</v>
      </c>
      <c r="L929" s="29" t="n">
        <v>4</v>
      </c>
      <c r="M929" s="33" t="n">
        <v>1</v>
      </c>
      <c r="N929" s="27" t="inlineStr">
        <is>
          <t>Yes</t>
        </is>
      </c>
      <c r="O929" s="29" t="n">
        <v>0</v>
      </c>
      <c r="P929" s="30" t="n">
        <v>450</v>
      </c>
      <c r="Q929" s="31" t="inlineStr">
        <is>
          <t>In Stock</t>
        </is>
      </c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5" customHeight="1" s="85">
      <c r="A930" s="27" t="inlineStr">
        <is>
          <t>QUALITY ULUVA METHI POWDER 100GM</t>
        </is>
      </c>
      <c r="B930" s="27" t="n"/>
      <c r="C930" s="27" t="inlineStr">
        <is>
          <t>Masalas &amp; Spices</t>
        </is>
      </c>
      <c r="D930" s="28" t="inlineStr">
        <is>
          <t>8906017760383</t>
        </is>
      </c>
      <c r="E930" s="27" t="n"/>
      <c r="F930" s="29" t="n">
        <v>0</v>
      </c>
      <c r="G930" s="29" t="n">
        <v>22</v>
      </c>
      <c r="H930" s="27" t="inlineStr">
        <is>
          <t>Exclusive</t>
        </is>
      </c>
      <c r="I930" s="29" t="n">
        <v>15</v>
      </c>
      <c r="J930" s="27" t="inlineStr">
        <is>
          <t>Exclusive</t>
        </is>
      </c>
      <c r="K930" s="29" t="n">
        <v>22</v>
      </c>
      <c r="L930" s="29" t="n">
        <v>0</v>
      </c>
      <c r="M930" s="33" t="n">
        <v>1</v>
      </c>
      <c r="N930" s="27" t="inlineStr">
        <is>
          <t>Yes</t>
        </is>
      </c>
      <c r="O930" s="29" t="n">
        <v>0</v>
      </c>
      <c r="P930" s="30" t="n">
        <v>450</v>
      </c>
      <c r="Q930" s="31" t="inlineStr">
        <is>
          <t>In Stock</t>
        </is>
      </c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5" customHeight="1" s="85">
      <c r="A931" s="27" t="inlineStr">
        <is>
          <t>QUALITY ULUVA SEEDS 100GM</t>
        </is>
      </c>
      <c r="B931" s="27" t="n"/>
      <c r="C931" s="27" t="inlineStr">
        <is>
          <t>Masalas &amp; Spices</t>
        </is>
      </c>
      <c r="D931" s="28" t="inlineStr">
        <is>
          <t>8906017762097</t>
        </is>
      </c>
      <c r="E931" s="27" t="n"/>
      <c r="F931" s="29" t="n">
        <v>0</v>
      </c>
      <c r="G931" s="29" t="n">
        <v>22</v>
      </c>
      <c r="H931" s="27" t="inlineStr">
        <is>
          <t>Inclusive</t>
        </is>
      </c>
      <c r="I931" s="29" t="n">
        <v>15</v>
      </c>
      <c r="J931" s="27" t="inlineStr">
        <is>
          <t>Inclusive</t>
        </is>
      </c>
      <c r="K931" s="29" t="n">
        <v>22</v>
      </c>
      <c r="L931" s="29" t="n">
        <v>0</v>
      </c>
      <c r="M931" s="33" t="n">
        <v>1</v>
      </c>
      <c r="N931" s="27" t="inlineStr">
        <is>
          <t>No</t>
        </is>
      </c>
      <c r="O931" s="29" t="n">
        <v>0</v>
      </c>
      <c r="P931" s="30" t="n">
        <v>450</v>
      </c>
      <c r="Q931" s="31" t="inlineStr">
        <is>
          <t>In Stock</t>
        </is>
      </c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5" customHeight="1" s="85">
      <c r="A932" s="27" t="inlineStr">
        <is>
          <t>RACKS</t>
        </is>
      </c>
      <c r="B932" s="27" t="n"/>
      <c r="C932" s="27" t="inlineStr">
        <is>
          <t>Fixed Assets</t>
        </is>
      </c>
      <c r="D932" s="32" t="inlineStr">
        <is>
          <t>100350</t>
        </is>
      </c>
      <c r="E932" s="27" t="n"/>
      <c r="F932" s="29" t="n">
        <v>0</v>
      </c>
      <c r="G932" s="29" t="n">
        <v>1100</v>
      </c>
      <c r="H932" s="27" t="inlineStr">
        <is>
          <t>Exclusive</t>
        </is>
      </c>
      <c r="I932" s="29" t="n">
        <v>1100</v>
      </c>
      <c r="J932" s="27" t="inlineStr">
        <is>
          <t>Exclusive</t>
        </is>
      </c>
      <c r="K932" s="29" t="n">
        <v>1100</v>
      </c>
      <c r="L932" s="29" t="n">
        <v>6</v>
      </c>
      <c r="M932" s="33" t="n">
        <v>1</v>
      </c>
      <c r="N932" s="27" t="inlineStr">
        <is>
          <t>No</t>
        </is>
      </c>
      <c r="O932" s="29" t="n">
        <v>0</v>
      </c>
      <c r="P932" s="30" t="n">
        <v>450</v>
      </c>
      <c r="Q932" s="31" t="inlineStr">
        <is>
          <t>In Stock</t>
        </is>
      </c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5" customHeight="1" s="85">
      <c r="A933" s="27" t="inlineStr">
        <is>
          <t>RACKS 2900</t>
        </is>
      </c>
      <c r="B933" s="27" t="n"/>
      <c r="C933" s="27" t="inlineStr">
        <is>
          <t>Fixed Assets</t>
        </is>
      </c>
      <c r="D933" s="32" t="inlineStr">
        <is>
          <t>100351</t>
        </is>
      </c>
      <c r="E933" s="27" t="n"/>
      <c r="F933" s="29" t="n">
        <v>0</v>
      </c>
      <c r="G933" s="29" t="n">
        <v>2900</v>
      </c>
      <c r="H933" s="27" t="inlineStr">
        <is>
          <t>Exclusive</t>
        </is>
      </c>
      <c r="I933" s="29" t="n">
        <v>2900</v>
      </c>
      <c r="J933" s="27" t="inlineStr">
        <is>
          <t>Exclusive</t>
        </is>
      </c>
      <c r="K933" s="29" t="n">
        <v>2900</v>
      </c>
      <c r="L933" s="29" t="n">
        <v>2</v>
      </c>
      <c r="M933" s="33" t="n">
        <v>1</v>
      </c>
      <c r="N933" s="27" t="inlineStr">
        <is>
          <t>No</t>
        </is>
      </c>
      <c r="O933" s="29" t="n">
        <v>0</v>
      </c>
      <c r="P933" s="30" t="n">
        <v>450</v>
      </c>
      <c r="Q933" s="31" t="inlineStr">
        <is>
          <t>In Stock</t>
        </is>
      </c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5" customHeight="1" s="85">
      <c r="A934" s="27" t="inlineStr">
        <is>
          <t>RADHA'S AYURVEDIC SOAP</t>
        </is>
      </c>
      <c r="B934" s="27" t="n"/>
      <c r="C934" s="27" t="inlineStr">
        <is>
          <t>Healthcare Items</t>
        </is>
      </c>
      <c r="D934" s="28" t="inlineStr">
        <is>
          <t>8906001031215</t>
        </is>
      </c>
      <c r="E934" s="27" t="n"/>
      <c r="F934" s="29" t="n">
        <v>0</v>
      </c>
      <c r="G934" s="29" t="n">
        <v>32</v>
      </c>
      <c r="H934" s="27" t="inlineStr">
        <is>
          <t>Exclusive</t>
        </is>
      </c>
      <c r="I934" s="29" t="n">
        <v>28</v>
      </c>
      <c r="J934" s="27" t="inlineStr">
        <is>
          <t>Exclusive</t>
        </is>
      </c>
      <c r="K934" s="29" t="n">
        <v>30</v>
      </c>
      <c r="L934" s="29" t="n">
        <v>0</v>
      </c>
      <c r="M934" s="33" t="n">
        <v>1</v>
      </c>
      <c r="N934" s="27" t="inlineStr">
        <is>
          <t>Yes</t>
        </is>
      </c>
      <c r="O934" s="29" t="n">
        <v>0</v>
      </c>
      <c r="P934" s="30" t="n">
        <v>450</v>
      </c>
      <c r="Q934" s="31" t="inlineStr">
        <is>
          <t>In Stock</t>
        </is>
      </c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5" customHeight="1" s="85">
      <c r="A935" s="27" t="inlineStr">
        <is>
          <t>RED BANANA (KAPPA PAZHAM)</t>
        </is>
      </c>
      <c r="B935" s="27" t="n"/>
      <c r="C935" s="27" t="inlineStr">
        <is>
          <t>Raw Items &amp; Produce</t>
        </is>
      </c>
      <c r="D935" s="32" t="inlineStr">
        <is>
          <t>100352</t>
        </is>
      </c>
      <c r="E935" s="27" t="n"/>
      <c r="F935" s="29" t="n">
        <v>0</v>
      </c>
      <c r="G935" s="29" t="n">
        <v>140</v>
      </c>
      <c r="H935" s="27" t="inlineStr">
        <is>
          <t>Exclusive</t>
        </is>
      </c>
      <c r="I935" s="29" t="n">
        <v>125</v>
      </c>
      <c r="J935" s="27" t="inlineStr">
        <is>
          <t>Exclusive</t>
        </is>
      </c>
      <c r="K935" s="29" t="n">
        <v>160</v>
      </c>
      <c r="L935" s="29" t="n">
        <v>9.33</v>
      </c>
      <c r="M935" s="33" t="n">
        <v>1</v>
      </c>
      <c r="N935" s="27" t="inlineStr">
        <is>
          <t>Yes</t>
        </is>
      </c>
      <c r="O935" s="29" t="n">
        <v>0</v>
      </c>
      <c r="P935" s="30" t="n">
        <v>450</v>
      </c>
      <c r="Q935" s="31" t="inlineStr">
        <is>
          <t>In Stock</t>
        </is>
      </c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5" customHeight="1" s="85">
      <c r="A936" s="27" t="inlineStr">
        <is>
          <t>RED CHILLY PKT 100GM</t>
        </is>
      </c>
      <c r="B936" s="27" t="n"/>
      <c r="C936" s="27" t="inlineStr">
        <is>
          <t>Masalas &amp; Spices</t>
        </is>
      </c>
      <c r="D936" s="28" t="inlineStr">
        <is>
          <t>797733127729</t>
        </is>
      </c>
      <c r="E936" s="27" t="n"/>
      <c r="F936" s="29" t="n">
        <v>0</v>
      </c>
      <c r="G936" s="29" t="n">
        <v>85</v>
      </c>
      <c r="H936" s="27" t="inlineStr">
        <is>
          <t>Exclusive</t>
        </is>
      </c>
      <c r="I936" s="29" t="n">
        <v>57</v>
      </c>
      <c r="J936" s="27" t="inlineStr">
        <is>
          <t>Exclusive</t>
        </is>
      </c>
      <c r="K936" s="29" t="n">
        <v>90</v>
      </c>
      <c r="L936" s="29" t="n">
        <v>0</v>
      </c>
      <c r="M936" s="33" t="n">
        <v>1</v>
      </c>
      <c r="N936" s="27" t="inlineStr">
        <is>
          <t>Yes</t>
        </is>
      </c>
      <c r="O936" s="29" t="n">
        <v>0</v>
      </c>
      <c r="P936" s="30" t="n">
        <v>450</v>
      </c>
      <c r="Q936" s="31" t="inlineStr">
        <is>
          <t>In Stock</t>
        </is>
      </c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5" customHeight="1" s="85">
      <c r="A937" s="27" t="inlineStr">
        <is>
          <t>REFRIGERATOR</t>
        </is>
      </c>
      <c r="B937" s="27" t="n"/>
      <c r="C937" s="27" t="inlineStr">
        <is>
          <t>Fixed Assets</t>
        </is>
      </c>
      <c r="D937" s="32" t="inlineStr">
        <is>
          <t>100353</t>
        </is>
      </c>
      <c r="E937" s="27" t="n"/>
      <c r="F937" s="29" t="n">
        <v>0</v>
      </c>
      <c r="G937" s="29" t="n">
        <v>30000</v>
      </c>
      <c r="H937" s="27" t="inlineStr">
        <is>
          <t>Exclusive</t>
        </is>
      </c>
      <c r="I937" s="29" t="n">
        <v>26500</v>
      </c>
      <c r="J937" s="27" t="inlineStr">
        <is>
          <t>Exclusive</t>
        </is>
      </c>
      <c r="K937" s="29" t="n">
        <v>32500</v>
      </c>
      <c r="L937" s="29" t="n">
        <v>0</v>
      </c>
      <c r="M937" s="33" t="n">
        <v>1</v>
      </c>
      <c r="N937" s="27" t="inlineStr">
        <is>
          <t>No</t>
        </is>
      </c>
      <c r="O937" s="29" t="n">
        <v>0</v>
      </c>
      <c r="P937" s="30" t="n">
        <v>450</v>
      </c>
      <c r="Q937" s="31" t="inlineStr">
        <is>
          <t>In Stock</t>
        </is>
      </c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5" customHeight="1" s="85">
      <c r="A938" s="27" t="inlineStr">
        <is>
          <t>REGISTER COPY</t>
        </is>
      </c>
      <c r="B938" s="27" t="n"/>
      <c r="C938" s="27" t="inlineStr">
        <is>
          <t>Stationery</t>
        </is>
      </c>
      <c r="D938" s="32" t="inlineStr">
        <is>
          <t>100354</t>
        </is>
      </c>
      <c r="E938" s="27" t="n"/>
      <c r="F938" s="29" t="n">
        <v>0</v>
      </c>
      <c r="G938" s="29" t="n">
        <v>60</v>
      </c>
      <c r="H938" s="27" t="inlineStr">
        <is>
          <t>Exclusive</t>
        </is>
      </c>
      <c r="I938" s="29" t="n">
        <v>45</v>
      </c>
      <c r="J938" s="27" t="inlineStr">
        <is>
          <t>Exclusive</t>
        </is>
      </c>
      <c r="K938" s="29" t="n">
        <v>60</v>
      </c>
      <c r="L938" s="29" t="n">
        <v>3</v>
      </c>
      <c r="M938" s="33" t="n">
        <v>1</v>
      </c>
      <c r="N938" s="27" t="inlineStr">
        <is>
          <t>No</t>
        </is>
      </c>
      <c r="O938" s="29" t="n">
        <v>0</v>
      </c>
      <c r="P938" s="30" t="n">
        <v>450</v>
      </c>
      <c r="Q938" s="31" t="inlineStr">
        <is>
          <t>In Stock</t>
        </is>
      </c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5" customHeight="1" s="85">
      <c r="A939" s="27" t="inlineStr">
        <is>
          <t>RELIGIOUS SCRIPTURES</t>
        </is>
      </c>
      <c r="B939" s="27" t="n"/>
      <c r="C939" s="27" t="inlineStr">
        <is>
          <t>Books &amp; Bibles</t>
        </is>
      </c>
      <c r="D939" s="32" t="inlineStr">
        <is>
          <t>100355</t>
        </is>
      </c>
      <c r="E939" s="27" t="n"/>
      <c r="F939" s="29" t="n">
        <v>0</v>
      </c>
      <c r="G939" s="29" t="n">
        <v>30</v>
      </c>
      <c r="H939" s="27" t="inlineStr">
        <is>
          <t>Exclusive</t>
        </is>
      </c>
      <c r="I939" s="29" t="n">
        <v>25</v>
      </c>
      <c r="J939" s="27" t="inlineStr">
        <is>
          <t>Exclusive</t>
        </is>
      </c>
      <c r="K939" s="29" t="n">
        <v>30</v>
      </c>
      <c r="L939" s="29" t="n">
        <v>0</v>
      </c>
      <c r="M939" s="33" t="n">
        <v>1</v>
      </c>
      <c r="N939" s="27" t="inlineStr">
        <is>
          <t>Yes</t>
        </is>
      </c>
      <c r="O939" s="29" t="n">
        <v>0</v>
      </c>
      <c r="P939" s="30" t="n">
        <v>450</v>
      </c>
      <c r="Q939" s="31" t="inlineStr">
        <is>
          <t>In Stock</t>
        </is>
      </c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5" customHeight="1" s="85">
      <c r="A940" s="27" t="inlineStr">
        <is>
          <t>REPORT FILE FOLDER</t>
        </is>
      </c>
      <c r="B940" s="27" t="n"/>
      <c r="C940" s="27" t="inlineStr">
        <is>
          <t>Stationery</t>
        </is>
      </c>
      <c r="D940" s="32" t="inlineStr">
        <is>
          <t>100356</t>
        </is>
      </c>
      <c r="E940" s="27" t="n"/>
      <c r="F940" s="29" t="n">
        <v>0</v>
      </c>
      <c r="G940" s="29" t="n">
        <v>15</v>
      </c>
      <c r="H940" s="27" t="inlineStr">
        <is>
          <t>Exclusive</t>
        </is>
      </c>
      <c r="I940" s="29" t="n">
        <v>7</v>
      </c>
      <c r="J940" s="27" t="inlineStr">
        <is>
          <t>Exclusive</t>
        </is>
      </c>
      <c r="K940" s="29" t="n">
        <v>20</v>
      </c>
      <c r="L940" s="29" t="n">
        <v>87</v>
      </c>
      <c r="M940" s="33" t="n">
        <v>1</v>
      </c>
      <c r="N940" s="27" t="inlineStr">
        <is>
          <t>No</t>
        </is>
      </c>
      <c r="O940" s="29" t="n">
        <v>0</v>
      </c>
      <c r="P940" s="30" t="n">
        <v>450</v>
      </c>
      <c r="Q940" s="31" t="inlineStr">
        <is>
          <t>In Stock</t>
        </is>
      </c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5" customHeight="1" s="85">
      <c r="A941" s="27" t="inlineStr">
        <is>
          <t>RG AGMARK GINGELI OIL 200GM</t>
        </is>
      </c>
      <c r="B941" s="27" t="n"/>
      <c r="C941" s="27" t="inlineStr">
        <is>
          <t>Edible Oils &amp; Ghee</t>
        </is>
      </c>
      <c r="D941" s="32" t="inlineStr">
        <is>
          <t>100357</t>
        </is>
      </c>
      <c r="E941" s="27" t="n"/>
      <c r="F941" s="29" t="n">
        <v>0</v>
      </c>
      <c r="G941" s="29" t="n">
        <v>94</v>
      </c>
      <c r="H941" s="27" t="inlineStr">
        <is>
          <t>Inclusive</t>
        </is>
      </c>
      <c r="I941" s="29" t="n">
        <v>70</v>
      </c>
      <c r="J941" s="27" t="inlineStr">
        <is>
          <t>Inclusive</t>
        </is>
      </c>
      <c r="K941" s="29" t="n">
        <v>0</v>
      </c>
      <c r="L941" s="29" t="n">
        <v>1</v>
      </c>
      <c r="M941" s="33" t="n">
        <v>1</v>
      </c>
      <c r="N941" s="27" t="inlineStr">
        <is>
          <t>No</t>
        </is>
      </c>
      <c r="O941" s="29" t="n">
        <v>0</v>
      </c>
      <c r="P941" s="30" t="n">
        <v>450</v>
      </c>
      <c r="Q941" s="31" t="inlineStr">
        <is>
          <t>In Stock</t>
        </is>
      </c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5" customHeight="1" s="85">
      <c r="A942" s="27" t="inlineStr">
        <is>
          <t>RG AGMARK GINGELLY OIL 500ML</t>
        </is>
      </c>
      <c r="B942" s="27" t="n"/>
      <c r="C942" s="27" t="inlineStr">
        <is>
          <t>Edible Oils &amp; Ghee</t>
        </is>
      </c>
      <c r="D942" s="28" t="inlineStr">
        <is>
          <t>8906032430117</t>
        </is>
      </c>
      <c r="E942" s="27" t="n"/>
      <c r="F942" s="29" t="n">
        <v>0</v>
      </c>
      <c r="G942" s="29" t="n">
        <v>174</v>
      </c>
      <c r="H942" s="27" t="inlineStr">
        <is>
          <t>Inclusive</t>
        </is>
      </c>
      <c r="I942" s="29" t="n">
        <v>145</v>
      </c>
      <c r="J942" s="27" t="inlineStr">
        <is>
          <t>Inclusive</t>
        </is>
      </c>
      <c r="K942" s="29" t="n">
        <v>0</v>
      </c>
      <c r="L942" s="29" t="n">
        <v>0</v>
      </c>
      <c r="M942" s="33" t="n">
        <v>1</v>
      </c>
      <c r="N942" s="27" t="inlineStr">
        <is>
          <t>Yes</t>
        </is>
      </c>
      <c r="O942" s="29" t="n">
        <v>0</v>
      </c>
      <c r="P942" s="30" t="n">
        <v>450</v>
      </c>
      <c r="Q942" s="31" t="inlineStr">
        <is>
          <t>In Stock</t>
        </is>
      </c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5" customHeight="1" s="85">
      <c r="A943" s="27" t="inlineStr">
        <is>
          <t>RK PONNI RICE 2KG</t>
        </is>
      </c>
      <c r="B943" s="27" t="n"/>
      <c r="C943" s="27" t="inlineStr">
        <is>
          <t>Rice Items</t>
        </is>
      </c>
      <c r="D943" s="28" t="inlineStr">
        <is>
          <t>618127779281</t>
        </is>
      </c>
      <c r="E943" s="27" t="n"/>
      <c r="F943" s="29" t="n">
        <v>0</v>
      </c>
      <c r="G943" s="29" t="n">
        <v>150</v>
      </c>
      <c r="H943" s="27" t="inlineStr">
        <is>
          <t>Inclusive</t>
        </is>
      </c>
      <c r="I943" s="29" t="n">
        <v>140</v>
      </c>
      <c r="J943" s="27" t="inlineStr">
        <is>
          <t>Inclusive</t>
        </is>
      </c>
      <c r="K943" s="29" t="n">
        <v>150</v>
      </c>
      <c r="L943" s="29" t="n">
        <v>0</v>
      </c>
      <c r="M943" s="33" t="n">
        <v>1</v>
      </c>
      <c r="N943" s="27" t="inlineStr">
        <is>
          <t>Yes</t>
        </is>
      </c>
      <c r="O943" s="29" t="n">
        <v>0</v>
      </c>
      <c r="P943" s="30" t="n">
        <v>450</v>
      </c>
      <c r="Q943" s="31" t="inlineStr">
        <is>
          <t>In Stock</t>
        </is>
      </c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5" customHeight="1" s="85">
      <c r="A944" s="27" t="inlineStr">
        <is>
          <t>R NJAREMBENNA 90GM</t>
        </is>
      </c>
      <c r="B944" s="27" t="n"/>
      <c r="C944" s="27" t="inlineStr">
        <is>
          <t>Healthcare Items</t>
        </is>
      </c>
      <c r="D944" s="32" t="inlineStr">
        <is>
          <t>100358</t>
        </is>
      </c>
      <c r="E944" s="27" t="n"/>
      <c r="F944" s="29" t="n">
        <v>0</v>
      </c>
      <c r="G944" s="29" t="n">
        <v>141</v>
      </c>
      <c r="H944" s="27" t="inlineStr">
        <is>
          <t>Exclusive</t>
        </is>
      </c>
      <c r="I944" s="29" t="n">
        <v>107.43</v>
      </c>
      <c r="J944" s="27" t="inlineStr">
        <is>
          <t>Exclusive</t>
        </is>
      </c>
      <c r="K944" s="29" t="n">
        <v>0</v>
      </c>
      <c r="L944" s="29" t="n">
        <v>0</v>
      </c>
      <c r="M944" s="27" t="n"/>
      <c r="N944" s="27" t="inlineStr">
        <is>
          <t>Yes</t>
        </is>
      </c>
      <c r="O944" s="29" t="n">
        <v>0</v>
      </c>
      <c r="P944" s="30" t="n">
        <v>450</v>
      </c>
      <c r="Q944" s="31" t="inlineStr">
        <is>
          <t>In Stock</t>
        </is>
      </c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5" customHeight="1" s="85">
      <c r="A945" s="27" t="inlineStr">
        <is>
          <t>ROBINFOOD RED BRAN RICE 5KG</t>
        </is>
      </c>
      <c r="B945" s="27" t="n"/>
      <c r="C945" s="27" t="inlineStr">
        <is>
          <t>Rice Items</t>
        </is>
      </c>
      <c r="D945" s="32" t="inlineStr">
        <is>
          <t>100359</t>
        </is>
      </c>
      <c r="E945" s="27" t="n"/>
      <c r="F945" s="29" t="n">
        <v>0</v>
      </c>
      <c r="G945" s="29" t="n">
        <v>548</v>
      </c>
      <c r="H945" s="27" t="inlineStr">
        <is>
          <t>Exclusive</t>
        </is>
      </c>
      <c r="I945" s="29" t="n">
        <v>373.81</v>
      </c>
      <c r="J945" s="27" t="inlineStr">
        <is>
          <t>Exclusive</t>
        </is>
      </c>
      <c r="K945" s="29" t="n">
        <v>0</v>
      </c>
      <c r="L945" s="29" t="n">
        <v>0</v>
      </c>
      <c r="M945" s="27" t="n"/>
      <c r="N945" s="27" t="inlineStr">
        <is>
          <t>Yes</t>
        </is>
      </c>
      <c r="O945" s="29" t="n">
        <v>0</v>
      </c>
      <c r="P945" s="30" t="n">
        <v>450</v>
      </c>
      <c r="Q945" s="31" t="inlineStr">
        <is>
          <t>In Stock</t>
        </is>
      </c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5" customHeight="1" s="85">
      <c r="A946" s="27" t="inlineStr">
        <is>
          <t>ROOM FRESHENER</t>
        </is>
      </c>
      <c r="B946" s="27" t="n"/>
      <c r="C946" s="27" t="inlineStr">
        <is>
          <t>Household &amp; Cleaning</t>
        </is>
      </c>
      <c r="D946" s="28" t="inlineStr">
        <is>
          <t>8901277012463</t>
        </is>
      </c>
      <c r="E946" s="27" t="n"/>
      <c r="F946" s="29" t="n">
        <v>0</v>
      </c>
      <c r="G946" s="29" t="n">
        <v>130</v>
      </c>
      <c r="H946" s="27" t="inlineStr">
        <is>
          <t>Exclusive</t>
        </is>
      </c>
      <c r="I946" s="29" t="n">
        <v>120</v>
      </c>
      <c r="J946" s="27" t="inlineStr">
        <is>
          <t>Exclusive</t>
        </is>
      </c>
      <c r="K946" s="29" t="n">
        <v>130</v>
      </c>
      <c r="L946" s="29" t="n">
        <v>0</v>
      </c>
      <c r="M946" s="33" t="n">
        <v>1</v>
      </c>
      <c r="N946" s="27" t="inlineStr">
        <is>
          <t>No</t>
        </is>
      </c>
      <c r="O946" s="29" t="n">
        <v>0</v>
      </c>
      <c r="P946" s="30" t="n">
        <v>450</v>
      </c>
      <c r="Q946" s="31" t="inlineStr">
        <is>
          <t>In Stock</t>
        </is>
      </c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5" customHeight="1" s="85">
      <c r="A947" s="27" t="inlineStr">
        <is>
          <t>ROSE KAIMA PREMIUM RICE 1KG</t>
        </is>
      </c>
      <c r="B947" s="27" t="n"/>
      <c r="C947" s="27" t="inlineStr">
        <is>
          <t>Rice Items</t>
        </is>
      </c>
      <c r="D947" s="28" t="inlineStr">
        <is>
          <t>8908001361873</t>
        </is>
      </c>
      <c r="E947" s="27" t="n"/>
      <c r="F947" s="29" t="n">
        <v>0</v>
      </c>
      <c r="G947" s="29" t="n">
        <v>264</v>
      </c>
      <c r="H947" s="27" t="inlineStr">
        <is>
          <t>Exclusive</t>
        </is>
      </c>
      <c r="I947" s="29" t="n">
        <v>234</v>
      </c>
      <c r="J947" s="27" t="inlineStr">
        <is>
          <t>Exclusive</t>
        </is>
      </c>
      <c r="K947" s="29" t="n">
        <v>300</v>
      </c>
      <c r="L947" s="29" t="n">
        <v>0</v>
      </c>
      <c r="M947" s="27" t="n"/>
      <c r="N947" s="27" t="inlineStr">
        <is>
          <t>Yes</t>
        </is>
      </c>
      <c r="O947" s="29" t="n">
        <v>0</v>
      </c>
      <c r="P947" s="30" t="n">
        <v>450</v>
      </c>
      <c r="Q947" s="31" t="inlineStr">
        <is>
          <t>In Stock</t>
        </is>
      </c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5" customHeight="1" s="85">
      <c r="A948" s="27" t="inlineStr">
        <is>
          <t>ROTATING CROSS KEYCHAIN</t>
        </is>
      </c>
      <c r="B948" s="27" t="n"/>
      <c r="C948" s="27" t="inlineStr">
        <is>
          <t>Church Articles</t>
        </is>
      </c>
      <c r="D948" s="28" t="inlineStr">
        <is>
          <t>753472926613</t>
        </is>
      </c>
      <c r="E948" s="27" t="n"/>
      <c r="F948" s="29" t="n">
        <v>0</v>
      </c>
      <c r="G948" s="29" t="n">
        <v>85</v>
      </c>
      <c r="H948" s="27" t="inlineStr">
        <is>
          <t>Exclusive</t>
        </is>
      </c>
      <c r="I948" s="29" t="n">
        <v>55</v>
      </c>
      <c r="J948" s="27" t="inlineStr">
        <is>
          <t>Exclusive</t>
        </is>
      </c>
      <c r="K948" s="29" t="n">
        <v>90</v>
      </c>
      <c r="L948" s="29" t="n">
        <v>9</v>
      </c>
      <c r="M948" s="27" t="n"/>
      <c r="N948" s="27" t="inlineStr">
        <is>
          <t>Yes</t>
        </is>
      </c>
      <c r="O948" s="29" t="n">
        <v>0</v>
      </c>
      <c r="P948" s="30" t="n">
        <v>450</v>
      </c>
      <c r="Q948" s="31" t="inlineStr">
        <is>
          <t>In Stock</t>
        </is>
      </c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5" customHeight="1" s="85">
      <c r="A949" s="27" t="inlineStr">
        <is>
          <t>ROYAL ADAPRADHAMAN 300GM</t>
        </is>
      </c>
      <c r="B949" s="27" t="n"/>
      <c r="C949" s="27" t="inlineStr">
        <is>
          <t>Ready to Eat &amp; Mixes</t>
        </is>
      </c>
      <c r="D949" s="32" t="inlineStr">
        <is>
          <t>100361</t>
        </is>
      </c>
      <c r="E949" s="27" t="n"/>
      <c r="F949" s="29" t="n">
        <v>0</v>
      </c>
      <c r="G949" s="29" t="n">
        <v>120</v>
      </c>
      <c r="H949" s="27" t="inlineStr">
        <is>
          <t>Exclusive</t>
        </is>
      </c>
      <c r="I949" s="29" t="n">
        <v>98</v>
      </c>
      <c r="J949" s="27" t="inlineStr">
        <is>
          <t>Exclusive</t>
        </is>
      </c>
      <c r="K949" s="29" t="n">
        <v>120</v>
      </c>
      <c r="L949" s="29" t="n">
        <v>0</v>
      </c>
      <c r="M949" s="33" t="n">
        <v>1</v>
      </c>
      <c r="N949" s="27" t="inlineStr">
        <is>
          <t>Yes</t>
        </is>
      </c>
      <c r="O949" s="29" t="n">
        <v>0</v>
      </c>
      <c r="P949" s="30" t="n">
        <v>450</v>
      </c>
      <c r="Q949" s="31" t="inlineStr">
        <is>
          <t>In Stock</t>
        </is>
      </c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5" customHeight="1" s="85">
      <c r="A950" s="27" t="inlineStr">
        <is>
          <t>ROYAL PALADA MIX 500GM</t>
        </is>
      </c>
      <c r="B950" s="27" t="n"/>
      <c r="C950" s="27" t="inlineStr">
        <is>
          <t>Ready to Eat &amp; Mixes</t>
        </is>
      </c>
      <c r="D950" s="32" t="inlineStr">
        <is>
          <t>100362</t>
        </is>
      </c>
      <c r="E950" s="27" t="n"/>
      <c r="F950" s="29" t="n">
        <v>0</v>
      </c>
      <c r="G950" s="29" t="n">
        <v>110</v>
      </c>
      <c r="H950" s="27" t="inlineStr">
        <is>
          <t>Exclusive</t>
        </is>
      </c>
      <c r="I950" s="29" t="n">
        <v>86</v>
      </c>
      <c r="J950" s="27" t="inlineStr">
        <is>
          <t>Exclusive</t>
        </is>
      </c>
      <c r="K950" s="29" t="n">
        <v>110</v>
      </c>
      <c r="L950" s="29" t="n">
        <v>0</v>
      </c>
      <c r="M950" s="33" t="n">
        <v>1</v>
      </c>
      <c r="N950" s="27" t="inlineStr">
        <is>
          <t>Yes</t>
        </is>
      </c>
      <c r="O950" s="29" t="n">
        <v>0</v>
      </c>
      <c r="P950" s="30" t="n">
        <v>450</v>
      </c>
      <c r="Q950" s="31" t="inlineStr">
        <is>
          <t>In Stock</t>
        </is>
      </c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5" customHeight="1" s="85">
      <c r="A951" s="27" t="inlineStr">
        <is>
          <t>RUBBER KEY CHAIN</t>
        </is>
      </c>
      <c r="B951" s="27" t="n"/>
      <c r="C951" s="27" t="inlineStr">
        <is>
          <t>Church Articles</t>
        </is>
      </c>
      <c r="D951" s="32" t="inlineStr">
        <is>
          <t>100363</t>
        </is>
      </c>
      <c r="E951" s="27" t="n"/>
      <c r="F951" s="29" t="n">
        <v>0</v>
      </c>
      <c r="G951" s="29" t="n">
        <v>30</v>
      </c>
      <c r="H951" s="27" t="inlineStr">
        <is>
          <t>Inclusive</t>
        </is>
      </c>
      <c r="I951" s="29" t="n">
        <v>9</v>
      </c>
      <c r="J951" s="27" t="inlineStr">
        <is>
          <t>Inclusive</t>
        </is>
      </c>
      <c r="K951" s="29" t="n">
        <v>35</v>
      </c>
      <c r="L951" s="29" t="n">
        <v>20</v>
      </c>
      <c r="M951" s="33" t="n">
        <v>1</v>
      </c>
      <c r="N951" s="27" t="inlineStr">
        <is>
          <t>Yes</t>
        </is>
      </c>
      <c r="O951" s="29" t="n">
        <v>0</v>
      </c>
      <c r="P951" s="30" t="n">
        <v>450</v>
      </c>
      <c r="Q951" s="31" t="inlineStr">
        <is>
          <t>In Stock</t>
        </is>
      </c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5" customHeight="1" s="85">
      <c r="A952" s="27" t="inlineStr">
        <is>
          <t>RV MURIVENNA 90GM</t>
        </is>
      </c>
      <c r="B952" s="27" t="n"/>
      <c r="C952" s="27" t="inlineStr">
        <is>
          <t>Healthcare Items</t>
        </is>
      </c>
      <c r="D952" s="32" t="inlineStr">
        <is>
          <t>100364</t>
        </is>
      </c>
      <c r="E952" s="27" t="n"/>
      <c r="F952" s="29" t="n">
        <v>0</v>
      </c>
      <c r="G952" s="29" t="n">
        <v>140</v>
      </c>
      <c r="H952" s="27" t="inlineStr">
        <is>
          <t>Exclusive</t>
        </is>
      </c>
      <c r="I952" s="29" t="n">
        <v>106</v>
      </c>
      <c r="J952" s="27" t="inlineStr">
        <is>
          <t>Exclusive</t>
        </is>
      </c>
      <c r="K952" s="29" t="n">
        <v>140</v>
      </c>
      <c r="L952" s="29" t="n">
        <v>0</v>
      </c>
      <c r="M952" s="33" t="n">
        <v>1</v>
      </c>
      <c r="N952" s="27" t="inlineStr">
        <is>
          <t>Yes</t>
        </is>
      </c>
      <c r="O952" s="29" t="n">
        <v>0</v>
      </c>
      <c r="P952" s="30" t="n">
        <v>450</v>
      </c>
      <c r="Q952" s="31" t="inlineStr">
        <is>
          <t>In Stock</t>
        </is>
      </c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5" customHeight="1" s="85">
      <c r="A953" s="27" t="inlineStr">
        <is>
          <t>SABUDHANA 250GM</t>
        </is>
      </c>
      <c r="B953" s="27" t="n"/>
      <c r="C953" s="27" t="inlineStr">
        <is>
          <t>Grains &amp; Flours</t>
        </is>
      </c>
      <c r="D953" s="32" t="inlineStr">
        <is>
          <t>100365</t>
        </is>
      </c>
      <c r="E953" s="27" t="n"/>
      <c r="F953" s="29" t="n">
        <v>0</v>
      </c>
      <c r="G953" s="29" t="n">
        <v>90</v>
      </c>
      <c r="H953" s="27" t="inlineStr">
        <is>
          <t>Inclusive</t>
        </is>
      </c>
      <c r="I953" s="29" t="n">
        <v>35</v>
      </c>
      <c r="J953" s="27" t="inlineStr">
        <is>
          <t>Inclusive</t>
        </is>
      </c>
      <c r="K953" s="29" t="n">
        <v>0</v>
      </c>
      <c r="L953" s="29" t="n">
        <v>15</v>
      </c>
      <c r="M953" s="33" t="n">
        <v>1</v>
      </c>
      <c r="N953" s="27" t="inlineStr">
        <is>
          <t>No</t>
        </is>
      </c>
      <c r="O953" s="29" t="n">
        <v>0</v>
      </c>
      <c r="P953" s="30" t="n">
        <v>450</v>
      </c>
      <c r="Q953" s="31" t="inlineStr">
        <is>
          <t>In Stock</t>
        </is>
      </c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5" customHeight="1" s="85">
      <c r="A954" s="27" t="inlineStr">
        <is>
          <t>SAI CHICKEN MASALA POWDER 100GM</t>
        </is>
      </c>
      <c r="B954" s="27" t="n"/>
      <c r="C954" s="27" t="inlineStr">
        <is>
          <t>Masalas &amp; Spices</t>
        </is>
      </c>
      <c r="D954" s="28" t="inlineStr">
        <is>
          <t>989893171191</t>
        </is>
      </c>
      <c r="E954" s="27" t="n"/>
      <c r="F954" s="29" t="n">
        <v>0</v>
      </c>
      <c r="G954" s="29" t="n">
        <v>65</v>
      </c>
      <c r="H954" s="27" t="inlineStr">
        <is>
          <t>Exclusive</t>
        </is>
      </c>
      <c r="I954" s="29" t="n">
        <v>42</v>
      </c>
      <c r="J954" s="27" t="inlineStr">
        <is>
          <t>Exclusive</t>
        </is>
      </c>
      <c r="K954" s="29" t="n">
        <v>65</v>
      </c>
      <c r="L954" s="29" t="n">
        <v>0</v>
      </c>
      <c r="M954" s="33" t="n">
        <v>1</v>
      </c>
      <c r="N954" s="27" t="inlineStr">
        <is>
          <t>Yes</t>
        </is>
      </c>
      <c r="O954" s="29" t="n">
        <v>0</v>
      </c>
      <c r="P954" s="30" t="n">
        <v>450</v>
      </c>
      <c r="Q954" s="31" t="inlineStr">
        <is>
          <t>In Stock</t>
        </is>
      </c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5" customHeight="1" s="85">
      <c r="A955" s="27" t="inlineStr">
        <is>
          <t>SAI CHILLI POWDER 100GM</t>
        </is>
      </c>
      <c r="B955" s="27" t="n"/>
      <c r="C955" s="27" t="inlineStr">
        <is>
          <t>Masalas &amp; Spices</t>
        </is>
      </c>
      <c r="D955" s="28" t="inlineStr">
        <is>
          <t>234885256970</t>
        </is>
      </c>
      <c r="E955" s="27" t="n"/>
      <c r="F955" s="29" t="n">
        <v>0</v>
      </c>
      <c r="G955" s="29" t="n">
        <v>55</v>
      </c>
      <c r="H955" s="27" t="inlineStr">
        <is>
          <t>Exclusive</t>
        </is>
      </c>
      <c r="I955" s="29" t="n">
        <v>35</v>
      </c>
      <c r="J955" s="27" t="inlineStr">
        <is>
          <t>Exclusive</t>
        </is>
      </c>
      <c r="K955" s="29" t="n">
        <v>55</v>
      </c>
      <c r="L955" s="29" t="n">
        <v>0</v>
      </c>
      <c r="M955" s="33" t="n">
        <v>1</v>
      </c>
      <c r="N955" s="27" t="inlineStr">
        <is>
          <t>Yes</t>
        </is>
      </c>
      <c r="O955" s="29" t="n">
        <v>0</v>
      </c>
      <c r="P955" s="30" t="n">
        <v>450</v>
      </c>
      <c r="Q955" s="31" t="inlineStr">
        <is>
          <t>In Stock</t>
        </is>
      </c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5" customHeight="1" s="85">
      <c r="A956" s="27" t="inlineStr">
        <is>
          <t>SAI CORIANDER POWDER 100GM</t>
        </is>
      </c>
      <c r="B956" s="27" t="n"/>
      <c r="C956" s="27" t="inlineStr">
        <is>
          <t>Masalas &amp; Spices</t>
        </is>
      </c>
      <c r="D956" s="28" t="inlineStr">
        <is>
          <t>144087217232</t>
        </is>
      </c>
      <c r="E956" s="27" t="n"/>
      <c r="F956" s="29" t="n">
        <v>0</v>
      </c>
      <c r="G956" s="29" t="n">
        <v>45</v>
      </c>
      <c r="H956" s="27" t="inlineStr">
        <is>
          <t>Exclusive</t>
        </is>
      </c>
      <c r="I956" s="29" t="n">
        <v>25</v>
      </c>
      <c r="J956" s="27" t="inlineStr">
        <is>
          <t>Exclusive</t>
        </is>
      </c>
      <c r="K956" s="29" t="n">
        <v>45</v>
      </c>
      <c r="L956" s="29" t="n">
        <v>0</v>
      </c>
      <c r="M956" s="33" t="n">
        <v>1</v>
      </c>
      <c r="N956" s="27" t="inlineStr">
        <is>
          <t>Yes</t>
        </is>
      </c>
      <c r="O956" s="29" t="n">
        <v>0</v>
      </c>
      <c r="P956" s="30" t="n">
        <v>450</v>
      </c>
      <c r="Q956" s="31" t="inlineStr">
        <is>
          <t>In Stock</t>
        </is>
      </c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5" customHeight="1" s="85">
      <c r="A957" s="27" t="inlineStr">
        <is>
          <t>SAI FISH MASLA 100GM</t>
        </is>
      </c>
      <c r="B957" s="27" t="n"/>
      <c r="C957" s="27" t="inlineStr">
        <is>
          <t>Masalas &amp; Spices</t>
        </is>
      </c>
      <c r="D957" s="32" t="inlineStr">
        <is>
          <t>100366</t>
        </is>
      </c>
      <c r="E957" s="27" t="n"/>
      <c r="F957" s="29" t="n">
        <v>0</v>
      </c>
      <c r="G957" s="29" t="n">
        <v>65</v>
      </c>
      <c r="H957" s="27" t="inlineStr">
        <is>
          <t>Exclusive</t>
        </is>
      </c>
      <c r="I957" s="29" t="n">
        <v>0</v>
      </c>
      <c r="J957" s="27" t="inlineStr">
        <is>
          <t>Exclusive</t>
        </is>
      </c>
      <c r="K957" s="29" t="n">
        <v>0</v>
      </c>
      <c r="L957" s="29" t="n">
        <v>0</v>
      </c>
      <c r="M957" s="33" t="n">
        <v>1</v>
      </c>
      <c r="N957" s="27" t="inlineStr">
        <is>
          <t>Yes</t>
        </is>
      </c>
      <c r="O957" s="29" t="n">
        <v>0</v>
      </c>
      <c r="P957" s="30" t="n">
        <v>450</v>
      </c>
      <c r="Q957" s="31" t="inlineStr">
        <is>
          <t>In Stock</t>
        </is>
      </c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5" customHeight="1" s="85">
      <c r="A958" s="27" t="inlineStr">
        <is>
          <t>SAI GARAM MASALA POWDER 100GM</t>
        </is>
      </c>
      <c r="B958" s="27" t="n"/>
      <c r="C958" s="27" t="inlineStr">
        <is>
          <t>Masalas &amp; Spices</t>
        </is>
      </c>
      <c r="D958" s="28" t="inlineStr">
        <is>
          <t>244613473583</t>
        </is>
      </c>
      <c r="E958" s="27" t="n"/>
      <c r="F958" s="29" t="n">
        <v>0</v>
      </c>
      <c r="G958" s="29" t="n">
        <v>95</v>
      </c>
      <c r="H958" s="27" t="inlineStr">
        <is>
          <t>Exclusive</t>
        </is>
      </c>
      <c r="I958" s="29" t="n">
        <v>67</v>
      </c>
      <c r="J958" s="27" t="inlineStr">
        <is>
          <t>Exclusive</t>
        </is>
      </c>
      <c r="K958" s="29" t="n">
        <v>95</v>
      </c>
      <c r="L958" s="29" t="n">
        <v>0</v>
      </c>
      <c r="M958" s="33" t="n">
        <v>1</v>
      </c>
      <c r="N958" s="27" t="inlineStr">
        <is>
          <t>Yes</t>
        </is>
      </c>
      <c r="O958" s="29" t="n">
        <v>0</v>
      </c>
      <c r="P958" s="30" t="n">
        <v>450</v>
      </c>
      <c r="Q958" s="31" t="inlineStr">
        <is>
          <t>In Stock</t>
        </is>
      </c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5" customHeight="1" s="85">
      <c r="A959" s="27" t="inlineStr">
        <is>
          <t>SAI KASHMIRI CHILLI 100GM</t>
        </is>
      </c>
      <c r="B959" s="27" t="n"/>
      <c r="C959" s="27" t="inlineStr">
        <is>
          <t>Masalas &amp; Spices</t>
        </is>
      </c>
      <c r="D959" s="28" t="inlineStr">
        <is>
          <t>489663772795</t>
        </is>
      </c>
      <c r="E959" s="27" t="n"/>
      <c r="F959" s="29" t="n">
        <v>0</v>
      </c>
      <c r="G959" s="29" t="n">
        <v>85</v>
      </c>
      <c r="H959" s="27" t="inlineStr">
        <is>
          <t>Exclusive</t>
        </is>
      </c>
      <c r="I959" s="29" t="n">
        <v>62</v>
      </c>
      <c r="J959" s="27" t="inlineStr">
        <is>
          <t>Exclusive</t>
        </is>
      </c>
      <c r="K959" s="29" t="n">
        <v>85</v>
      </c>
      <c r="L959" s="29" t="n">
        <v>0</v>
      </c>
      <c r="M959" s="33" t="n">
        <v>1</v>
      </c>
      <c r="N959" s="27" t="inlineStr">
        <is>
          <t>Yes</t>
        </is>
      </c>
      <c r="O959" s="29" t="n">
        <v>0</v>
      </c>
      <c r="P959" s="30" t="n">
        <v>450</v>
      </c>
      <c r="Q959" s="31" t="inlineStr">
        <is>
          <t>In Stock</t>
        </is>
      </c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5" customHeight="1" s="85">
      <c r="A960" s="27" t="inlineStr">
        <is>
          <t>SAI MEAT MASALA POWDER 100GM</t>
        </is>
      </c>
      <c r="B960" s="27" t="n"/>
      <c r="C960" s="27" t="inlineStr">
        <is>
          <t>Masalas &amp; Spices</t>
        </is>
      </c>
      <c r="D960" s="28" t="inlineStr">
        <is>
          <t>389258164142</t>
        </is>
      </c>
      <c r="E960" s="27" t="n"/>
      <c r="F960" s="29" t="n">
        <v>0</v>
      </c>
      <c r="G960" s="29" t="n">
        <v>65</v>
      </c>
      <c r="H960" s="27" t="inlineStr">
        <is>
          <t>Exclusive</t>
        </is>
      </c>
      <c r="I960" s="29" t="n">
        <v>42</v>
      </c>
      <c r="J960" s="27" t="inlineStr">
        <is>
          <t>Exclusive</t>
        </is>
      </c>
      <c r="K960" s="29" t="n">
        <v>65</v>
      </c>
      <c r="L960" s="29" t="n">
        <v>0</v>
      </c>
      <c r="M960" s="33" t="n">
        <v>1</v>
      </c>
      <c r="N960" s="27" t="inlineStr">
        <is>
          <t>Yes</t>
        </is>
      </c>
      <c r="O960" s="29" t="n">
        <v>0</v>
      </c>
      <c r="P960" s="30" t="n">
        <v>450</v>
      </c>
      <c r="Q960" s="31" t="inlineStr">
        <is>
          <t>In Stock</t>
        </is>
      </c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5" customHeight="1" s="85">
      <c r="A961" s="27" t="inlineStr">
        <is>
          <t>SAI SAMBAR POWDER 100GM</t>
        </is>
      </c>
      <c r="B961" s="27" t="n"/>
      <c r="C961" s="27" t="inlineStr">
        <is>
          <t>Masalas &amp; Spices</t>
        </is>
      </c>
      <c r="D961" s="28" t="inlineStr">
        <is>
          <t>735425088948</t>
        </is>
      </c>
      <c r="E961" s="27" t="n"/>
      <c r="F961" s="29" t="n">
        <v>0</v>
      </c>
      <c r="G961" s="29" t="n">
        <v>65</v>
      </c>
      <c r="H961" s="27" t="inlineStr">
        <is>
          <t>Exclusive</t>
        </is>
      </c>
      <c r="I961" s="29" t="n">
        <v>42</v>
      </c>
      <c r="J961" s="27" t="inlineStr">
        <is>
          <t>Exclusive</t>
        </is>
      </c>
      <c r="K961" s="29" t="n">
        <v>65</v>
      </c>
      <c r="L961" s="29" t="n">
        <v>0</v>
      </c>
      <c r="M961" s="33" t="n">
        <v>1</v>
      </c>
      <c r="N961" s="27" t="inlineStr">
        <is>
          <t>Yes</t>
        </is>
      </c>
      <c r="O961" s="29" t="n">
        <v>0</v>
      </c>
      <c r="P961" s="30" t="n">
        <v>450</v>
      </c>
      <c r="Q961" s="31" t="inlineStr">
        <is>
          <t>In Stock</t>
        </is>
      </c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5" customHeight="1" s="85">
      <c r="A962" s="27" t="inlineStr">
        <is>
          <t>SAI TURMERIC POWDER 100GM</t>
        </is>
      </c>
      <c r="B962" s="27" t="n"/>
      <c r="C962" s="27" t="inlineStr">
        <is>
          <t>Masalas &amp; Spices</t>
        </is>
      </c>
      <c r="D962" s="28" t="inlineStr">
        <is>
          <t>698881576672</t>
        </is>
      </c>
      <c r="E962" s="27" t="n"/>
      <c r="F962" s="29" t="n">
        <v>0</v>
      </c>
      <c r="G962" s="29" t="n">
        <v>45</v>
      </c>
      <c r="H962" s="27" t="inlineStr">
        <is>
          <t>Exclusive</t>
        </is>
      </c>
      <c r="I962" s="29" t="n">
        <v>35</v>
      </c>
      <c r="J962" s="27" t="inlineStr">
        <is>
          <t>Exclusive</t>
        </is>
      </c>
      <c r="K962" s="29" t="n">
        <v>45</v>
      </c>
      <c r="L962" s="29" t="n">
        <v>2</v>
      </c>
      <c r="M962" s="33" t="n">
        <v>1</v>
      </c>
      <c r="N962" s="27" t="inlineStr">
        <is>
          <t>Yes</t>
        </is>
      </c>
      <c r="O962" s="29" t="n">
        <v>0</v>
      </c>
      <c r="P962" s="30" t="n">
        <v>450</v>
      </c>
      <c r="Q962" s="31" t="inlineStr">
        <is>
          <t>In Stock</t>
        </is>
      </c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5" customHeight="1" s="85">
      <c r="A963" s="27" t="inlineStr">
        <is>
          <t>SAMBAR DAAL 1KG</t>
        </is>
      </c>
      <c r="B963" s="27" t="n"/>
      <c r="C963" s="27" t="inlineStr">
        <is>
          <t>Grains &amp; Flours</t>
        </is>
      </c>
      <c r="D963" s="28" t="inlineStr">
        <is>
          <t>259943227081</t>
        </is>
      </c>
      <c r="E963" s="27" t="n"/>
      <c r="F963" s="29" t="n">
        <v>0</v>
      </c>
      <c r="G963" s="29" t="n">
        <v>189</v>
      </c>
      <c r="H963" s="27" t="inlineStr">
        <is>
          <t>Exclusive</t>
        </is>
      </c>
      <c r="I963" s="29" t="n">
        <v>130</v>
      </c>
      <c r="J963" s="27" t="inlineStr">
        <is>
          <t>Exclusive</t>
        </is>
      </c>
      <c r="K963" s="29" t="n">
        <v>205</v>
      </c>
      <c r="L963" s="29" t="n">
        <v>0</v>
      </c>
      <c r="M963" s="33" t="n">
        <v>1</v>
      </c>
      <c r="N963" s="27" t="inlineStr">
        <is>
          <t>Yes</t>
        </is>
      </c>
      <c r="O963" s="29" t="n">
        <v>0</v>
      </c>
      <c r="P963" s="30" t="n">
        <v>450</v>
      </c>
      <c r="Q963" s="31" t="inlineStr">
        <is>
          <t>In Stock</t>
        </is>
      </c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5" customHeight="1" s="85">
      <c r="A964" s="27" t="inlineStr">
        <is>
          <t>SAMBAR DAAL 500GM</t>
        </is>
      </c>
      <c r="B964" s="27" t="n"/>
      <c r="C964" s="27" t="inlineStr">
        <is>
          <t>Grains &amp; Flours</t>
        </is>
      </c>
      <c r="D964" s="28" t="inlineStr">
        <is>
          <t>931942161433</t>
        </is>
      </c>
      <c r="E964" s="27" t="n"/>
      <c r="F964" s="29" t="n">
        <v>0</v>
      </c>
      <c r="G964" s="29" t="n">
        <v>72</v>
      </c>
      <c r="H964" s="27" t="inlineStr">
        <is>
          <t>Exclusive</t>
        </is>
      </c>
      <c r="I964" s="29" t="n">
        <v>55</v>
      </c>
      <c r="J964" s="27" t="inlineStr">
        <is>
          <t>Exclusive</t>
        </is>
      </c>
      <c r="K964" s="29" t="n">
        <v>85</v>
      </c>
      <c r="L964" s="29" t="n">
        <v>12</v>
      </c>
      <c r="M964" s="33" t="n">
        <v>1</v>
      </c>
      <c r="N964" s="27" t="inlineStr">
        <is>
          <t>Yes</t>
        </is>
      </c>
      <c r="O964" s="29" t="n">
        <v>0</v>
      </c>
      <c r="P964" s="30" t="n">
        <v>450</v>
      </c>
      <c r="Q964" s="31" t="inlineStr">
        <is>
          <t>In Stock</t>
        </is>
      </c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5" customHeight="1" s="85">
      <c r="A965" s="27" t="inlineStr">
        <is>
          <t>SAMBAR DAL 500GM</t>
        </is>
      </c>
      <c r="B965" s="27" t="n"/>
      <c r="C965" s="27" t="inlineStr">
        <is>
          <t>Grains &amp; Flours</t>
        </is>
      </c>
      <c r="D965" s="28" t="inlineStr">
        <is>
          <t>901285254703</t>
        </is>
      </c>
      <c r="E965" s="27" t="n"/>
      <c r="F965" s="29" t="n">
        <v>0</v>
      </c>
      <c r="G965" s="29" t="n">
        <v>78</v>
      </c>
      <c r="H965" s="27" t="inlineStr">
        <is>
          <t>Exclusive</t>
        </is>
      </c>
      <c r="I965" s="29" t="n">
        <v>65</v>
      </c>
      <c r="J965" s="27" t="inlineStr">
        <is>
          <t>Exclusive</t>
        </is>
      </c>
      <c r="K965" s="29" t="n">
        <v>86</v>
      </c>
      <c r="L965" s="29" t="n">
        <v>2</v>
      </c>
      <c r="M965" s="27" t="n"/>
      <c r="N965" s="27" t="inlineStr">
        <is>
          <t>Yes</t>
        </is>
      </c>
      <c r="O965" s="29" t="n">
        <v>0</v>
      </c>
      <c r="P965" s="30" t="n">
        <v>450</v>
      </c>
      <c r="Q965" s="31" t="inlineStr">
        <is>
          <t>In Stock</t>
        </is>
      </c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5" customHeight="1" s="85">
      <c r="A966" s="27" t="inlineStr">
        <is>
          <t>SANTA CAP</t>
        </is>
      </c>
      <c r="B966" s="27" t="n"/>
      <c r="C966" s="27" t="inlineStr">
        <is>
          <t>Church Articles</t>
        </is>
      </c>
      <c r="D966" s="28" t="inlineStr">
        <is>
          <t>38561262096</t>
        </is>
      </c>
      <c r="E966" s="27" t="n"/>
      <c r="F966" s="29" t="n">
        <v>0</v>
      </c>
      <c r="G966" s="29" t="n">
        <v>25</v>
      </c>
      <c r="H966" s="27" t="inlineStr">
        <is>
          <t>Exclusive</t>
        </is>
      </c>
      <c r="I966" s="29" t="n">
        <v>15</v>
      </c>
      <c r="J966" s="27" t="inlineStr">
        <is>
          <t>Inclusive</t>
        </is>
      </c>
      <c r="K966" s="29" t="n">
        <v>30</v>
      </c>
      <c r="L966" s="29" t="n">
        <v>12</v>
      </c>
      <c r="M966" s="33" t="n">
        <v>1</v>
      </c>
      <c r="N966" s="27" t="inlineStr">
        <is>
          <t>Yes</t>
        </is>
      </c>
      <c r="O966" s="29" t="n">
        <v>0</v>
      </c>
      <c r="P966" s="30" t="n">
        <v>450</v>
      </c>
      <c r="Q966" s="31" t="inlineStr">
        <is>
          <t>In Stock</t>
        </is>
      </c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5" customHeight="1" s="85">
      <c r="A967" s="27" t="inlineStr">
        <is>
          <t>SANTA CAP MERRY</t>
        </is>
      </c>
      <c r="B967" s="27" t="n"/>
      <c r="C967" s="27" t="inlineStr">
        <is>
          <t>Church Articles</t>
        </is>
      </c>
      <c r="D967" s="28" t="inlineStr">
        <is>
          <t>348666372130</t>
        </is>
      </c>
      <c r="E967" s="27" t="n"/>
      <c r="F967" s="29" t="n">
        <v>0</v>
      </c>
      <c r="G967" s="29" t="n">
        <v>30</v>
      </c>
      <c r="H967" s="27" t="inlineStr">
        <is>
          <t>Exclusive</t>
        </is>
      </c>
      <c r="I967" s="29" t="n">
        <v>20</v>
      </c>
      <c r="J967" s="27" t="inlineStr">
        <is>
          <t>Inclusive</t>
        </is>
      </c>
      <c r="K967" s="29" t="n">
        <v>35</v>
      </c>
      <c r="L967" s="29" t="n">
        <v>0</v>
      </c>
      <c r="M967" s="33" t="n">
        <v>1</v>
      </c>
      <c r="N967" s="27" t="inlineStr">
        <is>
          <t>Yes</t>
        </is>
      </c>
      <c r="O967" s="29" t="n">
        <v>0</v>
      </c>
      <c r="P967" s="30" t="n">
        <v>450</v>
      </c>
      <c r="Q967" s="31" t="inlineStr">
        <is>
          <t>In Stock</t>
        </is>
      </c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5" customHeight="1" s="85">
      <c r="A968" s="27" t="inlineStr">
        <is>
          <t>SANTA DRESS (BIG-4)</t>
        </is>
      </c>
      <c r="B968" s="27" t="n"/>
      <c r="C968" s="27" t="inlineStr">
        <is>
          <t>Kerala Clothing</t>
        </is>
      </c>
      <c r="D968" s="28" t="inlineStr">
        <is>
          <t>506484514860</t>
        </is>
      </c>
      <c r="E968" s="27" t="n"/>
      <c r="F968" s="29" t="n">
        <v>0</v>
      </c>
      <c r="G968" s="29" t="n">
        <v>300</v>
      </c>
      <c r="H968" s="27" t="inlineStr">
        <is>
          <t>Exclusive</t>
        </is>
      </c>
      <c r="I968" s="29" t="n">
        <v>170</v>
      </c>
      <c r="J968" s="27" t="inlineStr">
        <is>
          <t>Inclusive</t>
        </is>
      </c>
      <c r="K968" s="29" t="n">
        <v>300</v>
      </c>
      <c r="L968" s="29" t="n">
        <v>0</v>
      </c>
      <c r="M968" s="33" t="n">
        <v>1</v>
      </c>
      <c r="N968" s="27" t="inlineStr">
        <is>
          <t>Yes</t>
        </is>
      </c>
      <c r="O968" s="29" t="n">
        <v>0</v>
      </c>
      <c r="P968" s="30" t="n">
        <v>450</v>
      </c>
      <c r="Q968" s="31" t="inlineStr">
        <is>
          <t>In Stock</t>
        </is>
      </c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5" customHeight="1" s="85">
      <c r="A969" s="27" t="inlineStr">
        <is>
          <t>SANTA DRESS (MED-3)</t>
        </is>
      </c>
      <c r="B969" s="27" t="n"/>
      <c r="C969" s="27" t="inlineStr">
        <is>
          <t>Kerala Clothing</t>
        </is>
      </c>
      <c r="D969" s="28" t="inlineStr">
        <is>
          <t>654285456975</t>
        </is>
      </c>
      <c r="E969" s="27" t="n"/>
      <c r="F969" s="29" t="n">
        <v>0</v>
      </c>
      <c r="G969" s="29" t="n">
        <v>250</v>
      </c>
      <c r="H969" s="27" t="inlineStr">
        <is>
          <t>Exclusive</t>
        </is>
      </c>
      <c r="I969" s="29" t="n">
        <v>150</v>
      </c>
      <c r="J969" s="27" t="inlineStr">
        <is>
          <t>Inclusive</t>
        </is>
      </c>
      <c r="K969" s="29" t="n">
        <v>250</v>
      </c>
      <c r="L969" s="29" t="n">
        <v>0</v>
      </c>
      <c r="M969" s="33" t="n">
        <v>1</v>
      </c>
      <c r="N969" s="27" t="inlineStr">
        <is>
          <t>Yes</t>
        </is>
      </c>
      <c r="O969" s="29" t="n">
        <v>0</v>
      </c>
      <c r="P969" s="30" t="n">
        <v>450</v>
      </c>
      <c r="Q969" s="31" t="inlineStr">
        <is>
          <t>In Stock</t>
        </is>
      </c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5" customHeight="1" s="85">
      <c r="A970" s="27" t="inlineStr">
        <is>
          <t>SANTA DRESS (SMALL -2)</t>
        </is>
      </c>
      <c r="B970" s="27" t="n"/>
      <c r="C970" s="27" t="inlineStr">
        <is>
          <t>Kerala Clothing</t>
        </is>
      </c>
      <c r="D970" s="28" t="inlineStr">
        <is>
          <t>629631661512</t>
        </is>
      </c>
      <c r="E970" s="27" t="n"/>
      <c r="F970" s="29" t="n">
        <v>0</v>
      </c>
      <c r="G970" s="29" t="n">
        <v>200</v>
      </c>
      <c r="H970" s="27" t="inlineStr">
        <is>
          <t>Exclusive</t>
        </is>
      </c>
      <c r="I970" s="29" t="n">
        <v>110</v>
      </c>
      <c r="J970" s="27" t="inlineStr">
        <is>
          <t>Inclusive</t>
        </is>
      </c>
      <c r="K970" s="29" t="n">
        <v>200</v>
      </c>
      <c r="L970" s="29" t="n">
        <v>0</v>
      </c>
      <c r="M970" s="33" t="n">
        <v>1</v>
      </c>
      <c r="N970" s="27" t="inlineStr">
        <is>
          <t>Yes</t>
        </is>
      </c>
      <c r="O970" s="29" t="n">
        <v>0</v>
      </c>
      <c r="P970" s="30" t="n">
        <v>450</v>
      </c>
      <c r="Q970" s="31" t="inlineStr">
        <is>
          <t>In Stock</t>
        </is>
      </c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5" customHeight="1" s="85">
      <c r="A971" s="27" t="inlineStr">
        <is>
          <t>SANTA FACE</t>
        </is>
      </c>
      <c r="B971" s="27" t="n"/>
      <c r="C971" s="27" t="inlineStr">
        <is>
          <t>Church Articles</t>
        </is>
      </c>
      <c r="D971" s="28" t="inlineStr">
        <is>
          <t>877292210983</t>
        </is>
      </c>
      <c r="E971" s="27" t="n"/>
      <c r="F971" s="29" t="n">
        <v>0</v>
      </c>
      <c r="G971" s="29" t="n">
        <v>20</v>
      </c>
      <c r="H971" s="27" t="inlineStr">
        <is>
          <t>Exclusive</t>
        </is>
      </c>
      <c r="I971" s="29" t="n">
        <v>12</v>
      </c>
      <c r="J971" s="27" t="inlineStr">
        <is>
          <t>Inclusive</t>
        </is>
      </c>
      <c r="K971" s="29" t="n">
        <v>20</v>
      </c>
      <c r="L971" s="29" t="n">
        <v>0</v>
      </c>
      <c r="M971" s="33" t="n">
        <v>1</v>
      </c>
      <c r="N971" s="27" t="inlineStr">
        <is>
          <t>Yes</t>
        </is>
      </c>
      <c r="O971" s="29" t="n">
        <v>0</v>
      </c>
      <c r="P971" s="30" t="n">
        <v>450</v>
      </c>
      <c r="Q971" s="31" t="inlineStr">
        <is>
          <t>In Stock</t>
        </is>
      </c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5" customHeight="1" s="85">
      <c r="A972" s="27" t="inlineStr">
        <is>
          <t>SANTA FULL (DOLL)</t>
        </is>
      </c>
      <c r="B972" s="27" t="n"/>
      <c r="C972" s="27" t="inlineStr">
        <is>
          <t>Church Articles</t>
        </is>
      </c>
      <c r="D972" s="28" t="inlineStr">
        <is>
          <t>729418639082</t>
        </is>
      </c>
      <c r="E972" s="27" t="n"/>
      <c r="F972" s="29" t="n">
        <v>0</v>
      </c>
      <c r="G972" s="29" t="n">
        <v>30</v>
      </c>
      <c r="H972" s="27" t="inlineStr">
        <is>
          <t>Inclusive</t>
        </is>
      </c>
      <c r="I972" s="29" t="n">
        <v>21</v>
      </c>
      <c r="J972" s="27" t="inlineStr">
        <is>
          <t>Inclusive</t>
        </is>
      </c>
      <c r="K972" s="29" t="n">
        <v>35</v>
      </c>
      <c r="L972" s="29" t="n">
        <v>0</v>
      </c>
      <c r="M972" s="27" t="n"/>
      <c r="N972" s="27" t="inlineStr">
        <is>
          <t>Yes</t>
        </is>
      </c>
      <c r="O972" s="29" t="n">
        <v>0</v>
      </c>
      <c r="P972" s="30" t="n">
        <v>450</v>
      </c>
      <c r="Q972" s="31" t="inlineStr">
        <is>
          <t>In Stock</t>
        </is>
      </c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5" customHeight="1" s="85">
      <c r="A973" s="27" t="inlineStr">
        <is>
          <t>SARDINE ACHAR</t>
        </is>
      </c>
      <c r="B973" s="27" t="n"/>
      <c r="C973" s="27" t="inlineStr">
        <is>
          <t>Pickles</t>
        </is>
      </c>
      <c r="D973" s="28" t="inlineStr">
        <is>
          <t>8907093003128</t>
        </is>
      </c>
      <c r="E973" s="27" t="n"/>
      <c r="F973" s="29" t="n">
        <v>0</v>
      </c>
      <c r="G973" s="29" t="n">
        <v>245</v>
      </c>
      <c r="H973" s="27" t="inlineStr">
        <is>
          <t>Exclusive</t>
        </is>
      </c>
      <c r="I973" s="29" t="n">
        <v>208</v>
      </c>
      <c r="J973" s="27" t="inlineStr">
        <is>
          <t>Exclusive</t>
        </is>
      </c>
      <c r="K973" s="29" t="n">
        <v>245</v>
      </c>
      <c r="L973" s="29" t="n">
        <v>3</v>
      </c>
      <c r="M973" s="33" t="n">
        <v>1</v>
      </c>
      <c r="N973" s="27" t="inlineStr">
        <is>
          <t>Yes</t>
        </is>
      </c>
      <c r="O973" s="29" t="n">
        <v>0</v>
      </c>
      <c r="P973" s="30" t="n">
        <v>450</v>
      </c>
      <c r="Q973" s="31" t="inlineStr">
        <is>
          <t>In Stock</t>
        </is>
      </c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5" customHeight="1" s="85">
      <c r="A974" s="27" t="inlineStr">
        <is>
          <t>SARTHI JAVITRI 25GM</t>
        </is>
      </c>
      <c r="B974" s="27" t="n"/>
      <c r="C974" s="27" t="inlineStr">
        <is>
          <t>Masalas &amp; Spices</t>
        </is>
      </c>
      <c r="D974" s="28" t="inlineStr">
        <is>
          <t>8908013206407</t>
        </is>
      </c>
      <c r="E974" s="27" t="n"/>
      <c r="F974" s="29" t="n">
        <v>0</v>
      </c>
      <c r="G974" s="29" t="n">
        <v>130</v>
      </c>
      <c r="H974" s="27" t="inlineStr">
        <is>
          <t>Exclusive</t>
        </is>
      </c>
      <c r="I974" s="29" t="n">
        <v>110</v>
      </c>
      <c r="J974" s="27" t="inlineStr">
        <is>
          <t>Exclusive</t>
        </is>
      </c>
      <c r="K974" s="29" t="n">
        <v>150</v>
      </c>
      <c r="L974" s="29" t="n">
        <v>0</v>
      </c>
      <c r="M974" s="33" t="n">
        <v>1</v>
      </c>
      <c r="N974" s="27" t="inlineStr">
        <is>
          <t>Yes</t>
        </is>
      </c>
      <c r="O974" s="29" t="n">
        <v>0</v>
      </c>
      <c r="P974" s="30" t="n">
        <v>450</v>
      </c>
      <c r="Q974" s="31" t="inlineStr">
        <is>
          <t>In Stock</t>
        </is>
      </c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5" customHeight="1" s="85">
      <c r="A975" s="27" t="inlineStr">
        <is>
          <t>SB PUTTU KUDAM</t>
        </is>
      </c>
      <c r="B975" s="27" t="n"/>
      <c r="C975" s="27" t="inlineStr">
        <is>
          <t>Kitchen Utensils</t>
        </is>
      </c>
      <c r="D975" s="28" t="inlineStr">
        <is>
          <t>272234911119</t>
        </is>
      </c>
      <c r="E975" s="27" t="n"/>
      <c r="F975" s="29" t="n">
        <v>0</v>
      </c>
      <c r="G975" s="29" t="n">
        <v>880</v>
      </c>
      <c r="H975" s="27" t="inlineStr">
        <is>
          <t>Inclusive</t>
        </is>
      </c>
      <c r="I975" s="29" t="n">
        <v>780</v>
      </c>
      <c r="J975" s="27" t="inlineStr">
        <is>
          <t>Inclusive</t>
        </is>
      </c>
      <c r="K975" s="29" t="n">
        <v>880</v>
      </c>
      <c r="L975" s="29" t="n">
        <v>0</v>
      </c>
      <c r="M975" s="33" t="n">
        <v>1</v>
      </c>
      <c r="N975" s="27" t="inlineStr">
        <is>
          <t>Yes</t>
        </is>
      </c>
      <c r="O975" s="29" t="n">
        <v>0</v>
      </c>
      <c r="P975" s="30" t="n">
        <v>450</v>
      </c>
      <c r="Q975" s="31" t="inlineStr">
        <is>
          <t>In Stock</t>
        </is>
      </c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5" customHeight="1" s="85">
      <c r="A976" s="27" t="inlineStr">
        <is>
          <t>SCOOTER</t>
        </is>
      </c>
      <c r="B976" s="27" t="n"/>
      <c r="C976" s="27" t="inlineStr">
        <is>
          <t>Fixed Assets</t>
        </is>
      </c>
      <c r="D976" s="32" t="inlineStr">
        <is>
          <t>100367</t>
        </is>
      </c>
      <c r="E976" s="27" t="n"/>
      <c r="F976" s="29" t="n">
        <v>0</v>
      </c>
      <c r="G976" s="29" t="n">
        <v>10000</v>
      </c>
      <c r="H976" s="27" t="inlineStr">
        <is>
          <t>Exclusive</t>
        </is>
      </c>
      <c r="I976" s="29" t="n">
        <v>10000</v>
      </c>
      <c r="J976" s="27" t="inlineStr">
        <is>
          <t>Exclusive</t>
        </is>
      </c>
      <c r="K976" s="29" t="n">
        <v>10000</v>
      </c>
      <c r="L976" s="29" t="n">
        <v>0</v>
      </c>
      <c r="M976" s="27" t="n"/>
      <c r="N976" s="27" t="inlineStr">
        <is>
          <t>Yes</t>
        </is>
      </c>
      <c r="O976" s="29" t="n">
        <v>0</v>
      </c>
      <c r="P976" s="30" t="n">
        <v>450</v>
      </c>
      <c r="Q976" s="31" t="inlineStr">
        <is>
          <t>In Stock</t>
        </is>
      </c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5" customHeight="1" s="85">
      <c r="A977" s="27" t="inlineStr">
        <is>
          <t>SCRIPTURES BOOKS</t>
        </is>
      </c>
      <c r="B977" s="27" t="n"/>
      <c r="C977" s="27" t="inlineStr">
        <is>
          <t>Books &amp; Bibles</t>
        </is>
      </c>
      <c r="D977" s="32" t="inlineStr">
        <is>
          <t>100368</t>
        </is>
      </c>
      <c r="E977" s="27" t="n"/>
      <c r="F977" s="29" t="n">
        <v>0</v>
      </c>
      <c r="G977" s="29" t="n">
        <v>20</v>
      </c>
      <c r="H977" s="27" t="inlineStr">
        <is>
          <t>Exclusive</t>
        </is>
      </c>
      <c r="I977" s="29" t="n">
        <v>20</v>
      </c>
      <c r="J977" s="27" t="inlineStr">
        <is>
          <t>Exclusive</t>
        </is>
      </c>
      <c r="K977" s="29" t="n">
        <v>30</v>
      </c>
      <c r="L977" s="29" t="n">
        <v>4</v>
      </c>
      <c r="M977" s="33" t="n">
        <v>1</v>
      </c>
      <c r="N977" s="27" t="inlineStr">
        <is>
          <t>Yes</t>
        </is>
      </c>
      <c r="O977" s="29" t="n">
        <v>0</v>
      </c>
      <c r="P977" s="30" t="n">
        <v>450</v>
      </c>
      <c r="Q977" s="31" t="inlineStr">
        <is>
          <t>In Stock</t>
        </is>
      </c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5" customHeight="1" s="85">
      <c r="A978" s="27" t="inlineStr">
        <is>
          <t>SD CARD 16 GB WITH MUSIC N WORD</t>
        </is>
      </c>
      <c r="B978" s="27" t="n"/>
      <c r="C978" s="27" t="inlineStr">
        <is>
          <t>Electronics</t>
        </is>
      </c>
      <c r="D978" s="32" t="inlineStr">
        <is>
          <t>100369</t>
        </is>
      </c>
      <c r="E978" s="27" t="n"/>
      <c r="F978" s="29" t="n">
        <v>0</v>
      </c>
      <c r="G978" s="29" t="n">
        <v>270</v>
      </c>
      <c r="H978" s="27" t="inlineStr">
        <is>
          <t>Inclusive</t>
        </is>
      </c>
      <c r="I978" s="29" t="n">
        <v>150</v>
      </c>
      <c r="J978" s="27" t="inlineStr">
        <is>
          <t>Inclusive</t>
        </is>
      </c>
      <c r="K978" s="29" t="n">
        <v>350</v>
      </c>
      <c r="L978" s="29" t="n">
        <v>0</v>
      </c>
      <c r="M978" s="33" t="n">
        <v>1</v>
      </c>
      <c r="N978" s="27" t="inlineStr">
        <is>
          <t>No</t>
        </is>
      </c>
      <c r="O978" s="29" t="n">
        <v>0</v>
      </c>
      <c r="P978" s="30" t="n">
        <v>450</v>
      </c>
      <c r="Q978" s="31" t="inlineStr">
        <is>
          <t>In Stock</t>
        </is>
      </c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5" customHeight="1" s="85">
      <c r="A979" s="27" t="inlineStr">
        <is>
          <t>SD CARD 32GB</t>
        </is>
      </c>
      <c r="B979" s="27" t="n"/>
      <c r="C979" s="27" t="inlineStr">
        <is>
          <t>Electronics</t>
        </is>
      </c>
      <c r="D979" s="32" t="inlineStr">
        <is>
          <t>100370</t>
        </is>
      </c>
      <c r="E979" s="27" t="n"/>
      <c r="F979" s="29" t="n">
        <v>0</v>
      </c>
      <c r="G979" s="29" t="n">
        <v>400</v>
      </c>
      <c r="H979" s="27" t="inlineStr">
        <is>
          <t>Inclusive</t>
        </is>
      </c>
      <c r="I979" s="29" t="n">
        <v>290</v>
      </c>
      <c r="J979" s="27" t="inlineStr">
        <is>
          <t>Inclusive</t>
        </is>
      </c>
      <c r="K979" s="29" t="n">
        <v>600</v>
      </c>
      <c r="L979" s="29" t="n">
        <v>37</v>
      </c>
      <c r="M979" s="33" t="n">
        <v>1</v>
      </c>
      <c r="N979" s="27" t="inlineStr">
        <is>
          <t>No</t>
        </is>
      </c>
      <c r="O979" s="29" t="n">
        <v>0</v>
      </c>
      <c r="P979" s="30" t="n">
        <v>450</v>
      </c>
      <c r="Q979" s="31" t="inlineStr">
        <is>
          <t>In Stock</t>
        </is>
      </c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5" customHeight="1" s="85">
      <c r="A980" s="27" t="inlineStr">
        <is>
          <t>SDCARD READER</t>
        </is>
      </c>
      <c r="B980" s="27" t="n"/>
      <c r="C980" s="27" t="inlineStr">
        <is>
          <t>Electronics</t>
        </is>
      </c>
      <c r="D980" s="32" t="inlineStr">
        <is>
          <t>100371</t>
        </is>
      </c>
      <c r="E980" s="27" t="n"/>
      <c r="F980" s="29" t="n">
        <v>0</v>
      </c>
      <c r="G980" s="29" t="n">
        <v>40</v>
      </c>
      <c r="H980" s="27" t="inlineStr">
        <is>
          <t>Inclusive</t>
        </is>
      </c>
      <c r="I980" s="29" t="n">
        <v>8</v>
      </c>
      <c r="J980" s="27" t="inlineStr">
        <is>
          <t>Inclusive</t>
        </is>
      </c>
      <c r="K980" s="29" t="n">
        <v>50</v>
      </c>
      <c r="L980" s="29" t="n">
        <v>1</v>
      </c>
      <c r="M980" s="33" t="n">
        <v>1</v>
      </c>
      <c r="N980" s="27" t="inlineStr">
        <is>
          <t>No</t>
        </is>
      </c>
      <c r="O980" s="29" t="n">
        <v>0</v>
      </c>
      <c r="P980" s="30" t="n">
        <v>450</v>
      </c>
      <c r="Q980" s="31" t="inlineStr">
        <is>
          <t>In Stock</t>
        </is>
      </c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5" customHeight="1" s="85">
      <c r="A981" s="27" t="inlineStr">
        <is>
          <t>SET SAREE 6396</t>
        </is>
      </c>
      <c r="B981" s="27" t="n"/>
      <c r="C981" s="27" t="inlineStr">
        <is>
          <t>Kerala Clothing</t>
        </is>
      </c>
      <c r="D981" s="32" t="inlineStr">
        <is>
          <t>100372</t>
        </is>
      </c>
      <c r="E981" s="27" t="n"/>
      <c r="F981" s="29" t="n">
        <v>0</v>
      </c>
      <c r="G981" s="29" t="n">
        <v>600</v>
      </c>
      <c r="H981" s="27" t="inlineStr">
        <is>
          <t>Exclusive</t>
        </is>
      </c>
      <c r="I981" s="29" t="n">
        <v>520</v>
      </c>
      <c r="J981" s="27" t="inlineStr">
        <is>
          <t>Exclusive</t>
        </is>
      </c>
      <c r="K981" s="29" t="n">
        <v>600</v>
      </c>
      <c r="L981" s="29" t="n">
        <v>0</v>
      </c>
      <c r="M981" s="33" t="n">
        <v>1</v>
      </c>
      <c r="N981" s="27" t="inlineStr">
        <is>
          <t>Yes</t>
        </is>
      </c>
      <c r="O981" s="29" t="n">
        <v>0</v>
      </c>
      <c r="P981" s="30" t="n">
        <v>450</v>
      </c>
      <c r="Q981" s="31" t="inlineStr">
        <is>
          <t>In Stock</t>
        </is>
      </c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5" customHeight="1" s="85">
      <c r="A982" s="27" t="inlineStr">
        <is>
          <t>SET SAREE 6420</t>
        </is>
      </c>
      <c r="B982" s="27" t="n"/>
      <c r="C982" s="27" t="inlineStr">
        <is>
          <t>Kerala Clothing</t>
        </is>
      </c>
      <c r="D982" s="32" t="inlineStr">
        <is>
          <t>100373</t>
        </is>
      </c>
      <c r="E982" s="27" t="n"/>
      <c r="F982" s="29" t="n">
        <v>0</v>
      </c>
      <c r="G982" s="29" t="n">
        <v>620</v>
      </c>
      <c r="H982" s="27" t="inlineStr">
        <is>
          <t>Exclusive</t>
        </is>
      </c>
      <c r="I982" s="29" t="n">
        <v>580</v>
      </c>
      <c r="J982" s="27" t="inlineStr">
        <is>
          <t>Exclusive</t>
        </is>
      </c>
      <c r="K982" s="29" t="n">
        <v>620</v>
      </c>
      <c r="L982" s="29" t="n">
        <v>2</v>
      </c>
      <c r="M982" s="33" t="n">
        <v>1</v>
      </c>
      <c r="N982" s="27" t="inlineStr">
        <is>
          <t>Yes</t>
        </is>
      </c>
      <c r="O982" s="29" t="n">
        <v>0</v>
      </c>
      <c r="P982" s="30" t="n">
        <v>450</v>
      </c>
      <c r="Q982" s="31" t="inlineStr">
        <is>
          <t>In Stock</t>
        </is>
      </c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5" customHeight="1" s="85">
      <c r="A983" s="27" t="inlineStr">
        <is>
          <t>SET SAREE NO. 16 (141)</t>
        </is>
      </c>
      <c r="B983" s="27" t="n"/>
      <c r="C983" s="27" t="inlineStr">
        <is>
          <t>Kerala Clothing</t>
        </is>
      </c>
      <c r="D983" s="28" t="inlineStr">
        <is>
          <t>737935492261</t>
        </is>
      </c>
      <c r="E983" s="27" t="n"/>
      <c r="F983" s="29" t="n">
        <v>0</v>
      </c>
      <c r="G983" s="29" t="n">
        <v>1450</v>
      </c>
      <c r="H983" s="27" t="inlineStr">
        <is>
          <t>Exclusive</t>
        </is>
      </c>
      <c r="I983" s="29" t="n">
        <v>1328.38</v>
      </c>
      <c r="J983" s="27" t="inlineStr">
        <is>
          <t>Exclusive</t>
        </is>
      </c>
      <c r="K983" s="29" t="n">
        <v>1600</v>
      </c>
      <c r="L983" s="29" t="n">
        <v>0</v>
      </c>
      <c r="M983" s="27" t="n"/>
      <c r="N983" s="27" t="inlineStr">
        <is>
          <t>Yes</t>
        </is>
      </c>
      <c r="O983" s="29" t="n">
        <v>0</v>
      </c>
      <c r="P983" s="30" t="n">
        <v>450</v>
      </c>
      <c r="Q983" s="31" t="inlineStr">
        <is>
          <t>In Stock</t>
        </is>
      </c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5" customHeight="1" s="85">
      <c r="A984" s="27" t="inlineStr">
        <is>
          <t>SET SAREE NO. 18 (159)</t>
        </is>
      </c>
      <c r="B984" s="27" t="n"/>
      <c r="C984" s="27" t="inlineStr">
        <is>
          <t>Kerala Clothing</t>
        </is>
      </c>
      <c r="D984" s="28" t="inlineStr">
        <is>
          <t>998725857096</t>
        </is>
      </c>
      <c r="E984" s="27" t="n"/>
      <c r="F984" s="29" t="n">
        <v>0</v>
      </c>
      <c r="G984" s="29" t="n">
        <v>1350</v>
      </c>
      <c r="H984" s="27" t="inlineStr">
        <is>
          <t>Exclusive</t>
        </is>
      </c>
      <c r="I984" s="29" t="n">
        <v>1187.98</v>
      </c>
      <c r="J984" s="27" t="inlineStr">
        <is>
          <t>Exclusive</t>
        </is>
      </c>
      <c r="K984" s="29" t="n">
        <v>1500</v>
      </c>
      <c r="L984" s="29" t="n">
        <v>0</v>
      </c>
      <c r="M984" s="27" t="n"/>
      <c r="N984" s="27" t="inlineStr">
        <is>
          <t>Yes</t>
        </is>
      </c>
      <c r="O984" s="29" t="n">
        <v>0</v>
      </c>
      <c r="P984" s="30" t="n">
        <v>450</v>
      </c>
      <c r="Q984" s="31" t="inlineStr">
        <is>
          <t>In Stock</t>
        </is>
      </c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5" customHeight="1" s="85">
      <c r="A985" s="27" t="inlineStr">
        <is>
          <t>SEVA NAZHI GOLDEN</t>
        </is>
      </c>
      <c r="B985" s="27" t="n"/>
      <c r="C985" s="27" t="inlineStr">
        <is>
          <t>Kitchen Utensils</t>
        </is>
      </c>
      <c r="D985" s="28" t="inlineStr">
        <is>
          <t>923488148875</t>
        </is>
      </c>
      <c r="E985" s="27" t="n"/>
      <c r="F985" s="29" t="n">
        <v>0</v>
      </c>
      <c r="G985" s="29" t="n">
        <v>860</v>
      </c>
      <c r="H985" s="27" t="inlineStr">
        <is>
          <t>Inclusive</t>
        </is>
      </c>
      <c r="I985" s="29" t="n">
        <v>820</v>
      </c>
      <c r="J985" s="27" t="inlineStr">
        <is>
          <t>Inclusive</t>
        </is>
      </c>
      <c r="K985" s="29" t="n">
        <v>860</v>
      </c>
      <c r="L985" s="29" t="n">
        <v>0</v>
      </c>
      <c r="M985" s="33" t="n">
        <v>1</v>
      </c>
      <c r="N985" s="27" t="inlineStr">
        <is>
          <t>Yes</t>
        </is>
      </c>
      <c r="O985" s="29" t="n">
        <v>0</v>
      </c>
      <c r="P985" s="30" t="n">
        <v>450</v>
      </c>
      <c r="Q985" s="31" t="inlineStr">
        <is>
          <t>In Stock</t>
        </is>
      </c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5" customHeight="1" s="85">
      <c r="A986" s="27" t="inlineStr">
        <is>
          <t>SEVA NAZHI PRESS</t>
        </is>
      </c>
      <c r="B986" s="27" t="n"/>
      <c r="C986" s="27" t="inlineStr">
        <is>
          <t>Kitchen Utensils</t>
        </is>
      </c>
      <c r="D986" s="28" t="inlineStr">
        <is>
          <t>752704671756</t>
        </is>
      </c>
      <c r="E986" s="27" t="n"/>
      <c r="F986" s="29" t="n">
        <v>0</v>
      </c>
      <c r="G986" s="29" t="n">
        <v>425</v>
      </c>
      <c r="H986" s="27" t="inlineStr">
        <is>
          <t>Inclusive</t>
        </is>
      </c>
      <c r="I986" s="29" t="n">
        <v>320</v>
      </c>
      <c r="J986" s="27" t="inlineStr">
        <is>
          <t>Inclusive</t>
        </is>
      </c>
      <c r="K986" s="29" t="n">
        <v>475</v>
      </c>
      <c r="L986" s="29" t="n">
        <v>0</v>
      </c>
      <c r="M986" s="33" t="n">
        <v>1</v>
      </c>
      <c r="N986" s="27" t="inlineStr">
        <is>
          <t>Yes</t>
        </is>
      </c>
      <c r="O986" s="29" t="n">
        <v>0</v>
      </c>
      <c r="P986" s="30" t="n">
        <v>450</v>
      </c>
      <c r="Q986" s="31" t="inlineStr">
        <is>
          <t>In Stock</t>
        </is>
      </c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5" customHeight="1" s="85">
      <c r="A987" s="27" t="inlineStr">
        <is>
          <t>SEVA NAZHI STEEL</t>
        </is>
      </c>
      <c r="B987" s="27" t="n"/>
      <c r="C987" s="27" t="inlineStr">
        <is>
          <t>Kitchen Utensils</t>
        </is>
      </c>
      <c r="D987" s="28" t="inlineStr">
        <is>
          <t>287335402573</t>
        </is>
      </c>
      <c r="E987" s="27" t="n"/>
      <c r="F987" s="29" t="n">
        <v>0</v>
      </c>
      <c r="G987" s="29" t="n">
        <v>320</v>
      </c>
      <c r="H987" s="27" t="inlineStr">
        <is>
          <t>Inclusive</t>
        </is>
      </c>
      <c r="I987" s="29" t="n">
        <v>250</v>
      </c>
      <c r="J987" s="27" t="inlineStr">
        <is>
          <t>Inclusive</t>
        </is>
      </c>
      <c r="K987" s="29" t="n">
        <v>320</v>
      </c>
      <c r="L987" s="29" t="n">
        <v>6</v>
      </c>
      <c r="M987" s="33" t="n">
        <v>1</v>
      </c>
      <c r="N987" s="27" t="inlineStr">
        <is>
          <t>Yes</t>
        </is>
      </c>
      <c r="O987" s="29" t="n">
        <v>0</v>
      </c>
      <c r="P987" s="30" t="n">
        <v>450</v>
      </c>
      <c r="Q987" s="31" t="inlineStr">
        <is>
          <t>In Stock</t>
        </is>
      </c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5" customHeight="1" s="85">
      <c r="A988" s="27" t="inlineStr">
        <is>
          <t>SHAKTI BIRYANI MASALA 50GM</t>
        </is>
      </c>
      <c r="B988" s="27" t="n"/>
      <c r="C988" s="27" t="inlineStr">
        <is>
          <t>Masalas &amp; Spices</t>
        </is>
      </c>
      <c r="D988" s="28" t="inlineStr">
        <is>
          <t>8906002081615</t>
        </is>
      </c>
      <c r="E988" s="27" t="n"/>
      <c r="F988" s="29" t="n">
        <v>0</v>
      </c>
      <c r="G988" s="29" t="n">
        <v>45</v>
      </c>
      <c r="H988" s="27" t="inlineStr">
        <is>
          <t>Inclusive</t>
        </is>
      </c>
      <c r="I988" s="29" t="n">
        <v>28</v>
      </c>
      <c r="J988" s="27" t="inlineStr">
        <is>
          <t>Inclusive</t>
        </is>
      </c>
      <c r="K988" s="29" t="n">
        <v>45</v>
      </c>
      <c r="L988" s="29" t="n">
        <v>2</v>
      </c>
      <c r="M988" s="33" t="n">
        <v>1</v>
      </c>
      <c r="N988" s="27" t="inlineStr">
        <is>
          <t>No</t>
        </is>
      </c>
      <c r="O988" s="29" t="n">
        <v>0</v>
      </c>
      <c r="P988" s="30" t="n">
        <v>450</v>
      </c>
      <c r="Q988" s="31" t="inlineStr">
        <is>
          <t>In Stock</t>
        </is>
      </c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5" customHeight="1" s="85">
      <c r="A989" s="27" t="inlineStr">
        <is>
          <t>SHAKTI CHICKEN MASALA 100GM</t>
        </is>
      </c>
      <c r="B989" s="27" t="n"/>
      <c r="C989" s="27" t="inlineStr">
        <is>
          <t>Masalas &amp; Spices</t>
        </is>
      </c>
      <c r="D989" s="28" t="inlineStr">
        <is>
          <t>946662081523</t>
        </is>
      </c>
      <c r="E989" s="27" t="n"/>
      <c r="F989" s="29" t="n">
        <v>0</v>
      </c>
      <c r="G989" s="29" t="n">
        <v>52</v>
      </c>
      <c r="H989" s="27" t="inlineStr">
        <is>
          <t>Inclusive</t>
        </is>
      </c>
      <c r="I989" s="29" t="n">
        <v>36</v>
      </c>
      <c r="J989" s="27" t="inlineStr">
        <is>
          <t>Inclusive</t>
        </is>
      </c>
      <c r="K989" s="29" t="n">
        <v>0</v>
      </c>
      <c r="L989" s="29" t="n">
        <v>10</v>
      </c>
      <c r="M989" s="33" t="n">
        <v>1</v>
      </c>
      <c r="N989" s="27" t="inlineStr">
        <is>
          <t>No</t>
        </is>
      </c>
      <c r="O989" s="29" t="n">
        <v>0</v>
      </c>
      <c r="P989" s="30" t="n">
        <v>450</v>
      </c>
      <c r="Q989" s="31" t="inlineStr">
        <is>
          <t>In Stock</t>
        </is>
      </c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5" customHeight="1" s="85">
      <c r="A990" s="27" t="inlineStr">
        <is>
          <t>SHAKTI GARAM MASALA 50GM</t>
        </is>
      </c>
      <c r="B990" s="27" t="n"/>
      <c r="C990" s="27" t="inlineStr">
        <is>
          <t>Masalas &amp; Spices</t>
        </is>
      </c>
      <c r="D990" s="28" t="inlineStr">
        <is>
          <t>8906002081813</t>
        </is>
      </c>
      <c r="E990" s="27" t="n"/>
      <c r="F990" s="29" t="n">
        <v>0</v>
      </c>
      <c r="G990" s="29" t="n">
        <v>40</v>
      </c>
      <c r="H990" s="27" t="inlineStr">
        <is>
          <t>Inclusive</t>
        </is>
      </c>
      <c r="I990" s="29" t="n">
        <v>29</v>
      </c>
      <c r="J990" s="27" t="inlineStr">
        <is>
          <t>Inclusive</t>
        </is>
      </c>
      <c r="K990" s="29" t="n">
        <v>40</v>
      </c>
      <c r="L990" s="29" t="n">
        <v>17</v>
      </c>
      <c r="M990" s="33" t="n">
        <v>1</v>
      </c>
      <c r="N990" s="27" t="inlineStr">
        <is>
          <t>No</t>
        </is>
      </c>
      <c r="O990" s="29" t="n">
        <v>0</v>
      </c>
      <c r="P990" s="30" t="n">
        <v>450</v>
      </c>
      <c r="Q990" s="31" t="inlineStr">
        <is>
          <t>In Stock</t>
        </is>
      </c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5" customHeight="1" s="85">
      <c r="A991" s="27" t="inlineStr">
        <is>
          <t>SHAKTI LEMON RICE MASALA 50</t>
        </is>
      </c>
      <c r="B991" s="27" t="n"/>
      <c r="C991" s="27" t="inlineStr">
        <is>
          <t>Masalas &amp; Spices</t>
        </is>
      </c>
      <c r="D991" s="28" t="inlineStr">
        <is>
          <t>8906002081219</t>
        </is>
      </c>
      <c r="E991" s="27" t="n"/>
      <c r="F991" s="29" t="n">
        <v>0</v>
      </c>
      <c r="G991" s="29" t="n">
        <v>21</v>
      </c>
      <c r="H991" s="27" t="inlineStr">
        <is>
          <t>Inclusive</t>
        </is>
      </c>
      <c r="I991" s="29" t="n">
        <v>18</v>
      </c>
      <c r="J991" s="27" t="inlineStr">
        <is>
          <t>Inclusive</t>
        </is>
      </c>
      <c r="K991" s="29" t="n">
        <v>21</v>
      </c>
      <c r="L991" s="29" t="n">
        <v>0</v>
      </c>
      <c r="M991" s="33" t="n">
        <v>1</v>
      </c>
      <c r="N991" s="27" t="inlineStr">
        <is>
          <t>No</t>
        </is>
      </c>
      <c r="O991" s="29" t="n">
        <v>0</v>
      </c>
      <c r="P991" s="30" t="n">
        <v>450</v>
      </c>
      <c r="Q991" s="31" t="inlineStr">
        <is>
          <t>In Stock</t>
        </is>
      </c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5" customHeight="1" s="85">
      <c r="A992" s="27" t="inlineStr">
        <is>
          <t>SHAKTI RASAM POWDER 100GM</t>
        </is>
      </c>
      <c r="B992" s="27" t="n"/>
      <c r="C992" s="27" t="inlineStr">
        <is>
          <t>Masalas &amp; Spices</t>
        </is>
      </c>
      <c r="D992" s="28" t="inlineStr">
        <is>
          <t>8906002080625</t>
        </is>
      </c>
      <c r="E992" s="27" t="n"/>
      <c r="F992" s="29" t="n">
        <v>0</v>
      </c>
      <c r="G992" s="29" t="n">
        <v>56</v>
      </c>
      <c r="H992" s="27" t="inlineStr">
        <is>
          <t>Inclusive</t>
        </is>
      </c>
      <c r="I992" s="29" t="n">
        <v>55</v>
      </c>
      <c r="J992" s="27" t="inlineStr">
        <is>
          <t>Inclusive</t>
        </is>
      </c>
      <c r="K992" s="29" t="n">
        <v>0</v>
      </c>
      <c r="L992" s="29" t="n">
        <v>2</v>
      </c>
      <c r="M992" s="33" t="n">
        <v>1</v>
      </c>
      <c r="N992" s="27" t="inlineStr">
        <is>
          <t>No</t>
        </is>
      </c>
      <c r="O992" s="29" t="n">
        <v>0</v>
      </c>
      <c r="P992" s="30" t="n">
        <v>450</v>
      </c>
      <c r="Q992" s="31" t="inlineStr">
        <is>
          <t>In Stock</t>
        </is>
      </c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5" customHeight="1" s="85">
      <c r="A993" s="27" t="inlineStr">
        <is>
          <t>SHAKTI SAMBAR POWDER 100GM</t>
        </is>
      </c>
      <c r="B993" s="27" t="n"/>
      <c r="C993" s="27" t="inlineStr">
        <is>
          <t>Masalas &amp; Spices</t>
        </is>
      </c>
      <c r="D993" s="28" t="inlineStr">
        <is>
          <t>8906002080328</t>
        </is>
      </c>
      <c r="E993" s="27" t="n"/>
      <c r="F993" s="29" t="n">
        <v>0</v>
      </c>
      <c r="G993" s="29" t="n">
        <v>54</v>
      </c>
      <c r="H993" s="27" t="inlineStr">
        <is>
          <t>Inclusive</t>
        </is>
      </c>
      <c r="I993" s="29" t="n">
        <v>38</v>
      </c>
      <c r="J993" s="27" t="inlineStr">
        <is>
          <t>Inclusive</t>
        </is>
      </c>
      <c r="K993" s="29" t="n">
        <v>54</v>
      </c>
      <c r="L993" s="29" t="n">
        <v>2</v>
      </c>
      <c r="M993" s="33" t="n">
        <v>1</v>
      </c>
      <c r="N993" s="27" t="inlineStr">
        <is>
          <t>No</t>
        </is>
      </c>
      <c r="O993" s="29" t="n">
        <v>0</v>
      </c>
      <c r="P993" s="30" t="n">
        <v>450</v>
      </c>
      <c r="Q993" s="31" t="inlineStr">
        <is>
          <t>In Stock</t>
        </is>
      </c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5" customHeight="1" s="85">
      <c r="A994" s="27" t="inlineStr">
        <is>
          <t>SHANGH TREE</t>
        </is>
      </c>
      <c r="B994" s="27" t="n"/>
      <c r="C994" s="27" t="inlineStr">
        <is>
          <t>Church Articles</t>
        </is>
      </c>
      <c r="D994" s="28" t="inlineStr">
        <is>
          <t>306246483513</t>
        </is>
      </c>
      <c r="E994" s="27" t="n"/>
      <c r="F994" s="29" t="n">
        <v>0</v>
      </c>
      <c r="G994" s="29" t="n">
        <v>220</v>
      </c>
      <c r="H994" s="27" t="inlineStr">
        <is>
          <t>Exclusive</t>
        </is>
      </c>
      <c r="I994" s="29" t="n">
        <v>150</v>
      </c>
      <c r="J994" s="27" t="inlineStr">
        <is>
          <t>Exclusive</t>
        </is>
      </c>
      <c r="K994" s="29" t="n">
        <v>250</v>
      </c>
      <c r="L994" s="29" t="n">
        <v>0</v>
      </c>
      <c r="M994" s="27" t="n"/>
      <c r="N994" s="27" t="inlineStr">
        <is>
          <t>Yes</t>
        </is>
      </c>
      <c r="O994" s="29" t="n">
        <v>0</v>
      </c>
      <c r="P994" s="30" t="n">
        <v>450</v>
      </c>
      <c r="Q994" s="31" t="inlineStr">
        <is>
          <t>In Stock</t>
        </is>
      </c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5" customHeight="1" s="85">
      <c r="A995" s="27" t="inlineStr">
        <is>
          <t>SHAPLAD KUDAMPULI 500GM</t>
        </is>
      </c>
      <c r="B995" s="27" t="n"/>
      <c r="C995" s="27" t="inlineStr">
        <is>
          <t>Masalas &amp; Spices</t>
        </is>
      </c>
      <c r="D995" s="28" t="inlineStr">
        <is>
          <t>8906091931365</t>
        </is>
      </c>
      <c r="E995" s="27" t="n"/>
      <c r="F995" s="29" t="n">
        <v>0</v>
      </c>
      <c r="G995" s="29" t="n">
        <v>195</v>
      </c>
      <c r="H995" s="27" t="inlineStr">
        <is>
          <t>Exclusive</t>
        </is>
      </c>
      <c r="I995" s="29" t="n">
        <v>160</v>
      </c>
      <c r="J995" s="27" t="inlineStr">
        <is>
          <t>Exclusive</t>
        </is>
      </c>
      <c r="K995" s="29" t="n">
        <v>195</v>
      </c>
      <c r="L995" s="29" t="n">
        <v>0</v>
      </c>
      <c r="M995" s="33" t="n">
        <v>1</v>
      </c>
      <c r="N995" s="27" t="inlineStr">
        <is>
          <t>Yes</t>
        </is>
      </c>
      <c r="O995" s="29" t="n">
        <v>0</v>
      </c>
      <c r="P995" s="30" t="n">
        <v>450</v>
      </c>
      <c r="Q995" s="31" t="inlineStr">
        <is>
          <t>In Stock</t>
        </is>
      </c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5" customHeight="1" s="85">
      <c r="A996" s="27" t="inlineStr">
        <is>
          <t>SHAPPAD BLACK TAMARIND FISH KUDAM PULI 100GM</t>
        </is>
      </c>
      <c r="B996" s="27" t="n"/>
      <c r="C996" s="27" t="inlineStr">
        <is>
          <t>Masalas &amp; Spices</t>
        </is>
      </c>
      <c r="D996" s="28" t="inlineStr">
        <is>
          <t>8906091932232</t>
        </is>
      </c>
      <c r="E996" s="27" t="n"/>
      <c r="F996" s="29" t="n">
        <v>0</v>
      </c>
      <c r="G996" s="29" t="n">
        <v>45</v>
      </c>
      <c r="H996" s="27" t="inlineStr">
        <is>
          <t>Inclusive</t>
        </is>
      </c>
      <c r="I996" s="29" t="n">
        <v>36</v>
      </c>
      <c r="J996" s="27" t="inlineStr">
        <is>
          <t>Inclusive</t>
        </is>
      </c>
      <c r="K996" s="29" t="n">
        <v>45</v>
      </c>
      <c r="L996" s="29" t="n">
        <v>6</v>
      </c>
      <c r="M996" s="33" t="n">
        <v>1</v>
      </c>
      <c r="N996" s="27" t="inlineStr">
        <is>
          <t>Yes</t>
        </is>
      </c>
      <c r="O996" s="29" t="n">
        <v>0</v>
      </c>
      <c r="P996" s="30" t="n">
        <v>450</v>
      </c>
      <c r="Q996" s="31" t="inlineStr">
        <is>
          <t>In Stock</t>
        </is>
      </c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5" customHeight="1" s="85">
      <c r="A997" s="27" t="inlineStr">
        <is>
          <t>SHAPPAD CASHEW KAJU STRIP</t>
        </is>
      </c>
      <c r="B997" s="27" t="n"/>
      <c r="C997" s="27" t="inlineStr">
        <is>
          <t>Snacks</t>
        </is>
      </c>
      <c r="D997" s="28" t="inlineStr">
        <is>
          <t>922549431389</t>
        </is>
      </c>
      <c r="E997" s="27" t="n"/>
      <c r="F997" s="29" t="n">
        <v>0</v>
      </c>
      <c r="G997" s="29" t="n">
        <v>30</v>
      </c>
      <c r="H997" s="27" t="inlineStr">
        <is>
          <t>Exclusive</t>
        </is>
      </c>
      <c r="I997" s="29" t="n">
        <v>19</v>
      </c>
      <c r="J997" s="27" t="inlineStr">
        <is>
          <t>Exclusive</t>
        </is>
      </c>
      <c r="K997" s="29" t="n">
        <v>30</v>
      </c>
      <c r="L997" s="29" t="n">
        <v>0</v>
      </c>
      <c r="M997" s="33" t="n">
        <v>1</v>
      </c>
      <c r="N997" s="27" t="inlineStr">
        <is>
          <t>Yes</t>
        </is>
      </c>
      <c r="O997" s="29" t="n">
        <v>0</v>
      </c>
      <c r="P997" s="30" t="n">
        <v>450</v>
      </c>
      <c r="Q997" s="31" t="inlineStr">
        <is>
          <t>In Stock</t>
        </is>
      </c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5" customHeight="1" s="85">
      <c r="A998" s="27" t="inlineStr">
        <is>
          <t>SHAPPAD CURD CHILLI KONDATTAM</t>
        </is>
      </c>
      <c r="B998" s="27" t="n"/>
      <c r="C998" s="27" t="inlineStr">
        <is>
          <t>Snacks</t>
        </is>
      </c>
      <c r="D998" s="28" t="inlineStr">
        <is>
          <t>8904046800261</t>
        </is>
      </c>
      <c r="E998" s="27" t="n"/>
      <c r="F998" s="29" t="n">
        <v>0</v>
      </c>
      <c r="G998" s="29" t="n">
        <v>53</v>
      </c>
      <c r="H998" s="27" t="inlineStr">
        <is>
          <t>Exclusive</t>
        </is>
      </c>
      <c r="I998" s="29" t="n">
        <v>45</v>
      </c>
      <c r="J998" s="27" t="inlineStr">
        <is>
          <t>Exclusive</t>
        </is>
      </c>
      <c r="K998" s="29" t="n">
        <v>50</v>
      </c>
      <c r="L998" s="29" t="n">
        <v>14</v>
      </c>
      <c r="M998" s="27" t="n"/>
      <c r="N998" s="27" t="inlineStr">
        <is>
          <t>Yes</t>
        </is>
      </c>
      <c r="O998" s="29" t="n">
        <v>0</v>
      </c>
      <c r="P998" s="30" t="n">
        <v>450</v>
      </c>
      <c r="Q998" s="31" t="inlineStr">
        <is>
          <t>In Stock</t>
        </is>
      </c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5" customHeight="1" s="85">
      <c r="A999" s="27" t="inlineStr">
        <is>
          <t>SHAPPAD DAHA SHAMANI STRIP</t>
        </is>
      </c>
      <c r="B999" s="27" t="n"/>
      <c r="C999" s="27" t="inlineStr">
        <is>
          <t>Healthcare Items</t>
        </is>
      </c>
      <c r="D999" s="28" t="inlineStr">
        <is>
          <t>783789955530</t>
        </is>
      </c>
      <c r="E999" s="27" t="n"/>
      <c r="F999" s="29" t="n">
        <v>0</v>
      </c>
      <c r="G999" s="29" t="n">
        <v>17</v>
      </c>
      <c r="H999" s="27" t="inlineStr">
        <is>
          <t>Exclusive</t>
        </is>
      </c>
      <c r="I999" s="29" t="n">
        <v>10</v>
      </c>
      <c r="J999" s="27" t="inlineStr">
        <is>
          <t>Exclusive</t>
        </is>
      </c>
      <c r="K999" s="29" t="n">
        <v>0</v>
      </c>
      <c r="L999" s="29" t="n">
        <v>1</v>
      </c>
      <c r="M999" s="33" t="n">
        <v>1</v>
      </c>
      <c r="N999" s="27" t="inlineStr">
        <is>
          <t>Yes</t>
        </is>
      </c>
      <c r="O999" s="29" t="n">
        <v>0</v>
      </c>
      <c r="P999" s="30" t="n">
        <v>450</v>
      </c>
      <c r="Q999" s="31" t="inlineStr">
        <is>
          <t>In Stock</t>
        </is>
      </c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5" customHeight="1" s="85">
      <c r="A1000" s="27" t="inlineStr">
        <is>
          <t>SHAPPAD GINGER COFFEE STRIP</t>
        </is>
      </c>
      <c r="B1000" s="27" t="n"/>
      <c r="C1000" s="27" t="inlineStr">
        <is>
          <t>Beverages</t>
        </is>
      </c>
      <c r="D1000" s="28" t="inlineStr">
        <is>
          <t>8904045812166</t>
        </is>
      </c>
      <c r="E1000" s="27" t="n"/>
      <c r="F1000" s="29" t="n">
        <v>0</v>
      </c>
      <c r="G1000" s="29" t="n">
        <v>17</v>
      </c>
      <c r="H1000" s="27" t="inlineStr">
        <is>
          <t>Inclusive</t>
        </is>
      </c>
      <c r="I1000" s="29" t="n">
        <v>10</v>
      </c>
      <c r="J1000" s="27" t="inlineStr">
        <is>
          <t>Inclusive</t>
        </is>
      </c>
      <c r="K1000" s="29" t="n">
        <v>17</v>
      </c>
      <c r="L1000" s="29" t="n">
        <v>7</v>
      </c>
      <c r="M1000" s="33" t="n">
        <v>1</v>
      </c>
      <c r="N1000" s="27" t="inlineStr">
        <is>
          <t>Yes</t>
        </is>
      </c>
      <c r="O1000" s="29" t="n">
        <v>0</v>
      </c>
      <c r="P1000" s="30" t="n">
        <v>450</v>
      </c>
      <c r="Q1000" s="31" t="inlineStr">
        <is>
          <t>In Stock</t>
        </is>
      </c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  <row r="1001" ht="12.5" customHeight="1" s="85">
      <c r="A1001" s="27" t="inlineStr">
        <is>
          <t>SHAPPAD KISMIS STRIP</t>
        </is>
      </c>
      <c r="B1001" s="27" t="n"/>
      <c r="C1001" s="27" t="inlineStr">
        <is>
          <t>Snacks</t>
        </is>
      </c>
      <c r="D1001" s="28" t="inlineStr">
        <is>
          <t>175372960179</t>
        </is>
      </c>
      <c r="E1001" s="27" t="n"/>
      <c r="F1001" s="29" t="n">
        <v>0</v>
      </c>
      <c r="G1001" s="29" t="n">
        <v>17</v>
      </c>
      <c r="H1001" s="27" t="inlineStr">
        <is>
          <t>Exclusive</t>
        </is>
      </c>
      <c r="I1001" s="29" t="n">
        <v>10</v>
      </c>
      <c r="J1001" s="27" t="inlineStr">
        <is>
          <t>Exclusive</t>
        </is>
      </c>
      <c r="K1001" s="29" t="n">
        <v>17</v>
      </c>
      <c r="L1001" s="29" t="n">
        <v>3</v>
      </c>
      <c r="M1001" s="33" t="n">
        <v>1</v>
      </c>
      <c r="N1001" s="27" t="inlineStr">
        <is>
          <t>Yes</t>
        </is>
      </c>
      <c r="O1001" s="29" t="n">
        <v>0</v>
      </c>
      <c r="P1001" s="30" t="n">
        <v>450</v>
      </c>
      <c r="Q1001" s="31" t="inlineStr">
        <is>
          <t>In Stock</t>
        </is>
      </c>
      <c r="R1001" s="27" t="n"/>
      <c r="S1001" s="27" t="n"/>
      <c r="T1001" s="27" t="n"/>
      <c r="U1001" s="27" t="n"/>
      <c r="V1001" s="27" t="n"/>
      <c r="W1001" s="27" t="n"/>
      <c r="X1001" s="27" t="n"/>
      <c r="Y1001" s="27" t="n"/>
      <c r="Z1001" s="27" t="n"/>
    </row>
    <row r="1002" ht="12.5" customHeight="1" s="85">
      <c r="A1002" s="27" t="inlineStr">
        <is>
          <t>SHAPPAD KUDAM PULI 500GM</t>
        </is>
      </c>
      <c r="B1002" s="27" t="n"/>
      <c r="C1002" s="27" t="inlineStr">
        <is>
          <t>Masalas &amp; Spices</t>
        </is>
      </c>
      <c r="D1002" s="32" t="inlineStr">
        <is>
          <t>100375</t>
        </is>
      </c>
      <c r="E1002" s="27" t="n"/>
      <c r="F1002" s="29" t="n">
        <v>0</v>
      </c>
      <c r="G1002" s="29" t="n">
        <v>195</v>
      </c>
      <c r="H1002" s="27" t="inlineStr">
        <is>
          <t>Exclusive</t>
        </is>
      </c>
      <c r="I1002" s="29" t="n">
        <v>157</v>
      </c>
      <c r="J1002" s="27" t="inlineStr">
        <is>
          <t>Exclusive</t>
        </is>
      </c>
      <c r="K1002" s="29" t="n">
        <v>0</v>
      </c>
      <c r="L1002" s="29" t="n">
        <v>0</v>
      </c>
      <c r="M1002" s="33" t="n">
        <v>1</v>
      </c>
      <c r="N1002" s="27" t="inlineStr">
        <is>
          <t>Yes</t>
        </is>
      </c>
      <c r="O1002" s="29" t="n">
        <v>0</v>
      </c>
      <c r="P1002" s="30" t="n">
        <v>450</v>
      </c>
      <c r="Q1002" s="31" t="inlineStr">
        <is>
          <t>In Stock</t>
        </is>
      </c>
      <c r="R1002" s="27" t="n"/>
      <c r="S1002" s="27" t="n"/>
      <c r="T1002" s="27" t="n"/>
      <c r="U1002" s="27" t="n"/>
      <c r="V1002" s="27" t="n"/>
      <c r="W1002" s="27" t="n"/>
      <c r="X1002" s="27" t="n"/>
      <c r="Y1002" s="27" t="n"/>
      <c r="Z1002" s="27" t="n"/>
    </row>
    <row r="1003" ht="12.5" customHeight="1" s="85">
      <c r="A1003" s="27" t="inlineStr">
        <is>
          <t>SHAPPAD KUNDURUKKAM - LOBAN</t>
        </is>
      </c>
      <c r="B1003" s="27" t="n"/>
      <c r="C1003" s="27" t="inlineStr">
        <is>
          <t>Household &amp; Cleaning</t>
        </is>
      </c>
      <c r="D1003" s="28" t="inlineStr">
        <is>
          <t>701462599337</t>
        </is>
      </c>
      <c r="E1003" s="27" t="n"/>
      <c r="F1003" s="29" t="n">
        <v>0</v>
      </c>
      <c r="G1003" s="29" t="n">
        <v>17</v>
      </c>
      <c r="H1003" s="27" t="inlineStr">
        <is>
          <t>Exclusive</t>
        </is>
      </c>
      <c r="I1003" s="29" t="n">
        <v>10</v>
      </c>
      <c r="J1003" s="27" t="inlineStr">
        <is>
          <t>Exclusive</t>
        </is>
      </c>
      <c r="K1003" s="29" t="n">
        <v>17</v>
      </c>
      <c r="L1003" s="29" t="n">
        <v>1</v>
      </c>
      <c r="M1003" s="33" t="n">
        <v>1</v>
      </c>
      <c r="N1003" s="27" t="inlineStr">
        <is>
          <t>Yes</t>
        </is>
      </c>
      <c r="O1003" s="29" t="n">
        <v>0</v>
      </c>
      <c r="P1003" s="30" t="n">
        <v>450</v>
      </c>
      <c r="Q1003" s="31" t="inlineStr">
        <is>
          <t>In Stock</t>
        </is>
      </c>
      <c r="R1003" s="27" t="n"/>
      <c r="S1003" s="27" t="n"/>
      <c r="T1003" s="27" t="n"/>
      <c r="U1003" s="27" t="n"/>
      <c r="V1003" s="27" t="n"/>
      <c r="W1003" s="27" t="n"/>
      <c r="X1003" s="27" t="n"/>
      <c r="Y1003" s="27" t="n"/>
      <c r="Z1003" s="27" t="n"/>
    </row>
    <row r="1004" ht="12.5" customHeight="1" s="85">
      <c r="A1004" s="27" t="inlineStr">
        <is>
          <t>SHAPPAD LIME PICKLE STRIP</t>
        </is>
      </c>
      <c r="B1004" s="27" t="n"/>
      <c r="C1004" s="27" t="inlineStr">
        <is>
          <t>Pickles</t>
        </is>
      </c>
      <c r="D1004" s="32" t="inlineStr">
        <is>
          <t>100377</t>
        </is>
      </c>
      <c r="E1004" s="27" t="n"/>
      <c r="F1004" s="29" t="n">
        <v>0</v>
      </c>
      <c r="G1004" s="29" t="n">
        <v>17</v>
      </c>
      <c r="H1004" s="27" t="inlineStr">
        <is>
          <t>Exclusive</t>
        </is>
      </c>
      <c r="I1004" s="29" t="n">
        <v>71.43000000000001</v>
      </c>
      <c r="J1004" s="27" t="inlineStr">
        <is>
          <t>Exclusive</t>
        </is>
      </c>
      <c r="K1004" s="29" t="n">
        <v>0</v>
      </c>
      <c r="L1004" s="29" t="n">
        <v>11</v>
      </c>
      <c r="M1004" s="27" t="n"/>
      <c r="N1004" s="27" t="inlineStr">
        <is>
          <t>Yes</t>
        </is>
      </c>
      <c r="O1004" s="29" t="n">
        <v>0</v>
      </c>
      <c r="P1004" s="30" t="n">
        <v>450</v>
      </c>
      <c r="Q1004" s="31" t="inlineStr">
        <is>
          <t>In Stock</t>
        </is>
      </c>
      <c r="R1004" s="27" t="n"/>
      <c r="S1004" s="27" t="n"/>
      <c r="T1004" s="27" t="n"/>
      <c r="U1004" s="27" t="n"/>
      <c r="V1004" s="27" t="n"/>
      <c r="W1004" s="27" t="n"/>
      <c r="X1004" s="27" t="n"/>
      <c r="Y1004" s="27" t="n"/>
      <c r="Z1004" s="27" t="n"/>
    </row>
    <row r="1005" ht="12.5" customHeight="1" s="85">
      <c r="A1005" s="27" t="inlineStr">
        <is>
          <t>SHAPPAD MASALAKOOTTU STRIP</t>
        </is>
      </c>
      <c r="B1005" s="27" t="n"/>
      <c r="C1005" s="27" t="inlineStr">
        <is>
          <t>Masalas &amp; Spices</t>
        </is>
      </c>
      <c r="D1005" s="28" t="inlineStr">
        <is>
          <t>8906091930979</t>
        </is>
      </c>
      <c r="E1005" s="27" t="n"/>
      <c r="F1005" s="29" t="n">
        <v>0</v>
      </c>
      <c r="G1005" s="29" t="n">
        <v>62</v>
      </c>
      <c r="H1005" s="27" t="inlineStr">
        <is>
          <t>Exclusive</t>
        </is>
      </c>
      <c r="I1005" s="29" t="n">
        <v>27</v>
      </c>
      <c r="J1005" s="27" t="inlineStr">
        <is>
          <t>Exclusive</t>
        </is>
      </c>
      <c r="K1005" s="29" t="n">
        <v>62</v>
      </c>
      <c r="L1005" s="29" t="n">
        <v>7</v>
      </c>
      <c r="M1005" s="33" t="n">
        <v>1</v>
      </c>
      <c r="N1005" s="27" t="inlineStr">
        <is>
          <t>Yes</t>
        </is>
      </c>
      <c r="O1005" s="29" t="n">
        <v>0</v>
      </c>
      <c r="P1005" s="30" t="n">
        <v>450</v>
      </c>
      <c r="Q1005" s="31" t="inlineStr">
        <is>
          <t>In Stock</t>
        </is>
      </c>
      <c r="R1005" s="27" t="n"/>
      <c r="S1005" s="27" t="n"/>
      <c r="T1005" s="27" t="n"/>
      <c r="U1005" s="27" t="n"/>
      <c r="V1005" s="27" t="n"/>
      <c r="W1005" s="27" t="n"/>
      <c r="X1005" s="27" t="n"/>
      <c r="Y1005" s="27" t="n"/>
      <c r="Z1005" s="27" t="n"/>
    </row>
    <row r="1006" ht="12.5" customHeight="1" s="85">
      <c r="A1006" s="27" t="inlineStr">
        <is>
          <t>SHAPPAD PALM JAGGERY / KARUPATTI - 400 GM</t>
        </is>
      </c>
      <c r="B1006" s="27" t="n"/>
      <c r="C1006" s="27" t="inlineStr">
        <is>
          <t>Ready to Eat &amp; Mixes</t>
        </is>
      </c>
      <c r="D1006" s="32" t="inlineStr">
        <is>
          <t>100379</t>
        </is>
      </c>
      <c r="E1006" s="29" t="n">
        <v>17011310</v>
      </c>
      <c r="F1006" s="29" t="n">
        <v>0</v>
      </c>
      <c r="G1006" s="29" t="n">
        <v>165</v>
      </c>
      <c r="H1006" s="27" t="inlineStr">
        <is>
          <t>Exclusive</t>
        </is>
      </c>
      <c r="I1006" s="29" t="n">
        <v>117</v>
      </c>
      <c r="J1006" s="27" t="inlineStr">
        <is>
          <t>Exclusive</t>
        </is>
      </c>
      <c r="K1006" s="29" t="n">
        <v>0</v>
      </c>
      <c r="L1006" s="29" t="n">
        <v>3</v>
      </c>
      <c r="M1006" s="27" t="n"/>
      <c r="N1006" s="27" t="inlineStr">
        <is>
          <t>Yes</t>
        </is>
      </c>
      <c r="O1006" s="29" t="n">
        <v>0</v>
      </c>
      <c r="P1006" s="30" t="n">
        <v>450</v>
      </c>
      <c r="Q1006" s="31" t="inlineStr">
        <is>
          <t>In Stock</t>
        </is>
      </c>
      <c r="R1006" s="27" t="n"/>
      <c r="S1006" s="27" t="n"/>
      <c r="T1006" s="27" t="n"/>
      <c r="U1006" s="27" t="n"/>
      <c r="V1006" s="27" t="n"/>
      <c r="W1006" s="27" t="n"/>
      <c r="X1006" s="27" t="n"/>
      <c r="Y1006" s="27" t="n"/>
      <c r="Z1006" s="27" t="n"/>
    </row>
    <row r="1007" ht="12.5" customHeight="1" s="85">
      <c r="A1007" s="27" t="inlineStr">
        <is>
          <t>SHAPPAD PATHI MUKHAM STRIP</t>
        </is>
      </c>
      <c r="B1007" s="27" t="n"/>
      <c r="C1007" s="27" t="inlineStr">
        <is>
          <t>Healthcare Items</t>
        </is>
      </c>
      <c r="D1007" s="32" t="inlineStr">
        <is>
          <t>100380</t>
        </is>
      </c>
      <c r="E1007" s="27" t="n"/>
      <c r="F1007" s="29" t="n">
        <v>0</v>
      </c>
      <c r="G1007" s="29" t="n">
        <v>17</v>
      </c>
      <c r="H1007" s="27" t="inlineStr">
        <is>
          <t>Inclusive</t>
        </is>
      </c>
      <c r="I1007" s="29" t="n">
        <v>10</v>
      </c>
      <c r="J1007" s="27" t="inlineStr">
        <is>
          <t>Inclusive</t>
        </is>
      </c>
      <c r="K1007" s="29" t="n">
        <v>17</v>
      </c>
      <c r="L1007" s="29" t="n">
        <v>2</v>
      </c>
      <c r="M1007" s="33" t="n">
        <v>1</v>
      </c>
      <c r="N1007" s="27" t="inlineStr">
        <is>
          <t>No</t>
        </is>
      </c>
      <c r="O1007" s="29" t="n">
        <v>0</v>
      </c>
      <c r="P1007" s="30" t="n">
        <v>450</v>
      </c>
      <c r="Q1007" s="31" t="inlineStr">
        <is>
          <t>In Stock</t>
        </is>
      </c>
      <c r="R1007" s="27" t="n"/>
      <c r="S1007" s="27" t="n"/>
      <c r="T1007" s="27" t="n"/>
      <c r="U1007" s="27" t="n"/>
      <c r="V1007" s="27" t="n"/>
      <c r="W1007" s="27" t="n"/>
      <c r="X1007" s="27" t="n"/>
      <c r="Y1007" s="27" t="n"/>
      <c r="Z1007" s="27" t="n"/>
    </row>
    <row r="1008" ht="12.5" customHeight="1" s="85">
      <c r="A1008" s="27" t="inlineStr">
        <is>
          <t>SHAPPAD RAGI MILLET 1KG</t>
        </is>
      </c>
      <c r="B1008" s="27" t="n"/>
      <c r="C1008" s="27" t="inlineStr">
        <is>
          <t>Grains &amp; Flours</t>
        </is>
      </c>
      <c r="D1008" s="28" t="inlineStr">
        <is>
          <t>8906091931334</t>
        </is>
      </c>
      <c r="E1008" s="27" t="n"/>
      <c r="F1008" s="29" t="n">
        <v>0</v>
      </c>
      <c r="G1008" s="29" t="n">
        <v>104</v>
      </c>
      <c r="H1008" s="27" t="inlineStr">
        <is>
          <t>Exclusive</t>
        </is>
      </c>
      <c r="I1008" s="29" t="n">
        <v>90</v>
      </c>
      <c r="J1008" s="27" t="inlineStr">
        <is>
          <t>Exclusive</t>
        </is>
      </c>
      <c r="K1008" s="29" t="n">
        <v>104</v>
      </c>
      <c r="L1008" s="29" t="n">
        <v>0</v>
      </c>
      <c r="M1008" s="33" t="n">
        <v>1</v>
      </c>
      <c r="N1008" s="27" t="inlineStr">
        <is>
          <t>Yes</t>
        </is>
      </c>
      <c r="O1008" s="29" t="n">
        <v>0</v>
      </c>
      <c r="P1008" s="30" t="n">
        <v>450</v>
      </c>
      <c r="Q1008" s="31" t="inlineStr">
        <is>
          <t>In Stock</t>
        </is>
      </c>
      <c r="R1008" s="27" t="n"/>
      <c r="S1008" s="27" t="n"/>
      <c r="T1008" s="27" t="n"/>
      <c r="U1008" s="27" t="n"/>
      <c r="V1008" s="27" t="n"/>
      <c r="W1008" s="27" t="n"/>
      <c r="X1008" s="27" t="n"/>
      <c r="Y1008" s="27" t="n"/>
      <c r="Z1008" s="27" t="n"/>
    </row>
    <row r="1009" ht="12.5" customHeight="1" s="85">
      <c r="A1009" s="27" t="inlineStr">
        <is>
          <t>SHAPPAD RAGI POWDER 500GM</t>
        </is>
      </c>
      <c r="B1009" s="27" t="n"/>
      <c r="C1009" s="27" t="inlineStr">
        <is>
          <t>Grains &amp; Flours</t>
        </is>
      </c>
      <c r="D1009" s="28" t="inlineStr">
        <is>
          <t>8906091932003</t>
        </is>
      </c>
      <c r="E1009" s="27" t="n"/>
      <c r="F1009" s="29" t="n">
        <v>0</v>
      </c>
      <c r="G1009" s="29" t="n">
        <v>72</v>
      </c>
      <c r="H1009" s="27" t="inlineStr">
        <is>
          <t>Exclusive</t>
        </is>
      </c>
      <c r="I1009" s="29" t="n">
        <v>68</v>
      </c>
      <c r="J1009" s="27" t="inlineStr">
        <is>
          <t>Exclusive</t>
        </is>
      </c>
      <c r="K1009" s="29" t="n">
        <v>72</v>
      </c>
      <c r="L1009" s="29" t="n">
        <v>0</v>
      </c>
      <c r="M1009" s="33" t="n">
        <v>1</v>
      </c>
      <c r="N1009" s="27" t="inlineStr">
        <is>
          <t>Yes</t>
        </is>
      </c>
      <c r="O1009" s="29" t="n">
        <v>0</v>
      </c>
      <c r="P1009" s="30" t="n">
        <v>450</v>
      </c>
      <c r="Q1009" s="31" t="inlineStr">
        <is>
          <t>In Stock</t>
        </is>
      </c>
      <c r="R1009" s="27" t="n"/>
      <c r="S1009" s="27" t="n"/>
      <c r="T1009" s="27" t="n"/>
      <c r="U1009" s="27" t="n"/>
      <c r="V1009" s="27" t="n"/>
      <c r="W1009" s="27" t="n"/>
      <c r="X1009" s="27" t="n"/>
      <c r="Y1009" s="27" t="n"/>
      <c r="Z1009" s="27" t="n"/>
    </row>
    <row r="1010" ht="12.5" customHeight="1" s="85">
      <c r="A1010" s="27" t="inlineStr">
        <is>
          <t>SHAPPAD RASAKKOOTTU</t>
        </is>
      </c>
      <c r="B1010" s="27" t="n"/>
      <c r="C1010" s="27" t="inlineStr">
        <is>
          <t>Masalas &amp; Spices</t>
        </is>
      </c>
      <c r="D1010" s="28" t="inlineStr">
        <is>
          <t>768029714880</t>
        </is>
      </c>
      <c r="E1010" s="27" t="n"/>
      <c r="F1010" s="29" t="n">
        <v>0</v>
      </c>
      <c r="G1010" s="29" t="n">
        <v>10</v>
      </c>
      <c r="H1010" s="27" t="inlineStr">
        <is>
          <t>Exclusive</t>
        </is>
      </c>
      <c r="I1010" s="29" t="n">
        <v>9</v>
      </c>
      <c r="J1010" s="27" t="inlineStr">
        <is>
          <t>Exclusive</t>
        </is>
      </c>
      <c r="K1010" s="29" t="n">
        <v>12</v>
      </c>
      <c r="L1010" s="29" t="n">
        <v>0</v>
      </c>
      <c r="M1010" s="33" t="n">
        <v>1</v>
      </c>
      <c r="N1010" s="27" t="inlineStr">
        <is>
          <t>Yes</t>
        </is>
      </c>
      <c r="O1010" s="29" t="n">
        <v>0</v>
      </c>
      <c r="P1010" s="30" t="n">
        <v>450</v>
      </c>
      <c r="Q1010" s="31" t="inlineStr">
        <is>
          <t>In Stock</t>
        </is>
      </c>
      <c r="R1010" s="27" t="n"/>
      <c r="S1010" s="27" t="n"/>
      <c r="T1010" s="27" t="n"/>
      <c r="U1010" s="27" t="n"/>
      <c r="V1010" s="27" t="n"/>
      <c r="W1010" s="27" t="n"/>
      <c r="X1010" s="27" t="n"/>
      <c r="Y1010" s="27" t="n"/>
      <c r="Z1010" s="27" t="n"/>
    </row>
    <row r="1011" ht="12.5" customHeight="1" s="85">
      <c r="A1011" s="27" t="inlineStr">
        <is>
          <t>SHAPPAD RASAKOOT STRIP</t>
        </is>
      </c>
      <c r="B1011" s="27" t="n"/>
      <c r="C1011" s="27" t="inlineStr">
        <is>
          <t>Masalas &amp; Spices</t>
        </is>
      </c>
      <c r="D1011" s="32" t="inlineStr">
        <is>
          <t>100381</t>
        </is>
      </c>
      <c r="E1011" s="27" t="n"/>
      <c r="F1011" s="29" t="n">
        <v>0</v>
      </c>
      <c r="G1011" s="29" t="n">
        <v>12</v>
      </c>
      <c r="H1011" s="27" t="inlineStr">
        <is>
          <t>Exclusive</t>
        </is>
      </c>
      <c r="I1011" s="29" t="n">
        <v>76.19</v>
      </c>
      <c r="J1011" s="27" t="inlineStr">
        <is>
          <t>Exclusive</t>
        </is>
      </c>
      <c r="K1011" s="29" t="n">
        <v>0</v>
      </c>
      <c r="L1011" s="29" t="n">
        <v>0</v>
      </c>
      <c r="M1011" s="27" t="n"/>
      <c r="N1011" s="27" t="inlineStr">
        <is>
          <t>Yes</t>
        </is>
      </c>
      <c r="O1011" s="29" t="n">
        <v>0</v>
      </c>
      <c r="P1011" s="30" t="n">
        <v>450</v>
      </c>
      <c r="Q1011" s="31" t="inlineStr">
        <is>
          <t>In Stock</t>
        </is>
      </c>
      <c r="R1011" s="27" t="n"/>
      <c r="S1011" s="27" t="n"/>
      <c r="T1011" s="27" t="n"/>
      <c r="U1011" s="27" t="n"/>
      <c r="V1011" s="27" t="n"/>
      <c r="W1011" s="27" t="n"/>
      <c r="X1011" s="27" t="n"/>
      <c r="Y1011" s="27" t="n"/>
      <c r="Z1011" s="27" t="n"/>
    </row>
    <row r="1012" ht="12.5" customHeight="1" s="85">
      <c r="A1012" s="27" t="inlineStr">
        <is>
          <t>SHAPPAD YEAST STRIP</t>
        </is>
      </c>
      <c r="B1012" s="27" t="n"/>
      <c r="C1012" s="27" t="inlineStr">
        <is>
          <t>Ready to Eat &amp; Mixes</t>
        </is>
      </c>
      <c r="D1012" s="28" t="inlineStr">
        <is>
          <t>770879554813</t>
        </is>
      </c>
      <c r="E1012" s="27" t="n"/>
      <c r="F1012" s="29" t="n">
        <v>0</v>
      </c>
      <c r="G1012" s="29" t="n">
        <v>17</v>
      </c>
      <c r="H1012" s="27" t="inlineStr">
        <is>
          <t>Exclusive</t>
        </is>
      </c>
      <c r="I1012" s="29" t="n">
        <v>10</v>
      </c>
      <c r="J1012" s="27" t="inlineStr">
        <is>
          <t>Exclusive</t>
        </is>
      </c>
      <c r="K1012" s="29" t="n">
        <v>17</v>
      </c>
      <c r="L1012" s="29" t="n">
        <v>22</v>
      </c>
      <c r="M1012" s="33" t="n">
        <v>1</v>
      </c>
      <c r="N1012" s="27" t="inlineStr">
        <is>
          <t>Yes</t>
        </is>
      </c>
      <c r="O1012" s="29" t="n">
        <v>0</v>
      </c>
      <c r="P1012" s="30" t="n">
        <v>450</v>
      </c>
      <c r="Q1012" s="31" t="inlineStr">
        <is>
          <t>In Stock</t>
        </is>
      </c>
      <c r="R1012" s="27" t="n"/>
      <c r="S1012" s="27" t="n"/>
      <c r="T1012" s="27" t="n"/>
      <c r="U1012" s="27" t="n"/>
      <c r="V1012" s="27" t="n"/>
      <c r="W1012" s="27" t="n"/>
      <c r="X1012" s="27" t="n"/>
      <c r="Y1012" s="27" t="n"/>
      <c r="Z1012" s="27" t="n"/>
    </row>
    <row r="1013" ht="12.5" customHeight="1" s="85">
      <c r="A1013" s="27" t="inlineStr">
        <is>
          <t>SHARPENERS PENCIL CUTTER</t>
        </is>
      </c>
      <c r="B1013" s="27" t="n"/>
      <c r="C1013" s="27" t="inlineStr">
        <is>
          <t>Stationery</t>
        </is>
      </c>
      <c r="D1013" s="32" t="inlineStr">
        <is>
          <t>100382</t>
        </is>
      </c>
      <c r="E1013" s="27" t="n"/>
      <c r="F1013" s="29" t="n">
        <v>0</v>
      </c>
      <c r="G1013" s="29" t="n">
        <v>3</v>
      </c>
      <c r="H1013" s="27" t="inlineStr">
        <is>
          <t>Exclusive</t>
        </is>
      </c>
      <c r="I1013" s="29" t="n">
        <v>3</v>
      </c>
      <c r="J1013" s="27" t="inlineStr">
        <is>
          <t>Exclusive</t>
        </is>
      </c>
      <c r="K1013" s="29" t="n">
        <v>3</v>
      </c>
      <c r="L1013" s="29" t="n">
        <v>0</v>
      </c>
      <c r="M1013" s="33" t="n">
        <v>1</v>
      </c>
      <c r="N1013" s="27" t="inlineStr">
        <is>
          <t>No</t>
        </is>
      </c>
      <c r="O1013" s="29" t="n">
        <v>0</v>
      </c>
      <c r="P1013" s="30" t="n">
        <v>450</v>
      </c>
      <c r="Q1013" s="31" t="inlineStr">
        <is>
          <t>In Stock</t>
        </is>
      </c>
      <c r="R1013" s="27" t="n"/>
      <c r="S1013" s="27" t="n"/>
      <c r="T1013" s="27" t="n"/>
      <c r="U1013" s="27" t="n"/>
      <c r="V1013" s="27" t="n"/>
      <c r="W1013" s="27" t="n"/>
      <c r="X1013" s="27" t="n"/>
      <c r="Y1013" s="27" t="n"/>
      <c r="Z1013" s="27" t="n"/>
    </row>
    <row r="1014" ht="12.5" customHeight="1" s="85">
      <c r="A1014" s="27" t="inlineStr">
        <is>
          <t>SHEEJA PAPPAD</t>
        </is>
      </c>
      <c r="B1014" s="27" t="n"/>
      <c r="C1014" s="27" t="inlineStr">
        <is>
          <t>Snacks</t>
        </is>
      </c>
      <c r="D1014" s="32" t="inlineStr">
        <is>
          <t>100383</t>
        </is>
      </c>
      <c r="E1014" s="27" t="n"/>
      <c r="F1014" s="29" t="n">
        <v>0</v>
      </c>
      <c r="G1014" s="29" t="n">
        <v>30</v>
      </c>
      <c r="H1014" s="27" t="inlineStr">
        <is>
          <t>Exclusive</t>
        </is>
      </c>
      <c r="I1014" s="29" t="n">
        <v>25</v>
      </c>
      <c r="J1014" s="27" t="inlineStr">
        <is>
          <t>Exclusive</t>
        </is>
      </c>
      <c r="K1014" s="29" t="n">
        <v>35</v>
      </c>
      <c r="L1014" s="29" t="n">
        <v>10</v>
      </c>
      <c r="M1014" s="33" t="n">
        <v>1</v>
      </c>
      <c r="N1014" s="27" t="inlineStr">
        <is>
          <t>Yes</t>
        </is>
      </c>
      <c r="O1014" s="29" t="n">
        <v>0</v>
      </c>
      <c r="P1014" s="30" t="n">
        <v>450</v>
      </c>
      <c r="Q1014" s="31" t="inlineStr">
        <is>
          <t>In Stock</t>
        </is>
      </c>
      <c r="R1014" s="27" t="n"/>
      <c r="S1014" s="27" t="n"/>
      <c r="T1014" s="27" t="n"/>
      <c r="U1014" s="27" t="n"/>
      <c r="V1014" s="27" t="n"/>
      <c r="W1014" s="27" t="n"/>
      <c r="X1014" s="27" t="n"/>
      <c r="Y1014" s="27" t="n"/>
      <c r="Z1014" s="27" t="n"/>
    </row>
    <row r="1015" ht="12.5" customHeight="1" s="85">
      <c r="A1015" s="27" t="inlineStr">
        <is>
          <t>SHUDHI COCONUT MILK POWDER 25GM</t>
        </is>
      </c>
      <c r="B1015" s="27" t="n"/>
      <c r="C1015" s="27" t="inlineStr">
        <is>
          <t>Ready to Eat &amp; Mixes</t>
        </is>
      </c>
      <c r="D1015" s="28" t="inlineStr">
        <is>
          <t>8906005452023</t>
        </is>
      </c>
      <c r="E1015" s="27" t="n"/>
      <c r="F1015" s="29" t="n">
        <v>0</v>
      </c>
      <c r="G1015" s="29" t="n">
        <v>33</v>
      </c>
      <c r="H1015" s="27" t="inlineStr">
        <is>
          <t>Exclusive</t>
        </is>
      </c>
      <c r="I1015" s="29" t="n">
        <v>26</v>
      </c>
      <c r="J1015" s="27" t="inlineStr">
        <is>
          <t>Exclusive</t>
        </is>
      </c>
      <c r="K1015" s="29" t="n">
        <v>33</v>
      </c>
      <c r="L1015" s="29" t="n">
        <v>2</v>
      </c>
      <c r="M1015" s="33" t="n">
        <v>1</v>
      </c>
      <c r="N1015" s="27" t="inlineStr">
        <is>
          <t>Yes</t>
        </is>
      </c>
      <c r="O1015" s="29" t="n">
        <v>0</v>
      </c>
      <c r="P1015" s="30" t="n">
        <v>450</v>
      </c>
      <c r="Q1015" s="31" t="inlineStr">
        <is>
          <t>In Stock</t>
        </is>
      </c>
      <c r="R1015" s="27" t="n"/>
      <c r="S1015" s="27" t="n"/>
      <c r="T1015" s="27" t="n"/>
      <c r="U1015" s="27" t="n"/>
      <c r="V1015" s="27" t="n"/>
      <c r="W1015" s="27" t="n"/>
      <c r="X1015" s="27" t="n"/>
      <c r="Y1015" s="27" t="n"/>
      <c r="Z1015" s="27" t="n"/>
    </row>
    <row r="1016" ht="12.5" customHeight="1" s="85">
      <c r="A1016" s="27" t="inlineStr">
        <is>
          <t>SIEVE (CHAY CHANNI)</t>
        </is>
      </c>
      <c r="B1016" s="27" t="n"/>
      <c r="C1016" s="27" t="inlineStr">
        <is>
          <t>Kitchen Utensils</t>
        </is>
      </c>
      <c r="D1016" s="28" t="inlineStr">
        <is>
          <t>660148470663</t>
        </is>
      </c>
      <c r="E1016" s="27" t="n"/>
      <c r="F1016" s="29" t="n">
        <v>0</v>
      </c>
      <c r="G1016" s="29" t="n">
        <v>25</v>
      </c>
      <c r="H1016" s="27" t="inlineStr">
        <is>
          <t>Exclusive</t>
        </is>
      </c>
      <c r="I1016" s="29" t="n">
        <v>10</v>
      </c>
      <c r="J1016" s="27" t="inlineStr">
        <is>
          <t>Exclusive</t>
        </is>
      </c>
      <c r="K1016" s="29" t="n">
        <v>25</v>
      </c>
      <c r="L1016" s="29" t="n">
        <v>0</v>
      </c>
      <c r="M1016" s="33" t="n">
        <v>1</v>
      </c>
      <c r="N1016" s="27" t="inlineStr">
        <is>
          <t>Yes</t>
        </is>
      </c>
      <c r="O1016" s="29" t="n">
        <v>0</v>
      </c>
      <c r="P1016" s="30" t="n">
        <v>450</v>
      </c>
      <c r="Q1016" s="31" t="inlineStr">
        <is>
          <t>In Stock</t>
        </is>
      </c>
      <c r="R1016" s="27" t="n"/>
      <c r="S1016" s="27" t="n"/>
      <c r="T1016" s="27" t="n"/>
      <c r="U1016" s="27" t="n"/>
      <c r="V1016" s="27" t="n"/>
      <c r="W1016" s="27" t="n"/>
      <c r="X1016" s="27" t="n"/>
      <c r="Y1016" s="27" t="n"/>
      <c r="Z1016" s="27" t="n"/>
    </row>
    <row r="1017" ht="12.5" customHeight="1" s="85">
      <c r="A1017" s="27" t="inlineStr">
        <is>
          <t>SILICONE SCRUBBER</t>
        </is>
      </c>
      <c r="B1017" s="27" t="n"/>
      <c r="C1017" s="27" t="inlineStr">
        <is>
          <t>Kitchen Utensils</t>
        </is>
      </c>
      <c r="D1017" s="28" t="inlineStr">
        <is>
          <t>199737404816</t>
        </is>
      </c>
      <c r="E1017" s="27" t="n"/>
      <c r="F1017" s="29" t="n">
        <v>0</v>
      </c>
      <c r="G1017" s="29" t="n">
        <v>50</v>
      </c>
      <c r="H1017" s="27" t="inlineStr">
        <is>
          <t>Exclusive</t>
        </is>
      </c>
      <c r="I1017" s="29" t="n">
        <v>30</v>
      </c>
      <c r="J1017" s="27" t="inlineStr">
        <is>
          <t>Exclusive</t>
        </is>
      </c>
      <c r="K1017" s="29" t="n">
        <v>60</v>
      </c>
      <c r="L1017" s="29" t="n">
        <v>8</v>
      </c>
      <c r="M1017" s="27" t="n"/>
      <c r="N1017" s="27" t="inlineStr">
        <is>
          <t>Yes</t>
        </is>
      </c>
      <c r="O1017" s="29" t="n">
        <v>0</v>
      </c>
      <c r="P1017" s="30" t="n">
        <v>450</v>
      </c>
      <c r="Q1017" s="31" t="inlineStr">
        <is>
          <t>In Stock</t>
        </is>
      </c>
      <c r="R1017" s="27" t="n"/>
      <c r="S1017" s="27" t="n"/>
      <c r="T1017" s="27" t="n"/>
      <c r="U1017" s="27" t="n"/>
      <c r="V1017" s="27" t="n"/>
      <c r="W1017" s="27" t="n"/>
      <c r="X1017" s="27" t="n"/>
      <c r="Y1017" s="27" t="n"/>
      <c r="Z1017" s="27" t="n"/>
    </row>
    <row r="1018" ht="12.5" customHeight="1" s="85">
      <c r="A1018" s="27" t="inlineStr">
        <is>
          <t>SIMPLE STEEL CROSS KEYCHAIN</t>
        </is>
      </c>
      <c r="B1018" s="27" t="n"/>
      <c r="C1018" s="27" t="inlineStr">
        <is>
          <t>Church Articles</t>
        </is>
      </c>
      <c r="D1018" s="28" t="inlineStr">
        <is>
          <t>582216171660</t>
        </is>
      </c>
      <c r="E1018" s="27" t="n"/>
      <c r="F1018" s="29" t="n">
        <v>0</v>
      </c>
      <c r="G1018" s="29" t="n">
        <v>45</v>
      </c>
      <c r="H1018" s="27" t="inlineStr">
        <is>
          <t>Exclusive</t>
        </is>
      </c>
      <c r="I1018" s="29" t="n">
        <v>35</v>
      </c>
      <c r="J1018" s="27" t="inlineStr">
        <is>
          <t>Exclusive</t>
        </is>
      </c>
      <c r="K1018" s="29" t="n">
        <v>55</v>
      </c>
      <c r="L1018" s="29" t="n">
        <v>0</v>
      </c>
      <c r="M1018" s="27" t="n"/>
      <c r="N1018" s="27" t="inlineStr">
        <is>
          <t>Yes</t>
        </is>
      </c>
      <c r="O1018" s="29" t="n">
        <v>0</v>
      </c>
      <c r="P1018" s="30" t="n">
        <v>450</v>
      </c>
      <c r="Q1018" s="31" t="inlineStr">
        <is>
          <t>In Stock</t>
        </is>
      </c>
      <c r="R1018" s="27" t="n"/>
      <c r="S1018" s="27" t="n"/>
      <c r="T1018" s="27" t="n"/>
      <c r="U1018" s="27" t="n"/>
      <c r="V1018" s="27" t="n"/>
      <c r="W1018" s="27" t="n"/>
      <c r="X1018" s="27" t="n"/>
      <c r="Y1018" s="27" t="n"/>
      <c r="Z1018" s="27" t="n"/>
    </row>
    <row r="1019" ht="12.5" customHeight="1" s="85">
      <c r="A1019" s="27" t="inlineStr">
        <is>
          <t>SISO HAIR COLOR SHAMPOO</t>
        </is>
      </c>
      <c r="B1019" s="27" t="n"/>
      <c r="C1019" s="27" t="inlineStr">
        <is>
          <t>Healthcare Items</t>
        </is>
      </c>
      <c r="D1019" s="28" t="inlineStr">
        <is>
          <t>8908019145038</t>
        </is>
      </c>
      <c r="E1019" s="27" t="n"/>
      <c r="F1019" s="29" t="n">
        <v>0</v>
      </c>
      <c r="G1019" s="29" t="n">
        <v>30</v>
      </c>
      <c r="H1019" s="27" t="inlineStr">
        <is>
          <t>Exclusive</t>
        </is>
      </c>
      <c r="I1019" s="29" t="n">
        <v>18</v>
      </c>
      <c r="J1019" s="27" t="inlineStr">
        <is>
          <t>Exclusive</t>
        </is>
      </c>
      <c r="K1019" s="29" t="n">
        <v>30</v>
      </c>
      <c r="L1019" s="29" t="n">
        <v>0</v>
      </c>
      <c r="M1019" s="33" t="n">
        <v>1</v>
      </c>
      <c r="N1019" s="27" t="inlineStr">
        <is>
          <t>Yes</t>
        </is>
      </c>
      <c r="O1019" s="29" t="n">
        <v>0</v>
      </c>
      <c r="P1019" s="30" t="n">
        <v>450</v>
      </c>
      <c r="Q1019" s="31" t="inlineStr">
        <is>
          <t>In Stock</t>
        </is>
      </c>
      <c r="R1019" s="27" t="n"/>
      <c r="S1019" s="27" t="n"/>
      <c r="T1019" s="27" t="n"/>
      <c r="U1019" s="27" t="n"/>
      <c r="V1019" s="27" t="n"/>
      <c r="W1019" s="27" t="n"/>
      <c r="X1019" s="27" t="n"/>
      <c r="Y1019" s="27" t="n"/>
      <c r="Z1019" s="27" t="n"/>
    </row>
    <row r="1020" ht="12.5" customHeight="1" s="85">
      <c r="A1020" s="27" t="inlineStr">
        <is>
          <t>SITTING CHIRAVA</t>
        </is>
      </c>
      <c r="B1020" s="27" t="n"/>
      <c r="C1020" s="27" t="inlineStr">
        <is>
          <t>Kitchen Utensils</t>
        </is>
      </c>
      <c r="D1020" s="28" t="inlineStr">
        <is>
          <t>990592060624</t>
        </is>
      </c>
      <c r="E1020" s="27" t="n"/>
      <c r="F1020" s="29" t="n">
        <v>0</v>
      </c>
      <c r="G1020" s="29" t="n">
        <v>340</v>
      </c>
      <c r="H1020" s="27" t="inlineStr">
        <is>
          <t>Exclusive</t>
        </is>
      </c>
      <c r="I1020" s="29" t="n">
        <v>180</v>
      </c>
      <c r="J1020" s="27" t="inlineStr">
        <is>
          <t>Exclusive</t>
        </is>
      </c>
      <c r="K1020" s="29" t="n">
        <v>370</v>
      </c>
      <c r="L1020" s="29" t="n">
        <v>2</v>
      </c>
      <c r="M1020" s="33" t="n">
        <v>1</v>
      </c>
      <c r="N1020" s="27" t="inlineStr">
        <is>
          <t>Yes</t>
        </is>
      </c>
      <c r="O1020" s="29" t="n">
        <v>0</v>
      </c>
      <c r="P1020" s="30" t="n">
        <v>450</v>
      </c>
      <c r="Q1020" s="31" t="inlineStr">
        <is>
          <t>In Stock</t>
        </is>
      </c>
      <c r="R1020" s="27" t="n"/>
      <c r="S1020" s="27" t="n"/>
      <c r="T1020" s="27" t="n"/>
      <c r="U1020" s="27" t="n"/>
      <c r="V1020" s="27" t="n"/>
      <c r="W1020" s="27" t="n"/>
      <c r="X1020" s="27" t="n"/>
      <c r="Y1020" s="27" t="n"/>
      <c r="Z1020" s="27" t="n"/>
    </row>
    <row r="1021" ht="12.5" customHeight="1" s="85">
      <c r="A1021" s="27" t="inlineStr">
        <is>
          <t>SITTING CHIRAVA METAL</t>
        </is>
      </c>
      <c r="B1021" s="27" t="n"/>
      <c r="C1021" s="27" t="inlineStr">
        <is>
          <t>Kitchen Utensils</t>
        </is>
      </c>
      <c r="D1021" s="32" t="inlineStr">
        <is>
          <t>100384</t>
        </is>
      </c>
      <c r="E1021" s="27" t="n"/>
      <c r="F1021" s="29" t="n">
        <v>0</v>
      </c>
      <c r="G1021" s="29" t="n">
        <v>530</v>
      </c>
      <c r="H1021" s="27" t="inlineStr">
        <is>
          <t>Exclusive</t>
        </is>
      </c>
      <c r="I1021" s="29" t="n">
        <v>420</v>
      </c>
      <c r="J1021" s="27" t="inlineStr">
        <is>
          <t>Exclusive</t>
        </is>
      </c>
      <c r="K1021" s="29" t="n">
        <v>530</v>
      </c>
      <c r="L1021" s="29" t="n">
        <v>0</v>
      </c>
      <c r="M1021" s="33" t="n">
        <v>1</v>
      </c>
      <c r="N1021" s="27" t="inlineStr">
        <is>
          <t>Yes</t>
        </is>
      </c>
      <c r="O1021" s="29" t="n">
        <v>0</v>
      </c>
      <c r="P1021" s="30" t="n">
        <v>450</v>
      </c>
      <c r="Q1021" s="31" t="inlineStr">
        <is>
          <t>In Stock</t>
        </is>
      </c>
      <c r="R1021" s="27" t="n"/>
      <c r="S1021" s="27" t="n"/>
      <c r="T1021" s="27" t="n"/>
      <c r="U1021" s="27" t="n"/>
      <c r="V1021" s="27" t="n"/>
      <c r="W1021" s="27" t="n"/>
      <c r="X1021" s="27" t="n"/>
      <c r="Y1021" s="27" t="n"/>
      <c r="Z1021" s="27" t="n"/>
    </row>
    <row r="1022" ht="12.5" customHeight="1" s="85">
      <c r="A1022" s="27" t="inlineStr">
        <is>
          <t>SKS CRUSHED CHILLI 100GM</t>
        </is>
      </c>
      <c r="B1022" s="27" t="n"/>
      <c r="C1022" s="27" t="inlineStr">
        <is>
          <t>Masalas &amp; Spices</t>
        </is>
      </c>
      <c r="D1022" s="28" t="inlineStr">
        <is>
          <t>419065640612</t>
        </is>
      </c>
      <c r="E1022" s="27" t="n"/>
      <c r="F1022" s="29" t="n">
        <v>0</v>
      </c>
      <c r="G1022" s="29" t="n">
        <v>60</v>
      </c>
      <c r="H1022" s="27" t="inlineStr">
        <is>
          <t>Inclusive</t>
        </is>
      </c>
      <c r="I1022" s="29" t="n">
        <v>45</v>
      </c>
      <c r="J1022" s="27" t="inlineStr">
        <is>
          <t>Inclusive</t>
        </is>
      </c>
      <c r="K1022" s="29" t="n">
        <v>60</v>
      </c>
      <c r="L1022" s="29" t="n">
        <v>1</v>
      </c>
      <c r="M1022" s="27" t="n"/>
      <c r="N1022" s="27" t="inlineStr">
        <is>
          <t>No</t>
        </is>
      </c>
      <c r="O1022" s="29" t="n">
        <v>0</v>
      </c>
      <c r="P1022" s="30" t="n">
        <v>450</v>
      </c>
      <c r="Q1022" s="31" t="inlineStr">
        <is>
          <t>In Stock</t>
        </is>
      </c>
      <c r="R1022" s="27" t="n"/>
      <c r="S1022" s="27" t="n"/>
      <c r="T1022" s="27" t="n"/>
      <c r="U1022" s="27" t="n"/>
      <c r="V1022" s="27" t="n"/>
      <c r="W1022" s="27" t="n"/>
      <c r="X1022" s="27" t="n"/>
      <c r="Y1022" s="27" t="n"/>
      <c r="Z1022" s="27" t="n"/>
    </row>
    <row r="1023" ht="12.5" customHeight="1" s="85">
      <c r="A1023" s="27" t="inlineStr">
        <is>
          <t>SKS HALWA BLACK / RED 500GM</t>
        </is>
      </c>
      <c r="B1023" s="27" t="n"/>
      <c r="C1023" s="27" t="inlineStr">
        <is>
          <t>Snacks</t>
        </is>
      </c>
      <c r="D1023" s="28" t="inlineStr">
        <is>
          <t>236440691930</t>
        </is>
      </c>
      <c r="E1023" s="27" t="n"/>
      <c r="F1023" s="29" t="n">
        <v>0</v>
      </c>
      <c r="G1023" s="29" t="n">
        <v>150</v>
      </c>
      <c r="H1023" s="27" t="inlineStr">
        <is>
          <t>Exclusive</t>
        </is>
      </c>
      <c r="I1023" s="29" t="n">
        <v>52</v>
      </c>
      <c r="J1023" s="27" t="inlineStr">
        <is>
          <t>Exclusive</t>
        </is>
      </c>
      <c r="K1023" s="29" t="n">
        <v>225</v>
      </c>
      <c r="L1023" s="29" t="n">
        <v>2</v>
      </c>
      <c r="M1023" s="27" t="n"/>
      <c r="N1023" s="27" t="inlineStr">
        <is>
          <t>Yes</t>
        </is>
      </c>
      <c r="O1023" s="29" t="n">
        <v>0</v>
      </c>
      <c r="P1023" s="30" t="n">
        <v>450</v>
      </c>
      <c r="Q1023" s="31" t="inlineStr">
        <is>
          <t>In Stock</t>
        </is>
      </c>
      <c r="R1023" s="27" t="n"/>
      <c r="S1023" s="27" t="n"/>
      <c r="T1023" s="27" t="n"/>
      <c r="U1023" s="27" t="n"/>
      <c r="V1023" s="27" t="n"/>
      <c r="W1023" s="27" t="n"/>
      <c r="X1023" s="27" t="n"/>
      <c r="Y1023" s="27" t="n"/>
      <c r="Z1023" s="27" t="n"/>
    </row>
    <row r="1024" ht="12.5" customHeight="1" s="85">
      <c r="A1024" s="27" t="inlineStr">
        <is>
          <t>SKS JACKFRUIT CHIPS</t>
        </is>
      </c>
      <c r="B1024" s="27" t="n"/>
      <c r="C1024" s="27" t="inlineStr">
        <is>
          <t>Snacks</t>
        </is>
      </c>
      <c r="D1024" s="28" t="inlineStr">
        <is>
          <t>630159952425</t>
        </is>
      </c>
      <c r="E1024" s="27" t="n"/>
      <c r="F1024" s="29" t="n">
        <v>0</v>
      </c>
      <c r="G1024" s="29" t="n">
        <v>90</v>
      </c>
      <c r="H1024" s="27" t="inlineStr">
        <is>
          <t>Exclusive</t>
        </is>
      </c>
      <c r="I1024" s="29" t="n">
        <v>60</v>
      </c>
      <c r="J1024" s="27" t="inlineStr">
        <is>
          <t>Exclusive</t>
        </is>
      </c>
      <c r="K1024" s="29" t="n">
        <v>90</v>
      </c>
      <c r="L1024" s="29" t="n">
        <v>61</v>
      </c>
      <c r="M1024" s="27" t="n"/>
      <c r="N1024" s="27" t="inlineStr">
        <is>
          <t>Yes</t>
        </is>
      </c>
      <c r="O1024" s="29" t="n">
        <v>0</v>
      </c>
      <c r="P1024" s="30" t="n">
        <v>450</v>
      </c>
      <c r="Q1024" s="31" t="inlineStr">
        <is>
          <t>In Stock</t>
        </is>
      </c>
      <c r="R1024" s="27" t="n"/>
      <c r="S1024" s="27" t="n"/>
      <c r="T1024" s="27" t="n"/>
      <c r="U1024" s="27" t="n"/>
      <c r="V1024" s="27" t="n"/>
      <c r="W1024" s="27" t="n"/>
      <c r="X1024" s="27" t="n"/>
      <c r="Y1024" s="27" t="n"/>
      <c r="Z1024" s="27" t="n"/>
    </row>
    <row r="1025" ht="12.5" customHeight="1" s="85">
      <c r="A1025" s="27" t="inlineStr">
        <is>
          <t>SKS JACKFRUIT CHIPS 250GM</t>
        </is>
      </c>
      <c r="B1025" s="27" t="n"/>
      <c r="C1025" s="27" t="inlineStr">
        <is>
          <t>Snacks</t>
        </is>
      </c>
      <c r="D1025" s="28" t="inlineStr">
        <is>
          <t>209018366993</t>
        </is>
      </c>
      <c r="E1025" s="27" t="n"/>
      <c r="F1025" s="29" t="n">
        <v>0</v>
      </c>
      <c r="G1025" s="29" t="n">
        <v>140</v>
      </c>
      <c r="H1025" s="27" t="inlineStr">
        <is>
          <t>Exclusive</t>
        </is>
      </c>
      <c r="I1025" s="29" t="n">
        <v>90</v>
      </c>
      <c r="J1025" s="27" t="inlineStr">
        <is>
          <t>Exclusive</t>
        </is>
      </c>
      <c r="K1025" s="29" t="n">
        <v>150</v>
      </c>
      <c r="L1025" s="29" t="n">
        <v>0</v>
      </c>
      <c r="M1025" s="33" t="n">
        <v>1</v>
      </c>
      <c r="N1025" s="27" t="inlineStr">
        <is>
          <t>Yes</t>
        </is>
      </c>
      <c r="O1025" s="29" t="n">
        <v>0</v>
      </c>
      <c r="P1025" s="30" t="n">
        <v>450</v>
      </c>
      <c r="Q1025" s="31" t="inlineStr">
        <is>
          <t>In Stock</t>
        </is>
      </c>
      <c r="R1025" s="27" t="n"/>
      <c r="S1025" s="27" t="n"/>
      <c r="T1025" s="27" t="n"/>
      <c r="U1025" s="27" t="n"/>
      <c r="V1025" s="27" t="n"/>
      <c r="W1025" s="27" t="n"/>
      <c r="X1025" s="27" t="n"/>
      <c r="Y1025" s="27" t="n"/>
      <c r="Z1025" s="27" t="n"/>
    </row>
    <row r="1026" ht="12.5" customHeight="1" s="85">
      <c r="A1026" s="27" t="inlineStr">
        <is>
          <t>SKS RAGI FLOUR 500GM</t>
        </is>
      </c>
      <c r="B1026" s="27" t="n"/>
      <c r="C1026" s="27" t="inlineStr">
        <is>
          <t>Grains &amp; Flours</t>
        </is>
      </c>
      <c r="D1026" s="28" t="inlineStr">
        <is>
          <t>186530497654</t>
        </is>
      </c>
      <c r="E1026" s="27" t="n"/>
      <c r="F1026" s="29" t="n">
        <v>0</v>
      </c>
      <c r="G1026" s="29" t="n">
        <v>55</v>
      </c>
      <c r="H1026" s="27" t="inlineStr">
        <is>
          <t>Exclusive</t>
        </is>
      </c>
      <c r="I1026" s="29" t="n">
        <v>40</v>
      </c>
      <c r="J1026" s="27" t="inlineStr">
        <is>
          <t>Exclusive</t>
        </is>
      </c>
      <c r="K1026" s="29" t="n">
        <v>62</v>
      </c>
      <c r="L1026" s="29" t="n">
        <v>0</v>
      </c>
      <c r="M1026" s="33" t="n">
        <v>1</v>
      </c>
      <c r="N1026" s="27" t="inlineStr">
        <is>
          <t>Yes</t>
        </is>
      </c>
      <c r="O1026" s="29" t="n">
        <v>0</v>
      </c>
      <c r="P1026" s="30" t="n">
        <v>450</v>
      </c>
      <c r="Q1026" s="31" t="inlineStr">
        <is>
          <t>In Stock</t>
        </is>
      </c>
      <c r="R1026" s="27" t="n"/>
      <c r="S1026" s="27" t="n"/>
      <c r="T1026" s="27" t="n"/>
      <c r="U1026" s="27" t="n"/>
      <c r="V1026" s="27" t="n"/>
      <c r="W1026" s="27" t="n"/>
      <c r="X1026" s="27" t="n"/>
      <c r="Y1026" s="27" t="n"/>
      <c r="Z1026" s="27" t="n"/>
    </row>
    <row r="1027" ht="12.5" customHeight="1" s="85">
      <c r="A1027" s="27" t="inlineStr">
        <is>
          <t>SKS VERMICELLI 400GM</t>
        </is>
      </c>
      <c r="B1027" s="27" t="n"/>
      <c r="C1027" s="27" t="inlineStr">
        <is>
          <t>Grains &amp; Flours</t>
        </is>
      </c>
      <c r="D1027" s="28" t="inlineStr">
        <is>
          <t>946813889191</t>
        </is>
      </c>
      <c r="E1027" s="27" t="n"/>
      <c r="F1027" s="29" t="n">
        <v>0</v>
      </c>
      <c r="G1027" s="29" t="n">
        <v>58</v>
      </c>
      <c r="H1027" s="27" t="inlineStr">
        <is>
          <t>Exclusive</t>
        </is>
      </c>
      <c r="I1027" s="29" t="n">
        <v>54</v>
      </c>
      <c r="J1027" s="27" t="inlineStr">
        <is>
          <t>Exclusive</t>
        </is>
      </c>
      <c r="K1027" s="29" t="n">
        <v>58</v>
      </c>
      <c r="L1027" s="29" t="n">
        <v>20</v>
      </c>
      <c r="M1027" s="33" t="n">
        <v>1</v>
      </c>
      <c r="N1027" s="27" t="inlineStr">
        <is>
          <t>Yes</t>
        </is>
      </c>
      <c r="O1027" s="29" t="n">
        <v>0</v>
      </c>
      <c r="P1027" s="30" t="n">
        <v>450</v>
      </c>
      <c r="Q1027" s="31" t="inlineStr">
        <is>
          <t>In Stock</t>
        </is>
      </c>
      <c r="R1027" s="27" t="n"/>
      <c r="S1027" s="27" t="n"/>
      <c r="T1027" s="27" t="n"/>
      <c r="U1027" s="27" t="n"/>
      <c r="V1027" s="27" t="n"/>
      <c r="W1027" s="27" t="n"/>
      <c r="X1027" s="27" t="n"/>
      <c r="Y1027" s="27" t="n"/>
      <c r="Z1027" s="27" t="n"/>
    </row>
    <row r="1028" ht="12.5" customHeight="1" s="85">
      <c r="A1028" s="27" t="inlineStr">
        <is>
          <t>SKS VETTU CAKE</t>
        </is>
      </c>
      <c r="B1028" s="27" t="n"/>
      <c r="C1028" s="27" t="inlineStr">
        <is>
          <t>Snacks</t>
        </is>
      </c>
      <c r="D1028" s="28" t="inlineStr">
        <is>
          <t>904620599991</t>
        </is>
      </c>
      <c r="E1028" s="27" t="n"/>
      <c r="F1028" s="29" t="n">
        <v>0</v>
      </c>
      <c r="G1028" s="29" t="n">
        <v>50</v>
      </c>
      <c r="H1028" s="27" t="inlineStr">
        <is>
          <t>Inclusive</t>
        </is>
      </c>
      <c r="I1028" s="29" t="n">
        <v>40</v>
      </c>
      <c r="J1028" s="27" t="inlineStr">
        <is>
          <t>Inclusive</t>
        </is>
      </c>
      <c r="K1028" s="29" t="n">
        <v>55</v>
      </c>
      <c r="L1028" s="29" t="n">
        <v>1</v>
      </c>
      <c r="M1028" s="33" t="n">
        <v>1</v>
      </c>
      <c r="N1028" s="27" t="inlineStr">
        <is>
          <t>No</t>
        </is>
      </c>
      <c r="O1028" s="29" t="n">
        <v>0</v>
      </c>
      <c r="P1028" s="30" t="n">
        <v>450</v>
      </c>
      <c r="Q1028" s="31" t="inlineStr">
        <is>
          <t>In Stock</t>
        </is>
      </c>
      <c r="R1028" s="27" t="n"/>
      <c r="S1028" s="27" t="n"/>
      <c r="T1028" s="27" t="n"/>
      <c r="U1028" s="27" t="n"/>
      <c r="V1028" s="27" t="n"/>
      <c r="W1028" s="27" t="n"/>
      <c r="X1028" s="27" t="n"/>
      <c r="Y1028" s="27" t="n"/>
      <c r="Z1028" s="27" t="n"/>
    </row>
    <row r="1029" ht="12.5" customHeight="1" s="85">
      <c r="A1029" s="27" t="inlineStr">
        <is>
          <t>SMALLEST BIBLE</t>
        </is>
      </c>
      <c r="B1029" s="27" t="n"/>
      <c r="C1029" s="27" t="inlineStr">
        <is>
          <t>Books &amp; Bibles</t>
        </is>
      </c>
      <c r="D1029" s="28" t="inlineStr">
        <is>
          <t>147631206687</t>
        </is>
      </c>
      <c r="E1029" s="27" t="n"/>
      <c r="F1029" s="29" t="n">
        <v>0</v>
      </c>
      <c r="G1029" s="29" t="n">
        <v>1500</v>
      </c>
      <c r="H1029" s="27" t="inlineStr">
        <is>
          <t>Exclusive</t>
        </is>
      </c>
      <c r="I1029" s="29" t="n">
        <v>1300</v>
      </c>
      <c r="J1029" s="27" t="inlineStr">
        <is>
          <t>Exclusive</t>
        </is>
      </c>
      <c r="K1029" s="29" t="n">
        <v>1500</v>
      </c>
      <c r="L1029" s="29" t="n">
        <v>0</v>
      </c>
      <c r="M1029" s="27" t="n"/>
      <c r="N1029" s="27" t="inlineStr">
        <is>
          <t>Yes</t>
        </is>
      </c>
      <c r="O1029" s="29" t="n">
        <v>0</v>
      </c>
      <c r="P1029" s="30" t="n">
        <v>450</v>
      </c>
      <c r="Q1029" s="31" t="inlineStr">
        <is>
          <t>In Stock</t>
        </is>
      </c>
      <c r="R1029" s="27" t="n"/>
      <c r="S1029" s="27" t="n"/>
      <c r="T1029" s="27" t="n"/>
      <c r="U1029" s="27" t="n"/>
      <c r="V1029" s="27" t="n"/>
      <c r="W1029" s="27" t="n"/>
      <c r="X1029" s="27" t="n"/>
      <c r="Y1029" s="27" t="n"/>
      <c r="Z1029" s="27" t="n"/>
    </row>
    <row r="1030" ht="12.5" customHeight="1" s="85">
      <c r="A1030" s="27" t="inlineStr">
        <is>
          <t>SMALL ONION ULLI</t>
        </is>
      </c>
      <c r="B1030" s="27" t="n"/>
      <c r="C1030" s="27" t="inlineStr">
        <is>
          <t>Raw Items &amp; Produce</t>
        </is>
      </c>
      <c r="D1030" s="28" t="inlineStr">
        <is>
          <t>598133188858</t>
        </is>
      </c>
      <c r="E1030" s="27" t="n"/>
      <c r="F1030" s="29" t="n">
        <v>0</v>
      </c>
      <c r="G1030" s="29" t="n">
        <v>145</v>
      </c>
      <c r="H1030" s="27" t="inlineStr">
        <is>
          <t>Exclusive</t>
        </is>
      </c>
      <c r="I1030" s="29" t="n">
        <v>105</v>
      </c>
      <c r="J1030" s="27" t="inlineStr">
        <is>
          <t>Exclusive</t>
        </is>
      </c>
      <c r="K1030" s="29" t="n">
        <v>155</v>
      </c>
      <c r="L1030" s="29" t="n">
        <v>0</v>
      </c>
      <c r="M1030" s="33" t="n">
        <v>1</v>
      </c>
      <c r="N1030" s="27" t="inlineStr">
        <is>
          <t>Yes</t>
        </is>
      </c>
      <c r="O1030" s="29" t="n">
        <v>0</v>
      </c>
      <c r="P1030" s="30" t="n">
        <v>450</v>
      </c>
      <c r="Q1030" s="31" t="inlineStr">
        <is>
          <t>In Stock</t>
        </is>
      </c>
      <c r="R1030" s="27" t="n"/>
      <c r="S1030" s="27" t="n"/>
      <c r="T1030" s="27" t="n"/>
      <c r="U1030" s="27" t="n"/>
      <c r="V1030" s="27" t="n"/>
      <c r="W1030" s="27" t="n"/>
      <c r="X1030" s="27" t="n"/>
      <c r="Y1030" s="27" t="n"/>
      <c r="Z1030" s="27" t="n"/>
    </row>
    <row r="1031" ht="12.5" customHeight="1" s="85">
      <c r="A1031" s="27" t="inlineStr">
        <is>
          <t>SMA SANDAL KASAV DOUBLE MUND</t>
        </is>
      </c>
      <c r="B1031" s="27" t="n"/>
      <c r="C1031" s="27" t="inlineStr">
        <is>
          <t>Kerala Clothing</t>
        </is>
      </c>
      <c r="D1031" s="32" t="inlineStr">
        <is>
          <t>100385</t>
        </is>
      </c>
      <c r="E1031" s="27" t="n"/>
      <c r="F1031" s="29" t="n">
        <v>0</v>
      </c>
      <c r="G1031" s="29" t="n">
        <v>390</v>
      </c>
      <c r="H1031" s="27" t="inlineStr">
        <is>
          <t>Exclusive</t>
        </is>
      </c>
      <c r="I1031" s="29" t="n">
        <v>340</v>
      </c>
      <c r="J1031" s="27" t="inlineStr">
        <is>
          <t>Exclusive</t>
        </is>
      </c>
      <c r="K1031" s="29" t="n">
        <v>475</v>
      </c>
      <c r="L1031" s="29" t="n">
        <v>0</v>
      </c>
      <c r="M1031" s="27" t="n"/>
      <c r="N1031" s="27" t="inlineStr">
        <is>
          <t>Yes</t>
        </is>
      </c>
      <c r="O1031" s="29" t="n">
        <v>0</v>
      </c>
      <c r="P1031" s="30" t="n">
        <v>450</v>
      </c>
      <c r="Q1031" s="31" t="inlineStr">
        <is>
          <t>In Stock</t>
        </is>
      </c>
      <c r="R1031" s="27" t="n"/>
      <c r="S1031" s="27" t="n"/>
      <c r="T1031" s="27" t="n"/>
      <c r="U1031" s="27" t="n"/>
      <c r="V1031" s="27" t="n"/>
      <c r="W1031" s="27" t="n"/>
      <c r="X1031" s="27" t="n"/>
      <c r="Y1031" s="27" t="n"/>
      <c r="Z1031" s="27" t="n"/>
    </row>
    <row r="1032" ht="12.5" customHeight="1" s="85">
      <c r="A1032" s="27" t="inlineStr">
        <is>
          <t>SMA SANDAL KASAV MUND</t>
        </is>
      </c>
      <c r="B1032" s="27" t="n"/>
      <c r="C1032" s="27" t="inlineStr">
        <is>
          <t>Kerala Clothing</t>
        </is>
      </c>
      <c r="D1032" s="28" t="inlineStr">
        <is>
          <t>621675302858</t>
        </is>
      </c>
      <c r="E1032" s="27" t="n"/>
      <c r="F1032" s="29" t="n">
        <v>0</v>
      </c>
      <c r="G1032" s="29" t="n">
        <v>395</v>
      </c>
      <c r="H1032" s="27" t="inlineStr">
        <is>
          <t>Inclusive</t>
        </is>
      </c>
      <c r="I1032" s="29" t="n">
        <v>295</v>
      </c>
      <c r="J1032" s="27" t="inlineStr">
        <is>
          <t>Inclusive</t>
        </is>
      </c>
      <c r="K1032" s="29" t="n">
        <v>420</v>
      </c>
      <c r="L1032" s="29" t="n">
        <v>10</v>
      </c>
      <c r="M1032" s="33" t="n">
        <v>1</v>
      </c>
      <c r="N1032" s="27" t="inlineStr">
        <is>
          <t>Yes</t>
        </is>
      </c>
      <c r="O1032" s="29" t="n">
        <v>0</v>
      </c>
      <c r="P1032" s="30" t="n">
        <v>450</v>
      </c>
      <c r="Q1032" s="31" t="inlineStr">
        <is>
          <t>In Stock</t>
        </is>
      </c>
      <c r="R1032" s="27" t="n"/>
      <c r="S1032" s="27" t="n"/>
      <c r="T1032" s="27" t="n"/>
      <c r="U1032" s="27" t="n"/>
      <c r="V1032" s="27" t="n"/>
      <c r="W1032" s="27" t="n"/>
      <c r="X1032" s="27" t="n"/>
      <c r="Y1032" s="27" t="n"/>
      <c r="Z1032" s="27" t="n"/>
    </row>
    <row r="1033" ht="12.5" customHeight="1" s="85">
      <c r="A1033" s="27" t="inlineStr">
        <is>
          <t>SMILEY BALL</t>
        </is>
      </c>
      <c r="B1033" s="27" t="n"/>
      <c r="C1033" s="27" t="inlineStr">
        <is>
          <t>Stationery</t>
        </is>
      </c>
      <c r="D1033" s="28" t="inlineStr">
        <is>
          <t>367803492548</t>
        </is>
      </c>
      <c r="E1033" s="27" t="n"/>
      <c r="F1033" s="29" t="n">
        <v>0</v>
      </c>
      <c r="G1033" s="29" t="n">
        <v>20</v>
      </c>
      <c r="H1033" s="27" t="inlineStr">
        <is>
          <t>Exclusive</t>
        </is>
      </c>
      <c r="I1033" s="29" t="n">
        <v>10</v>
      </c>
      <c r="J1033" s="27" t="inlineStr">
        <is>
          <t>Exclusive</t>
        </is>
      </c>
      <c r="K1033" s="29" t="n">
        <v>25</v>
      </c>
      <c r="L1033" s="29" t="n">
        <v>24</v>
      </c>
      <c r="M1033" s="27" t="n"/>
      <c r="N1033" s="27" t="inlineStr">
        <is>
          <t>Yes</t>
        </is>
      </c>
      <c r="O1033" s="29" t="n">
        <v>0</v>
      </c>
      <c r="P1033" s="30" t="n">
        <v>450</v>
      </c>
      <c r="Q1033" s="31" t="inlineStr">
        <is>
          <t>In Stock</t>
        </is>
      </c>
      <c r="R1033" s="27" t="n"/>
      <c r="S1033" s="27" t="n"/>
      <c r="T1033" s="27" t="n"/>
      <c r="U1033" s="27" t="n"/>
      <c r="V1033" s="27" t="n"/>
      <c r="W1033" s="27" t="n"/>
      <c r="X1033" s="27" t="n"/>
      <c r="Y1033" s="27" t="n"/>
      <c r="Z1033" s="27" t="n"/>
    </row>
    <row r="1034" ht="12.5" customHeight="1" s="85">
      <c r="A1034" s="27" t="inlineStr">
        <is>
          <t>SMOKELESS CANDLES</t>
        </is>
      </c>
      <c r="B1034" s="27" t="n"/>
      <c r="C1034" s="27" t="inlineStr">
        <is>
          <t>Church Articles</t>
        </is>
      </c>
      <c r="D1034" s="28" t="inlineStr">
        <is>
          <t>324506019821</t>
        </is>
      </c>
      <c r="E1034" s="27" t="n"/>
      <c r="F1034" s="29" t="n">
        <v>0</v>
      </c>
      <c r="G1034" s="29" t="n">
        <v>30</v>
      </c>
      <c r="H1034" s="27" t="inlineStr">
        <is>
          <t>Exclusive</t>
        </is>
      </c>
      <c r="I1034" s="29" t="n">
        <v>20</v>
      </c>
      <c r="J1034" s="27" t="inlineStr">
        <is>
          <t>Exclusive</t>
        </is>
      </c>
      <c r="K1034" s="29" t="n">
        <v>70</v>
      </c>
      <c r="L1034" s="29" t="n">
        <v>2</v>
      </c>
      <c r="M1034" s="27" t="n"/>
      <c r="N1034" s="27" t="inlineStr">
        <is>
          <t>Yes</t>
        </is>
      </c>
      <c r="O1034" s="29" t="n">
        <v>0</v>
      </c>
      <c r="P1034" s="30" t="n">
        <v>450</v>
      </c>
      <c r="Q1034" s="31" t="inlineStr">
        <is>
          <t>In Stock</t>
        </is>
      </c>
      <c r="R1034" s="27" t="n"/>
      <c r="S1034" s="27" t="n"/>
      <c r="T1034" s="27" t="n"/>
      <c r="U1034" s="27" t="n"/>
      <c r="V1034" s="27" t="n"/>
      <c r="W1034" s="27" t="n"/>
      <c r="X1034" s="27" t="n"/>
      <c r="Y1034" s="27" t="n"/>
      <c r="Z1034" s="27" t="n"/>
    </row>
    <row r="1035" ht="12.5" customHeight="1" s="85">
      <c r="A1035" s="27" t="inlineStr">
        <is>
          <t>SPICY MIXTURE</t>
        </is>
      </c>
      <c r="B1035" s="27" t="n"/>
      <c r="C1035" s="27" t="inlineStr">
        <is>
          <t>Snacks</t>
        </is>
      </c>
      <c r="D1035" s="28" t="inlineStr">
        <is>
          <t>198961841098</t>
        </is>
      </c>
      <c r="E1035" s="27" t="n"/>
      <c r="F1035" s="29" t="n">
        <v>0</v>
      </c>
      <c r="G1035" s="29" t="n">
        <v>230</v>
      </c>
      <c r="H1035" s="27" t="inlineStr">
        <is>
          <t>Exclusive</t>
        </is>
      </c>
      <c r="I1035" s="29" t="n">
        <v>165</v>
      </c>
      <c r="J1035" s="27" t="inlineStr">
        <is>
          <t>Exclusive</t>
        </is>
      </c>
      <c r="K1035" s="29" t="n">
        <v>230</v>
      </c>
      <c r="L1035" s="29" t="n">
        <v>0</v>
      </c>
      <c r="M1035" s="27" t="n"/>
      <c r="N1035" s="27" t="inlineStr">
        <is>
          <t>Yes</t>
        </is>
      </c>
      <c r="O1035" s="29" t="n">
        <v>0</v>
      </c>
      <c r="P1035" s="30" t="n">
        <v>450</v>
      </c>
      <c r="Q1035" s="31" t="inlineStr">
        <is>
          <t>In Stock</t>
        </is>
      </c>
      <c r="R1035" s="27" t="n"/>
      <c r="S1035" s="27" t="n"/>
      <c r="T1035" s="27" t="n"/>
      <c r="U1035" s="27" t="n"/>
      <c r="V1035" s="27" t="n"/>
      <c r="W1035" s="27" t="n"/>
      <c r="X1035" s="27" t="n"/>
      <c r="Y1035" s="27" t="n"/>
      <c r="Z1035" s="27" t="n"/>
    </row>
    <row r="1036" ht="12.5" customHeight="1" s="85">
      <c r="A1036" s="27" t="inlineStr">
        <is>
          <t>SPIRAL BINDING</t>
        </is>
      </c>
      <c r="B1036" s="27" t="n"/>
      <c r="C1036" s="27" t="inlineStr">
        <is>
          <t>Stationery</t>
        </is>
      </c>
      <c r="D1036" s="32" t="inlineStr">
        <is>
          <t>100386</t>
        </is>
      </c>
      <c r="E1036" s="27" t="n"/>
      <c r="F1036" s="29" t="n">
        <v>0</v>
      </c>
      <c r="G1036" s="29" t="n">
        <v>100</v>
      </c>
      <c r="H1036" s="27" t="inlineStr">
        <is>
          <t>Inclusive</t>
        </is>
      </c>
      <c r="I1036" s="29" t="n">
        <v>30</v>
      </c>
      <c r="J1036" s="27" t="inlineStr">
        <is>
          <t>Inclusive</t>
        </is>
      </c>
      <c r="K1036" s="29" t="n">
        <v>100</v>
      </c>
      <c r="L1036" s="29" t="n">
        <v>18</v>
      </c>
      <c r="M1036" s="33" t="n">
        <v>1</v>
      </c>
      <c r="N1036" s="27" t="inlineStr">
        <is>
          <t>No</t>
        </is>
      </c>
      <c r="O1036" s="29" t="n">
        <v>0</v>
      </c>
      <c r="P1036" s="30" t="n">
        <v>450</v>
      </c>
      <c r="Q1036" s="31" t="inlineStr">
        <is>
          <t>In Stock</t>
        </is>
      </c>
      <c r="R1036" s="27" t="n"/>
      <c r="S1036" s="27" t="n"/>
      <c r="T1036" s="27" t="n"/>
      <c r="U1036" s="27" t="n"/>
      <c r="V1036" s="27" t="n"/>
      <c r="W1036" s="27" t="n"/>
      <c r="X1036" s="27" t="n"/>
      <c r="Y1036" s="27" t="n"/>
      <c r="Z1036" s="27" t="n"/>
    </row>
    <row r="1037" ht="12.5" customHeight="1" s="85">
      <c r="A1037" s="27" t="inlineStr">
        <is>
          <t>SPRITE 200GM</t>
        </is>
      </c>
      <c r="B1037" s="27" t="n"/>
      <c r="C1037" s="27" t="inlineStr">
        <is>
          <t>Beverages</t>
        </is>
      </c>
      <c r="D1037" s="28" t="inlineStr">
        <is>
          <t>8901764032912</t>
        </is>
      </c>
      <c r="E1037" s="27" t="n"/>
      <c r="F1037" s="29" t="n">
        <v>0</v>
      </c>
      <c r="G1037" s="29" t="n">
        <v>20</v>
      </c>
      <c r="H1037" s="27" t="inlineStr">
        <is>
          <t>Exclusive</t>
        </is>
      </c>
      <c r="I1037" s="29" t="n">
        <v>18</v>
      </c>
      <c r="J1037" s="27" t="inlineStr">
        <is>
          <t>Exclusive</t>
        </is>
      </c>
      <c r="K1037" s="29" t="n">
        <v>20</v>
      </c>
      <c r="L1037" s="29" t="n">
        <v>2</v>
      </c>
      <c r="M1037" s="33" t="n">
        <v>1</v>
      </c>
      <c r="N1037" s="27" t="inlineStr">
        <is>
          <t>Yes</t>
        </is>
      </c>
      <c r="O1037" s="29" t="n">
        <v>0</v>
      </c>
      <c r="P1037" s="30" t="n">
        <v>450</v>
      </c>
      <c r="Q1037" s="31" t="inlineStr">
        <is>
          <t>In Stock</t>
        </is>
      </c>
      <c r="R1037" s="27" t="n"/>
      <c r="S1037" s="27" t="n"/>
      <c r="T1037" s="27" t="n"/>
      <c r="U1037" s="27" t="n"/>
      <c r="V1037" s="27" t="n"/>
      <c r="W1037" s="27" t="n"/>
      <c r="X1037" s="27" t="n"/>
      <c r="Y1037" s="27" t="n"/>
      <c r="Z1037" s="27" t="n"/>
    </row>
    <row r="1038" ht="12.5" customHeight="1" s="85">
      <c r="A1038" s="27" t="inlineStr">
        <is>
          <t>SQUASH - FRUITOMANS MANGO CRUSH</t>
        </is>
      </c>
      <c r="B1038" s="27" t="n"/>
      <c r="C1038" s="27" t="inlineStr">
        <is>
          <t>Beverages</t>
        </is>
      </c>
      <c r="D1038" s="28" t="inlineStr">
        <is>
          <t>8901493220352</t>
        </is>
      </c>
      <c r="E1038" s="27" t="n"/>
      <c r="F1038" s="29" t="n">
        <v>0</v>
      </c>
      <c r="G1038" s="29" t="n">
        <v>180</v>
      </c>
      <c r="H1038" s="27" t="inlineStr">
        <is>
          <t>Exclusive</t>
        </is>
      </c>
      <c r="I1038" s="29" t="n">
        <v>136</v>
      </c>
      <c r="J1038" s="27" t="inlineStr">
        <is>
          <t>Exclusive</t>
        </is>
      </c>
      <c r="K1038" s="29" t="n">
        <v>180</v>
      </c>
      <c r="L1038" s="29" t="n">
        <v>0</v>
      </c>
      <c r="M1038" s="33" t="n">
        <v>1</v>
      </c>
      <c r="N1038" s="27" t="inlineStr">
        <is>
          <t>Yes</t>
        </is>
      </c>
      <c r="O1038" s="29" t="n">
        <v>0</v>
      </c>
      <c r="P1038" s="30" t="n">
        <v>450</v>
      </c>
      <c r="Q1038" s="31" t="inlineStr">
        <is>
          <t>In Stock</t>
        </is>
      </c>
      <c r="R1038" s="27" t="n"/>
      <c r="S1038" s="27" t="n"/>
      <c r="T1038" s="27" t="n"/>
      <c r="U1038" s="27" t="n"/>
      <c r="V1038" s="27" t="n"/>
      <c r="W1038" s="27" t="n"/>
      <c r="X1038" s="27" t="n"/>
      <c r="Y1038" s="27" t="n"/>
      <c r="Z1038" s="27" t="n"/>
    </row>
    <row r="1039" ht="12.5" customHeight="1" s="85">
      <c r="A1039" s="27" t="inlineStr">
        <is>
          <t>SQUASH - FRUITOMANS NANNARI</t>
        </is>
      </c>
      <c r="B1039" s="27" t="n"/>
      <c r="C1039" s="27" t="inlineStr">
        <is>
          <t>Beverages</t>
        </is>
      </c>
      <c r="D1039" s="28" t="inlineStr">
        <is>
          <t>8901493506555</t>
        </is>
      </c>
      <c r="E1039" s="27" t="n"/>
      <c r="F1039" s="29" t="n">
        <v>0</v>
      </c>
      <c r="G1039" s="29" t="n">
        <v>180</v>
      </c>
      <c r="H1039" s="27" t="inlineStr">
        <is>
          <t>Exclusive</t>
        </is>
      </c>
      <c r="I1039" s="29" t="n">
        <v>135</v>
      </c>
      <c r="J1039" s="27" t="inlineStr">
        <is>
          <t>Exclusive</t>
        </is>
      </c>
      <c r="K1039" s="29" t="n">
        <v>180</v>
      </c>
      <c r="L1039" s="29" t="n">
        <v>0</v>
      </c>
      <c r="M1039" s="33" t="n">
        <v>1</v>
      </c>
      <c r="N1039" s="27" t="inlineStr">
        <is>
          <t>Yes</t>
        </is>
      </c>
      <c r="O1039" s="29" t="n">
        <v>0</v>
      </c>
      <c r="P1039" s="30" t="n">
        <v>450</v>
      </c>
      <c r="Q1039" s="31" t="inlineStr">
        <is>
          <t>In Stock</t>
        </is>
      </c>
      <c r="R1039" s="27" t="n"/>
      <c r="S1039" s="27" t="n"/>
      <c r="T1039" s="27" t="n"/>
      <c r="U1039" s="27" t="n"/>
      <c r="V1039" s="27" t="n"/>
      <c r="W1039" s="27" t="n"/>
      <c r="X1039" s="27" t="n"/>
      <c r="Y1039" s="27" t="n"/>
      <c r="Z1039" s="27" t="n"/>
    </row>
    <row r="1040" ht="12.5" customHeight="1" s="85">
      <c r="A1040" s="27" t="inlineStr">
        <is>
          <t>SQUASH - FRUITOMANS PASSION FRUIT SQUASH</t>
        </is>
      </c>
      <c r="B1040" s="27" t="n"/>
      <c r="C1040" s="27" t="inlineStr">
        <is>
          <t>Beverages</t>
        </is>
      </c>
      <c r="D1040" s="28" t="inlineStr">
        <is>
          <t>8901493025551</t>
        </is>
      </c>
      <c r="E1040" s="27" t="n"/>
      <c r="F1040" s="29" t="n">
        <v>0</v>
      </c>
      <c r="G1040" s="29" t="n">
        <v>260</v>
      </c>
      <c r="H1040" s="27" t="inlineStr">
        <is>
          <t>Exclusive</t>
        </is>
      </c>
      <c r="I1040" s="29" t="n">
        <v>230</v>
      </c>
      <c r="J1040" s="27" t="inlineStr">
        <is>
          <t>Exclusive</t>
        </is>
      </c>
      <c r="K1040" s="29" t="n">
        <v>290</v>
      </c>
      <c r="L1040" s="29" t="n">
        <v>0</v>
      </c>
      <c r="M1040" s="33" t="n">
        <v>1</v>
      </c>
      <c r="N1040" s="27" t="inlineStr">
        <is>
          <t>Yes</t>
        </is>
      </c>
      <c r="O1040" s="29" t="n">
        <v>0</v>
      </c>
      <c r="P1040" s="30" t="n">
        <v>450</v>
      </c>
      <c r="Q1040" s="31" t="inlineStr">
        <is>
          <t>In Stock</t>
        </is>
      </c>
      <c r="R1040" s="27" t="n"/>
      <c r="S1040" s="27" t="n"/>
      <c r="T1040" s="27" t="n"/>
      <c r="U1040" s="27" t="n"/>
      <c r="V1040" s="27" t="n"/>
      <c r="W1040" s="27" t="n"/>
      <c r="X1040" s="27" t="n"/>
      <c r="Y1040" s="27" t="n"/>
      <c r="Z1040" s="27" t="n"/>
    </row>
    <row r="1041" ht="12.5" customHeight="1" s="85">
      <c r="A1041" s="27" t="inlineStr">
        <is>
          <t>SQUASH - FRUITOMANS PINEAPPLE CRUSH</t>
        </is>
      </c>
      <c r="B1041" s="27" t="n"/>
      <c r="C1041" s="27" t="inlineStr">
        <is>
          <t>Beverages</t>
        </is>
      </c>
      <c r="D1041" s="28" t="inlineStr">
        <is>
          <t>8901493220154</t>
        </is>
      </c>
      <c r="E1041" s="27" t="n"/>
      <c r="F1041" s="29" t="n">
        <v>0</v>
      </c>
      <c r="G1041" s="29" t="n">
        <v>180</v>
      </c>
      <c r="H1041" s="27" t="inlineStr">
        <is>
          <t>Exclusive</t>
        </is>
      </c>
      <c r="I1041" s="29" t="n">
        <v>136</v>
      </c>
      <c r="J1041" s="27" t="inlineStr">
        <is>
          <t>Exclusive</t>
        </is>
      </c>
      <c r="K1041" s="29" t="n">
        <v>180</v>
      </c>
      <c r="L1041" s="29" t="n">
        <v>1</v>
      </c>
      <c r="M1041" s="33" t="n">
        <v>1</v>
      </c>
      <c r="N1041" s="27" t="inlineStr">
        <is>
          <t>Yes</t>
        </is>
      </c>
      <c r="O1041" s="29" t="n">
        <v>0</v>
      </c>
      <c r="P1041" s="30" t="n">
        <v>450</v>
      </c>
      <c r="Q1041" s="31" t="inlineStr">
        <is>
          <t>In Stock</t>
        </is>
      </c>
      <c r="R1041" s="27" t="n"/>
      <c r="S1041" s="27" t="n"/>
      <c r="T1041" s="27" t="n"/>
      <c r="U1041" s="27" t="n"/>
      <c r="V1041" s="27" t="n"/>
      <c r="W1041" s="27" t="n"/>
      <c r="X1041" s="27" t="n"/>
      <c r="Y1041" s="27" t="n"/>
      <c r="Z1041" s="27" t="n"/>
    </row>
    <row r="1042" ht="12.5" customHeight="1" s="85">
      <c r="A1042" s="27" t="inlineStr">
        <is>
          <t>S S RAJAHOGAM RICE 5KG</t>
        </is>
      </c>
      <c r="B1042" s="27" t="n"/>
      <c r="C1042" s="27" t="inlineStr">
        <is>
          <t>Rice Items</t>
        </is>
      </c>
      <c r="D1042" s="28" t="inlineStr">
        <is>
          <t>8900757764397</t>
        </is>
      </c>
      <c r="E1042" s="27" t="n"/>
      <c r="F1042" s="29" t="n">
        <v>0</v>
      </c>
      <c r="G1042" s="29" t="n">
        <v>600</v>
      </c>
      <c r="H1042" s="27" t="inlineStr">
        <is>
          <t>Exclusive</t>
        </is>
      </c>
      <c r="I1042" s="29" t="n">
        <v>428.57</v>
      </c>
      <c r="J1042" s="27" t="inlineStr">
        <is>
          <t>Exclusive</t>
        </is>
      </c>
      <c r="K1042" s="29" t="n">
        <v>600</v>
      </c>
      <c r="L1042" s="29" t="n">
        <v>8</v>
      </c>
      <c r="M1042" s="27" t="n"/>
      <c r="N1042" s="27" t="inlineStr">
        <is>
          <t>Yes</t>
        </is>
      </c>
      <c r="O1042" s="29" t="n">
        <v>0</v>
      </c>
      <c r="P1042" s="30" t="n">
        <v>450</v>
      </c>
      <c r="Q1042" s="31" t="inlineStr">
        <is>
          <t>In Stock</t>
        </is>
      </c>
      <c r="R1042" s="27" t="n"/>
      <c r="S1042" s="27" t="n"/>
      <c r="T1042" s="27" t="n"/>
      <c r="U1042" s="27" t="n"/>
      <c r="V1042" s="27" t="n"/>
      <c r="W1042" s="27" t="n"/>
      <c r="X1042" s="27" t="n"/>
      <c r="Y1042" s="27" t="n"/>
      <c r="Z1042" s="27" t="n"/>
    </row>
    <row r="1043" ht="12.5" customHeight="1" s="85">
      <c r="A1043" s="27" t="inlineStr">
        <is>
          <t>SS SEERAGA SAMBA RICE 1KG</t>
        </is>
      </c>
      <c r="B1043" s="27" t="n"/>
      <c r="C1043" s="27" t="inlineStr">
        <is>
          <t>Rice Items</t>
        </is>
      </c>
      <c r="D1043" s="28" t="inlineStr">
        <is>
          <t>8890013077609</t>
        </is>
      </c>
      <c r="E1043" s="27" t="n"/>
      <c r="F1043" s="29" t="n">
        <v>0</v>
      </c>
      <c r="G1043" s="29" t="n">
        <v>245</v>
      </c>
      <c r="H1043" s="27" t="inlineStr">
        <is>
          <t>Exclusive</t>
        </is>
      </c>
      <c r="I1043" s="29" t="n">
        <v>194.29</v>
      </c>
      <c r="J1043" s="27" t="inlineStr">
        <is>
          <t>Exclusive</t>
        </is>
      </c>
      <c r="K1043" s="29" t="n">
        <v>350</v>
      </c>
      <c r="L1043" s="29" t="n">
        <v>0</v>
      </c>
      <c r="M1043" s="27" t="n"/>
      <c r="N1043" s="27" t="inlineStr">
        <is>
          <t>Yes</t>
        </is>
      </c>
      <c r="O1043" s="29" t="n">
        <v>0</v>
      </c>
      <c r="P1043" s="30" t="n">
        <v>450</v>
      </c>
      <c r="Q1043" s="31" t="inlineStr">
        <is>
          <t>In Stock</t>
        </is>
      </c>
      <c r="R1043" s="27" t="n"/>
      <c r="S1043" s="27" t="n"/>
      <c r="T1043" s="27" t="n"/>
      <c r="U1043" s="27" t="n"/>
      <c r="V1043" s="27" t="n"/>
      <c r="W1043" s="27" t="n"/>
      <c r="X1043" s="27" t="n"/>
      <c r="Y1043" s="27" t="n"/>
      <c r="Z1043" s="27" t="n"/>
    </row>
    <row r="1044" ht="12.5" customHeight="1" s="85">
      <c r="A1044" s="27" t="inlineStr">
        <is>
          <t>STAND CHIRAVA</t>
        </is>
      </c>
      <c r="B1044" s="27" t="n"/>
      <c r="C1044" s="27" t="inlineStr">
        <is>
          <t>Kitchen Utensils</t>
        </is>
      </c>
      <c r="D1044" s="28" t="inlineStr">
        <is>
          <t>486316486932</t>
        </is>
      </c>
      <c r="E1044" s="27" t="n"/>
      <c r="F1044" s="29" t="n">
        <v>0</v>
      </c>
      <c r="G1044" s="29" t="n">
        <v>380</v>
      </c>
      <c r="H1044" s="27" t="inlineStr">
        <is>
          <t>Inclusive</t>
        </is>
      </c>
      <c r="I1044" s="29" t="n">
        <v>300</v>
      </c>
      <c r="J1044" s="27" t="inlineStr">
        <is>
          <t>Inclusive</t>
        </is>
      </c>
      <c r="K1044" s="29" t="n">
        <v>380</v>
      </c>
      <c r="L1044" s="29" t="n">
        <v>0</v>
      </c>
      <c r="M1044" s="33" t="n">
        <v>1</v>
      </c>
      <c r="N1044" s="27" t="inlineStr">
        <is>
          <t>Yes</t>
        </is>
      </c>
      <c r="O1044" s="29" t="n">
        <v>0</v>
      </c>
      <c r="P1044" s="30" t="n">
        <v>450</v>
      </c>
      <c r="Q1044" s="31" t="inlineStr">
        <is>
          <t>In Stock</t>
        </is>
      </c>
      <c r="R1044" s="27" t="n"/>
      <c r="S1044" s="27" t="n"/>
      <c r="T1044" s="27" t="n"/>
      <c r="U1044" s="27" t="n"/>
      <c r="V1044" s="27" t="n"/>
      <c r="W1044" s="27" t="n"/>
      <c r="X1044" s="27" t="n"/>
      <c r="Y1044" s="27" t="n"/>
      <c r="Z1044" s="27" t="n"/>
    </row>
    <row r="1045" ht="12.5" customHeight="1" s="85">
      <c r="A1045" s="27" t="inlineStr">
        <is>
          <t>STAR 107</t>
        </is>
      </c>
      <c r="B1045" s="27" t="n"/>
      <c r="C1045" s="27" t="inlineStr">
        <is>
          <t>Church Articles</t>
        </is>
      </c>
      <c r="D1045" s="28" t="inlineStr">
        <is>
          <t>52116270763</t>
        </is>
      </c>
      <c r="E1045" s="27" t="n"/>
      <c r="F1045" s="29" t="n">
        <v>0</v>
      </c>
      <c r="G1045" s="29" t="n">
        <v>260</v>
      </c>
      <c r="H1045" s="27" t="inlineStr">
        <is>
          <t>Inclusive</t>
        </is>
      </c>
      <c r="I1045" s="29" t="n">
        <v>210</v>
      </c>
      <c r="J1045" s="27" t="inlineStr">
        <is>
          <t>Inclusive</t>
        </is>
      </c>
      <c r="K1045" s="29" t="n">
        <v>260</v>
      </c>
      <c r="L1045" s="29" t="n">
        <v>0</v>
      </c>
      <c r="M1045" s="33" t="n">
        <v>1</v>
      </c>
      <c r="N1045" s="27" t="inlineStr">
        <is>
          <t>Yes</t>
        </is>
      </c>
      <c r="O1045" s="29" t="n">
        <v>0</v>
      </c>
      <c r="P1045" s="30" t="n">
        <v>450</v>
      </c>
      <c r="Q1045" s="31" t="inlineStr">
        <is>
          <t>In Stock</t>
        </is>
      </c>
      <c r="R1045" s="27" t="n"/>
      <c r="S1045" s="27" t="n"/>
      <c r="T1045" s="27" t="n"/>
      <c r="U1045" s="27" t="n"/>
      <c r="V1045" s="27" t="n"/>
      <c r="W1045" s="27" t="n"/>
      <c r="X1045" s="27" t="n"/>
      <c r="Y1045" s="27" t="n"/>
      <c r="Z1045" s="27" t="n"/>
    </row>
    <row r="1046" ht="12.5" customHeight="1" s="85">
      <c r="A1046" s="27" t="inlineStr">
        <is>
          <t>STAR 118</t>
        </is>
      </c>
      <c r="B1046" s="27" t="n"/>
      <c r="C1046" s="27" t="inlineStr">
        <is>
          <t>Church Articles</t>
        </is>
      </c>
      <c r="D1046" s="28" t="inlineStr">
        <is>
          <t>865298230954</t>
        </is>
      </c>
      <c r="E1046" s="27" t="n"/>
      <c r="F1046" s="29" t="n">
        <v>0</v>
      </c>
      <c r="G1046" s="29" t="n">
        <v>180</v>
      </c>
      <c r="H1046" s="27" t="inlineStr">
        <is>
          <t>Inclusive</t>
        </is>
      </c>
      <c r="I1046" s="29" t="n">
        <v>130</v>
      </c>
      <c r="J1046" s="27" t="inlineStr">
        <is>
          <t>Inclusive</t>
        </is>
      </c>
      <c r="K1046" s="29" t="n">
        <v>0</v>
      </c>
      <c r="L1046" s="29" t="n">
        <v>5</v>
      </c>
      <c r="M1046" s="33" t="n">
        <v>1</v>
      </c>
      <c r="N1046" s="27" t="inlineStr">
        <is>
          <t>Yes</t>
        </is>
      </c>
      <c r="O1046" s="29" t="n">
        <v>0</v>
      </c>
      <c r="P1046" s="30" t="n">
        <v>450</v>
      </c>
      <c r="Q1046" s="31" t="inlineStr">
        <is>
          <t>In Stock</t>
        </is>
      </c>
      <c r="R1046" s="27" t="n"/>
      <c r="S1046" s="27" t="n"/>
      <c r="T1046" s="27" t="n"/>
      <c r="U1046" s="27" t="n"/>
      <c r="V1046" s="27" t="n"/>
      <c r="W1046" s="27" t="n"/>
      <c r="X1046" s="27" t="n"/>
      <c r="Y1046" s="27" t="n"/>
      <c r="Z1046" s="27" t="n"/>
    </row>
    <row r="1047" ht="12.5" customHeight="1" s="85">
      <c r="A1047" s="27" t="inlineStr">
        <is>
          <t>STAR 129</t>
        </is>
      </c>
      <c r="B1047" s="27" t="n"/>
      <c r="C1047" s="27" t="inlineStr">
        <is>
          <t>Church Articles</t>
        </is>
      </c>
      <c r="D1047" s="28" t="inlineStr">
        <is>
          <t>762984064363</t>
        </is>
      </c>
      <c r="E1047" s="27" t="n"/>
      <c r="F1047" s="29" t="n">
        <v>0</v>
      </c>
      <c r="G1047" s="29" t="n">
        <v>260</v>
      </c>
      <c r="H1047" s="27" t="inlineStr">
        <is>
          <t>Inclusive</t>
        </is>
      </c>
      <c r="I1047" s="29" t="n">
        <v>210</v>
      </c>
      <c r="J1047" s="27" t="inlineStr">
        <is>
          <t>Inclusive</t>
        </is>
      </c>
      <c r="K1047" s="29" t="n">
        <v>270</v>
      </c>
      <c r="L1047" s="29" t="n">
        <v>0</v>
      </c>
      <c r="M1047" s="33" t="n">
        <v>1</v>
      </c>
      <c r="N1047" s="27" t="inlineStr">
        <is>
          <t>Yes</t>
        </is>
      </c>
      <c r="O1047" s="29" t="n">
        <v>0</v>
      </c>
      <c r="P1047" s="30" t="n">
        <v>450</v>
      </c>
      <c r="Q1047" s="31" t="inlineStr">
        <is>
          <t>In Stock</t>
        </is>
      </c>
      <c r="R1047" s="27" t="n"/>
      <c r="S1047" s="27" t="n"/>
      <c r="T1047" s="27" t="n"/>
      <c r="U1047" s="27" t="n"/>
      <c r="V1047" s="27" t="n"/>
      <c r="W1047" s="27" t="n"/>
      <c r="X1047" s="27" t="n"/>
      <c r="Y1047" s="27" t="n"/>
      <c r="Z1047" s="27" t="n"/>
    </row>
    <row r="1048" ht="12.5" customHeight="1" s="85">
      <c r="A1048" s="27" t="inlineStr">
        <is>
          <t>STAR 134</t>
        </is>
      </c>
      <c r="B1048" s="27" t="n"/>
      <c r="C1048" s="27" t="inlineStr">
        <is>
          <t>Church Articles</t>
        </is>
      </c>
      <c r="D1048" s="28" t="inlineStr">
        <is>
          <t>824008989981</t>
        </is>
      </c>
      <c r="E1048" s="27" t="n"/>
      <c r="F1048" s="29" t="n">
        <v>0</v>
      </c>
      <c r="G1048" s="29" t="n">
        <v>230</v>
      </c>
      <c r="H1048" s="27" t="inlineStr">
        <is>
          <t>Inclusive</t>
        </is>
      </c>
      <c r="I1048" s="29" t="n">
        <v>180</v>
      </c>
      <c r="J1048" s="27" t="inlineStr">
        <is>
          <t>Inclusive</t>
        </is>
      </c>
      <c r="K1048" s="29" t="n">
        <v>230</v>
      </c>
      <c r="L1048" s="29" t="n">
        <v>6</v>
      </c>
      <c r="M1048" s="33" t="n">
        <v>1</v>
      </c>
      <c r="N1048" s="27" t="inlineStr">
        <is>
          <t>Yes</t>
        </is>
      </c>
      <c r="O1048" s="29" t="n">
        <v>0</v>
      </c>
      <c r="P1048" s="30" t="n">
        <v>450</v>
      </c>
      <c r="Q1048" s="31" t="inlineStr">
        <is>
          <t>In Stock</t>
        </is>
      </c>
      <c r="R1048" s="27" t="n"/>
      <c r="S1048" s="27" t="n"/>
      <c r="T1048" s="27" t="n"/>
      <c r="U1048" s="27" t="n"/>
      <c r="V1048" s="27" t="n"/>
      <c r="W1048" s="27" t="n"/>
      <c r="X1048" s="27" t="n"/>
      <c r="Y1048" s="27" t="n"/>
      <c r="Z1048" s="27" t="n"/>
    </row>
    <row r="1049" ht="12.5" customHeight="1" s="85">
      <c r="A1049" s="27" t="inlineStr">
        <is>
          <t>STAR 146</t>
        </is>
      </c>
      <c r="B1049" s="27" t="n"/>
      <c r="C1049" s="27" t="inlineStr">
        <is>
          <t>Church Articles</t>
        </is>
      </c>
      <c r="D1049" s="28" t="inlineStr">
        <is>
          <t>170798288962</t>
        </is>
      </c>
      <c r="E1049" s="27" t="n"/>
      <c r="F1049" s="29" t="n">
        <v>0</v>
      </c>
      <c r="G1049" s="29" t="n">
        <v>230</v>
      </c>
      <c r="H1049" s="27" t="inlineStr">
        <is>
          <t>Inclusive</t>
        </is>
      </c>
      <c r="I1049" s="29" t="n">
        <v>180</v>
      </c>
      <c r="J1049" s="27" t="inlineStr">
        <is>
          <t>Inclusive</t>
        </is>
      </c>
      <c r="K1049" s="29" t="n">
        <v>230</v>
      </c>
      <c r="L1049" s="29" t="n">
        <v>5</v>
      </c>
      <c r="M1049" s="33" t="n">
        <v>1</v>
      </c>
      <c r="N1049" s="27" t="inlineStr">
        <is>
          <t>Yes</t>
        </is>
      </c>
      <c r="O1049" s="29" t="n">
        <v>0</v>
      </c>
      <c r="P1049" s="30" t="n">
        <v>450</v>
      </c>
      <c r="Q1049" s="31" t="inlineStr">
        <is>
          <t>In Stock</t>
        </is>
      </c>
      <c r="R1049" s="27" t="n"/>
      <c r="S1049" s="27" t="n"/>
      <c r="T1049" s="27" t="n"/>
      <c r="U1049" s="27" t="n"/>
      <c r="V1049" s="27" t="n"/>
      <c r="W1049" s="27" t="n"/>
      <c r="X1049" s="27" t="n"/>
      <c r="Y1049" s="27" t="n"/>
      <c r="Z1049" s="27" t="n"/>
    </row>
    <row r="1050" ht="12.5" customHeight="1" s="85">
      <c r="A1050" s="27" t="inlineStr">
        <is>
          <t>STAR 149</t>
        </is>
      </c>
      <c r="B1050" s="27" t="n"/>
      <c r="C1050" s="27" t="inlineStr">
        <is>
          <t>Church Articles</t>
        </is>
      </c>
      <c r="D1050" s="28" t="inlineStr">
        <is>
          <t>117364290594</t>
        </is>
      </c>
      <c r="E1050" s="27" t="n"/>
      <c r="F1050" s="29" t="n">
        <v>0</v>
      </c>
      <c r="G1050" s="29" t="n">
        <v>260</v>
      </c>
      <c r="H1050" s="27" t="inlineStr">
        <is>
          <t>Inclusive</t>
        </is>
      </c>
      <c r="I1050" s="29" t="n">
        <v>210</v>
      </c>
      <c r="J1050" s="27" t="inlineStr">
        <is>
          <t>Inclusive</t>
        </is>
      </c>
      <c r="K1050" s="29" t="n">
        <v>260</v>
      </c>
      <c r="L1050" s="29" t="n">
        <v>2</v>
      </c>
      <c r="M1050" s="33" t="n">
        <v>1</v>
      </c>
      <c r="N1050" s="27" t="inlineStr">
        <is>
          <t>Yes</t>
        </is>
      </c>
      <c r="O1050" s="29" t="n">
        <v>0</v>
      </c>
      <c r="P1050" s="30" t="n">
        <v>450</v>
      </c>
      <c r="Q1050" s="31" t="inlineStr">
        <is>
          <t>In Stock</t>
        </is>
      </c>
      <c r="R1050" s="27" t="n"/>
      <c r="S1050" s="27" t="n"/>
      <c r="T1050" s="27" t="n"/>
      <c r="U1050" s="27" t="n"/>
      <c r="V1050" s="27" t="n"/>
      <c r="W1050" s="27" t="n"/>
      <c r="X1050" s="27" t="n"/>
      <c r="Y1050" s="27" t="n"/>
      <c r="Z1050" s="27" t="n"/>
    </row>
    <row r="1051" ht="12.5" customHeight="1" s="85">
      <c r="A1051" s="27" t="inlineStr">
        <is>
          <t>STAR - 721</t>
        </is>
      </c>
      <c r="B1051" s="27" t="n"/>
      <c r="C1051" s="27" t="inlineStr">
        <is>
          <t>Church Articles</t>
        </is>
      </c>
      <c r="D1051" s="28" t="inlineStr">
        <is>
          <t>837544576508</t>
        </is>
      </c>
      <c r="E1051" s="27" t="n"/>
      <c r="F1051" s="29" t="n">
        <v>0</v>
      </c>
      <c r="G1051" s="29" t="n">
        <v>180</v>
      </c>
      <c r="H1051" s="27" t="inlineStr">
        <is>
          <t>Inclusive</t>
        </is>
      </c>
      <c r="I1051" s="29" t="n">
        <v>130</v>
      </c>
      <c r="J1051" s="27" t="inlineStr">
        <is>
          <t>Inclusive</t>
        </is>
      </c>
      <c r="K1051" s="29" t="n">
        <v>180</v>
      </c>
      <c r="L1051" s="29" t="n">
        <v>2</v>
      </c>
      <c r="M1051" s="33" t="n">
        <v>1</v>
      </c>
      <c r="N1051" s="27" t="inlineStr">
        <is>
          <t>Yes</t>
        </is>
      </c>
      <c r="O1051" s="29" t="n">
        <v>0</v>
      </c>
      <c r="P1051" s="30" t="n">
        <v>450</v>
      </c>
      <c r="Q1051" s="31" t="inlineStr">
        <is>
          <t>In Stock</t>
        </is>
      </c>
      <c r="R1051" s="27" t="n"/>
      <c r="S1051" s="27" t="n"/>
      <c r="T1051" s="27" t="n"/>
      <c r="U1051" s="27" t="n"/>
      <c r="V1051" s="27" t="n"/>
      <c r="W1051" s="27" t="n"/>
      <c r="X1051" s="27" t="n"/>
      <c r="Y1051" s="27" t="n"/>
      <c r="Z1051" s="27" t="n"/>
    </row>
    <row r="1052" ht="12.5" customHeight="1" s="85">
      <c r="A1052" s="27" t="inlineStr">
        <is>
          <t>STAR - 731</t>
        </is>
      </c>
      <c r="B1052" s="27" t="n"/>
      <c r="C1052" s="27" t="inlineStr">
        <is>
          <t>Church Articles</t>
        </is>
      </c>
      <c r="D1052" s="32" t="inlineStr">
        <is>
          <t>100387</t>
        </is>
      </c>
      <c r="E1052" s="27" t="n"/>
      <c r="F1052" s="29" t="n">
        <v>0</v>
      </c>
      <c r="G1052" s="29" t="n">
        <v>340</v>
      </c>
      <c r="H1052" s="27" t="inlineStr">
        <is>
          <t>Inclusive</t>
        </is>
      </c>
      <c r="I1052" s="29" t="n">
        <v>145</v>
      </c>
      <c r="J1052" s="27" t="inlineStr">
        <is>
          <t>Inclusive</t>
        </is>
      </c>
      <c r="K1052" s="29" t="n">
        <v>340</v>
      </c>
      <c r="L1052" s="29" t="n">
        <v>1</v>
      </c>
      <c r="M1052" s="33" t="n">
        <v>1</v>
      </c>
      <c r="N1052" s="27" t="inlineStr">
        <is>
          <t>Yes</t>
        </is>
      </c>
      <c r="O1052" s="29" t="n">
        <v>0</v>
      </c>
      <c r="P1052" s="30" t="n">
        <v>450</v>
      </c>
      <c r="Q1052" s="31" t="inlineStr">
        <is>
          <t>In Stock</t>
        </is>
      </c>
      <c r="R1052" s="27" t="n"/>
      <c r="S1052" s="27" t="n"/>
      <c r="T1052" s="27" t="n"/>
      <c r="U1052" s="27" t="n"/>
      <c r="V1052" s="27" t="n"/>
      <c r="W1052" s="27" t="n"/>
      <c r="X1052" s="27" t="n"/>
      <c r="Y1052" s="27" t="n"/>
      <c r="Z1052" s="27" t="n"/>
    </row>
    <row r="1053" ht="12.5" customHeight="1" s="85">
      <c r="A1053" s="27" t="inlineStr">
        <is>
          <t>STAR -739</t>
        </is>
      </c>
      <c r="B1053" s="27" t="n"/>
      <c r="C1053" s="27" t="inlineStr">
        <is>
          <t>Church Articles</t>
        </is>
      </c>
      <c r="D1053" s="28" t="inlineStr">
        <is>
          <t>162197035695</t>
        </is>
      </c>
      <c r="E1053" s="27" t="n"/>
      <c r="F1053" s="29" t="n">
        <v>0</v>
      </c>
      <c r="G1053" s="29" t="n">
        <v>135</v>
      </c>
      <c r="H1053" s="27" t="inlineStr">
        <is>
          <t>Inclusive</t>
        </is>
      </c>
      <c r="I1053" s="29" t="n">
        <v>105</v>
      </c>
      <c r="J1053" s="27" t="inlineStr">
        <is>
          <t>Inclusive</t>
        </is>
      </c>
      <c r="K1053" s="29" t="n">
        <v>135</v>
      </c>
      <c r="L1053" s="29" t="n">
        <v>0</v>
      </c>
      <c r="M1053" s="33" t="n">
        <v>1</v>
      </c>
      <c r="N1053" s="27" t="inlineStr">
        <is>
          <t>Yes</t>
        </is>
      </c>
      <c r="O1053" s="29" t="n">
        <v>0</v>
      </c>
      <c r="P1053" s="30" t="n">
        <v>450</v>
      </c>
      <c r="Q1053" s="31" t="inlineStr">
        <is>
          <t>In Stock</t>
        </is>
      </c>
      <c r="R1053" s="27" t="n"/>
      <c r="S1053" s="27" t="n"/>
      <c r="T1053" s="27" t="n"/>
      <c r="U1053" s="27" t="n"/>
      <c r="V1053" s="27" t="n"/>
      <c r="W1053" s="27" t="n"/>
      <c r="X1053" s="27" t="n"/>
      <c r="Y1053" s="27" t="n"/>
      <c r="Z1053" s="27" t="n"/>
    </row>
    <row r="1054" ht="12.5" customHeight="1" s="85">
      <c r="A1054" s="27" t="inlineStr">
        <is>
          <t>STAR - 749</t>
        </is>
      </c>
      <c r="B1054" s="27" t="n"/>
      <c r="C1054" s="27" t="inlineStr">
        <is>
          <t>Church Articles</t>
        </is>
      </c>
      <c r="D1054" s="32" t="inlineStr">
        <is>
          <t>100388</t>
        </is>
      </c>
      <c r="E1054" s="27" t="n"/>
      <c r="F1054" s="29" t="n">
        <v>0</v>
      </c>
      <c r="G1054" s="29" t="n">
        <v>220</v>
      </c>
      <c r="H1054" s="27" t="inlineStr">
        <is>
          <t>Inclusive</t>
        </is>
      </c>
      <c r="I1054" s="29" t="n">
        <v>170</v>
      </c>
      <c r="J1054" s="27" t="inlineStr">
        <is>
          <t>Inclusive</t>
        </is>
      </c>
      <c r="K1054" s="29" t="n">
        <v>220</v>
      </c>
      <c r="L1054" s="29" t="n">
        <v>2</v>
      </c>
      <c r="M1054" s="33" t="n">
        <v>1</v>
      </c>
      <c r="N1054" s="27" t="inlineStr">
        <is>
          <t>Yes</t>
        </is>
      </c>
      <c r="O1054" s="29" t="n">
        <v>0</v>
      </c>
      <c r="P1054" s="30" t="n">
        <v>450</v>
      </c>
      <c r="Q1054" s="31" t="inlineStr">
        <is>
          <t>In Stock</t>
        </is>
      </c>
      <c r="R1054" s="27" t="n"/>
      <c r="S1054" s="27" t="n"/>
      <c r="T1054" s="27" t="n"/>
      <c r="U1054" s="27" t="n"/>
      <c r="V1054" s="27" t="n"/>
      <c r="W1054" s="27" t="n"/>
      <c r="X1054" s="27" t="n"/>
      <c r="Y1054" s="27" t="n"/>
      <c r="Z1054" s="27" t="n"/>
    </row>
    <row r="1055" ht="12.5" customHeight="1" s="85">
      <c r="A1055" s="27" t="inlineStr">
        <is>
          <t>STAR -750</t>
        </is>
      </c>
      <c r="B1055" s="27" t="n"/>
      <c r="C1055" s="27" t="inlineStr">
        <is>
          <t>Church Articles</t>
        </is>
      </c>
      <c r="D1055" s="32" t="inlineStr">
        <is>
          <t>100389</t>
        </is>
      </c>
      <c r="E1055" s="27" t="n"/>
      <c r="F1055" s="29" t="n">
        <v>0</v>
      </c>
      <c r="G1055" s="29" t="n">
        <v>210</v>
      </c>
      <c r="H1055" s="27" t="inlineStr">
        <is>
          <t>Inclusive</t>
        </is>
      </c>
      <c r="I1055" s="29" t="n">
        <v>160</v>
      </c>
      <c r="J1055" s="27" t="inlineStr">
        <is>
          <t>Inclusive</t>
        </is>
      </c>
      <c r="K1055" s="29" t="n">
        <v>210</v>
      </c>
      <c r="L1055" s="29" t="n">
        <v>0</v>
      </c>
      <c r="M1055" s="33" t="n">
        <v>1</v>
      </c>
      <c r="N1055" s="27" t="inlineStr">
        <is>
          <t>Yes</t>
        </is>
      </c>
      <c r="O1055" s="29" t="n">
        <v>0</v>
      </c>
      <c r="P1055" s="30" t="n">
        <v>450</v>
      </c>
      <c r="Q1055" s="31" t="inlineStr">
        <is>
          <t>In Stock</t>
        </is>
      </c>
      <c r="R1055" s="27" t="n"/>
      <c r="S1055" s="27" t="n"/>
      <c r="T1055" s="27" t="n"/>
      <c r="U1055" s="27" t="n"/>
      <c r="V1055" s="27" t="n"/>
      <c r="W1055" s="27" t="n"/>
      <c r="X1055" s="27" t="n"/>
      <c r="Y1055" s="27" t="n"/>
      <c r="Z1055" s="27" t="n"/>
    </row>
    <row r="1056" ht="12.5" customHeight="1" s="85">
      <c r="A1056" s="27" t="inlineStr">
        <is>
          <t>STAR-750</t>
        </is>
      </c>
      <c r="B1056" s="27" t="n"/>
      <c r="C1056" s="27" t="inlineStr">
        <is>
          <t>Church Articles</t>
        </is>
      </c>
      <c r="D1056" s="28" t="inlineStr">
        <is>
          <t>550327286866</t>
        </is>
      </c>
      <c r="E1056" s="27" t="n"/>
      <c r="F1056" s="29" t="n">
        <v>0</v>
      </c>
      <c r="G1056" s="29" t="n">
        <v>370</v>
      </c>
      <c r="H1056" s="27" t="inlineStr">
        <is>
          <t>Inclusive</t>
        </is>
      </c>
      <c r="I1056" s="29" t="n">
        <v>160</v>
      </c>
      <c r="J1056" s="27" t="inlineStr">
        <is>
          <t>Inclusive</t>
        </is>
      </c>
      <c r="K1056" s="29" t="n">
        <v>370</v>
      </c>
      <c r="L1056" s="29" t="n">
        <v>0</v>
      </c>
      <c r="M1056" s="33" t="n">
        <v>1</v>
      </c>
      <c r="N1056" s="27" t="inlineStr">
        <is>
          <t>Yes</t>
        </is>
      </c>
      <c r="O1056" s="29" t="n">
        <v>0</v>
      </c>
      <c r="P1056" s="30" t="n">
        <v>450</v>
      </c>
      <c r="Q1056" s="31" t="inlineStr">
        <is>
          <t>In Stock</t>
        </is>
      </c>
      <c r="R1056" s="27" t="n"/>
      <c r="S1056" s="27" t="n"/>
      <c r="T1056" s="27" t="n"/>
      <c r="U1056" s="27" t="n"/>
      <c r="V1056" s="27" t="n"/>
      <c r="W1056" s="27" t="n"/>
      <c r="X1056" s="27" t="n"/>
      <c r="Y1056" s="27" t="n"/>
      <c r="Z1056" s="27" t="n"/>
    </row>
    <row r="1057" ht="12.5" customHeight="1" s="85">
      <c r="A1057" s="27" t="inlineStr">
        <is>
          <t>STAR DECAOREATION</t>
        </is>
      </c>
      <c r="B1057" s="27" t="n"/>
      <c r="C1057" s="27" t="inlineStr">
        <is>
          <t>Church Articles</t>
        </is>
      </c>
      <c r="D1057" s="32" t="inlineStr">
        <is>
          <t>100390</t>
        </is>
      </c>
      <c r="E1057" s="27" t="n"/>
      <c r="F1057" s="29" t="n">
        <v>0</v>
      </c>
      <c r="G1057" s="29" t="n">
        <v>15</v>
      </c>
      <c r="H1057" s="27" t="inlineStr">
        <is>
          <t>Exclusive</t>
        </is>
      </c>
      <c r="I1057" s="29" t="n">
        <v>12</v>
      </c>
      <c r="J1057" s="27" t="inlineStr">
        <is>
          <t>Exclusive</t>
        </is>
      </c>
      <c r="K1057" s="29" t="n">
        <v>15</v>
      </c>
      <c r="L1057" s="29" t="n">
        <v>0</v>
      </c>
      <c r="M1057" s="33" t="n">
        <v>1</v>
      </c>
      <c r="N1057" s="27" t="inlineStr">
        <is>
          <t>No</t>
        </is>
      </c>
      <c r="O1057" s="29" t="n">
        <v>0</v>
      </c>
      <c r="P1057" s="30" t="n">
        <v>450</v>
      </c>
      <c r="Q1057" s="31" t="inlineStr">
        <is>
          <t>In Stock</t>
        </is>
      </c>
      <c r="R1057" s="27" t="n"/>
      <c r="S1057" s="27" t="n"/>
      <c r="T1057" s="27" t="n"/>
      <c r="U1057" s="27" t="n"/>
      <c r="V1057" s="27" t="n"/>
      <c r="W1057" s="27" t="n"/>
      <c r="X1057" s="27" t="n"/>
      <c r="Y1057" s="27" t="n"/>
      <c r="Z1057" s="27" t="n"/>
    </row>
    <row r="1058" ht="12.5" customHeight="1" s="85">
      <c r="A1058" s="27" t="inlineStr">
        <is>
          <t>STARS &amp; BELLS'</t>
        </is>
      </c>
      <c r="B1058" s="27" t="n"/>
      <c r="C1058" s="27" t="inlineStr">
        <is>
          <t>Church Articles</t>
        </is>
      </c>
      <c r="D1058" s="32" t="inlineStr">
        <is>
          <t>100391</t>
        </is>
      </c>
      <c r="E1058" s="27" t="n"/>
      <c r="F1058" s="29" t="n">
        <v>0</v>
      </c>
      <c r="G1058" s="29" t="n">
        <v>5</v>
      </c>
      <c r="H1058" s="27" t="inlineStr">
        <is>
          <t>Exclusive</t>
        </is>
      </c>
      <c r="I1058" s="29" t="n">
        <v>4</v>
      </c>
      <c r="J1058" s="27" t="inlineStr">
        <is>
          <t>Inclusive</t>
        </is>
      </c>
      <c r="K1058" s="29" t="n">
        <v>5</v>
      </c>
      <c r="L1058" s="29" t="n">
        <v>0</v>
      </c>
      <c r="M1058" s="33" t="n">
        <v>1</v>
      </c>
      <c r="N1058" s="27" t="inlineStr">
        <is>
          <t>Yes</t>
        </is>
      </c>
      <c r="O1058" s="29" t="n">
        <v>0</v>
      </c>
      <c r="P1058" s="30" t="n">
        <v>450</v>
      </c>
      <c r="Q1058" s="31" t="inlineStr">
        <is>
          <t>In Stock</t>
        </is>
      </c>
      <c r="R1058" s="27" t="n"/>
      <c r="S1058" s="27" t="n"/>
      <c r="T1058" s="27" t="n"/>
      <c r="U1058" s="27" t="n"/>
      <c r="V1058" s="27" t="n"/>
      <c r="W1058" s="27" t="n"/>
      <c r="X1058" s="27" t="n"/>
      <c r="Y1058" s="27" t="n"/>
      <c r="Z1058" s="27" t="n"/>
    </row>
    <row r="1059" ht="12.5" customHeight="1" s="85">
      <c r="A1059" s="27" t="inlineStr">
        <is>
          <t>STEEL SCRUBBER</t>
        </is>
      </c>
      <c r="B1059" s="27" t="n"/>
      <c r="C1059" s="27" t="inlineStr">
        <is>
          <t>Kitchen Utensils</t>
        </is>
      </c>
      <c r="D1059" s="32" t="inlineStr">
        <is>
          <t>100392</t>
        </is>
      </c>
      <c r="E1059" s="27" t="n"/>
      <c r="F1059" s="29" t="n">
        <v>0</v>
      </c>
      <c r="G1059" s="29" t="n">
        <v>15</v>
      </c>
      <c r="H1059" s="27" t="inlineStr">
        <is>
          <t>Exclusive</t>
        </is>
      </c>
      <c r="I1059" s="29" t="n">
        <v>10</v>
      </c>
      <c r="J1059" s="27" t="inlineStr">
        <is>
          <t>Exclusive</t>
        </is>
      </c>
      <c r="K1059" s="29" t="n">
        <v>15</v>
      </c>
      <c r="L1059" s="29" t="n">
        <v>25</v>
      </c>
      <c r="M1059" s="27" t="n"/>
      <c r="N1059" s="27" t="inlineStr">
        <is>
          <t>Yes</t>
        </is>
      </c>
      <c r="O1059" s="29" t="n">
        <v>0</v>
      </c>
      <c r="P1059" s="30" t="n">
        <v>450</v>
      </c>
      <c r="Q1059" s="31" t="inlineStr">
        <is>
          <t>In Stock</t>
        </is>
      </c>
      <c r="R1059" s="27" t="n"/>
      <c r="S1059" s="27" t="n"/>
      <c r="T1059" s="27" t="n"/>
      <c r="U1059" s="27" t="n"/>
      <c r="V1059" s="27" t="n"/>
      <c r="W1059" s="27" t="n"/>
      <c r="X1059" s="27" t="n"/>
      <c r="Y1059" s="27" t="n"/>
      <c r="Z1059" s="27" t="n"/>
    </row>
    <row r="1060" ht="12.5" customHeight="1" s="85">
      <c r="A1060" s="27" t="inlineStr">
        <is>
          <t>STICKER 5</t>
        </is>
      </c>
      <c r="B1060" s="27" t="n"/>
      <c r="C1060" s="27" t="inlineStr">
        <is>
          <t>Church Articles</t>
        </is>
      </c>
      <c r="D1060" s="32" t="inlineStr">
        <is>
          <t>100393</t>
        </is>
      </c>
      <c r="E1060" s="27" t="n"/>
      <c r="F1060" s="29" t="n">
        <v>0</v>
      </c>
      <c r="G1060" s="29" t="n">
        <v>5</v>
      </c>
      <c r="H1060" s="27" t="inlineStr">
        <is>
          <t>Inclusive</t>
        </is>
      </c>
      <c r="I1060" s="29" t="n">
        <v>1.5</v>
      </c>
      <c r="J1060" s="27" t="inlineStr">
        <is>
          <t>Inclusive</t>
        </is>
      </c>
      <c r="K1060" s="29" t="n">
        <v>5</v>
      </c>
      <c r="L1060" s="29" t="n">
        <v>1</v>
      </c>
      <c r="M1060" s="33" t="n">
        <v>1</v>
      </c>
      <c r="N1060" s="27" t="inlineStr">
        <is>
          <t>Yes</t>
        </is>
      </c>
      <c r="O1060" s="29" t="n">
        <v>0</v>
      </c>
      <c r="P1060" s="30" t="n">
        <v>450</v>
      </c>
      <c r="Q1060" s="31" t="inlineStr">
        <is>
          <t>In Stock</t>
        </is>
      </c>
      <c r="R1060" s="27" t="n"/>
      <c r="S1060" s="27" t="n"/>
      <c r="T1060" s="27" t="n"/>
      <c r="U1060" s="27" t="n"/>
      <c r="V1060" s="27" t="n"/>
      <c r="W1060" s="27" t="n"/>
      <c r="X1060" s="27" t="n"/>
      <c r="Y1060" s="27" t="n"/>
      <c r="Z1060" s="27" t="n"/>
    </row>
    <row r="1061" ht="12.5" customHeight="1" s="85">
      <c r="A1061" s="27" t="inlineStr">
        <is>
          <t>STICKERS 20</t>
        </is>
      </c>
      <c r="B1061" s="27" t="n"/>
      <c r="C1061" s="27" t="inlineStr">
        <is>
          <t>Church Articles</t>
        </is>
      </c>
      <c r="D1061" s="32" t="inlineStr">
        <is>
          <t>100394</t>
        </is>
      </c>
      <c r="E1061" s="27" t="n"/>
      <c r="F1061" s="29" t="n">
        <v>0</v>
      </c>
      <c r="G1061" s="29" t="n">
        <v>20</v>
      </c>
      <c r="H1061" s="27" t="inlineStr">
        <is>
          <t>Inclusive</t>
        </is>
      </c>
      <c r="I1061" s="29" t="n">
        <v>5</v>
      </c>
      <c r="J1061" s="27" t="inlineStr">
        <is>
          <t>Inclusive</t>
        </is>
      </c>
      <c r="K1061" s="29" t="n">
        <v>25</v>
      </c>
      <c r="L1061" s="29" t="n">
        <v>55</v>
      </c>
      <c r="M1061" s="33" t="n">
        <v>1</v>
      </c>
      <c r="N1061" s="27" t="inlineStr">
        <is>
          <t>Yes</t>
        </is>
      </c>
      <c r="O1061" s="29" t="n">
        <v>0</v>
      </c>
      <c r="P1061" s="30" t="n">
        <v>450</v>
      </c>
      <c r="Q1061" s="31" t="inlineStr">
        <is>
          <t>In Stock</t>
        </is>
      </c>
      <c r="R1061" s="27" t="n"/>
      <c r="S1061" s="27" t="n"/>
      <c r="T1061" s="27" t="n"/>
      <c r="U1061" s="27" t="n"/>
      <c r="V1061" s="27" t="n"/>
      <c r="W1061" s="27" t="n"/>
      <c r="X1061" s="27" t="n"/>
      <c r="Y1061" s="27" t="n"/>
      <c r="Z1061" s="27" t="n"/>
    </row>
    <row r="1062" ht="12.5" customHeight="1" s="85">
      <c r="A1062" s="27" t="inlineStr">
        <is>
          <t>STICKER SHEETS</t>
        </is>
      </c>
      <c r="B1062" s="27" t="n"/>
      <c r="C1062" s="27" t="inlineStr">
        <is>
          <t>Church Articles</t>
        </is>
      </c>
      <c r="D1062" s="32" t="inlineStr">
        <is>
          <t>100395</t>
        </is>
      </c>
      <c r="E1062" s="27" t="n"/>
      <c r="F1062" s="29" t="n">
        <v>0</v>
      </c>
      <c r="G1062" s="29" t="n">
        <v>40</v>
      </c>
      <c r="H1062" s="27" t="inlineStr">
        <is>
          <t>Inclusive</t>
        </is>
      </c>
      <c r="I1062" s="29" t="n">
        <v>10</v>
      </c>
      <c r="J1062" s="27" t="inlineStr">
        <is>
          <t>Inclusive</t>
        </is>
      </c>
      <c r="K1062" s="29" t="n">
        <v>60</v>
      </c>
      <c r="L1062" s="29" t="n">
        <v>10</v>
      </c>
      <c r="M1062" s="33" t="n">
        <v>1</v>
      </c>
      <c r="N1062" s="27" t="inlineStr">
        <is>
          <t>Yes</t>
        </is>
      </c>
      <c r="O1062" s="29" t="n">
        <v>0</v>
      </c>
      <c r="P1062" s="30" t="n">
        <v>450</v>
      </c>
      <c r="Q1062" s="31" t="inlineStr">
        <is>
          <t>In Stock</t>
        </is>
      </c>
      <c r="R1062" s="27" t="n"/>
      <c r="S1062" s="27" t="n"/>
      <c r="T1062" s="27" t="n"/>
      <c r="U1062" s="27" t="n"/>
      <c r="V1062" s="27" t="n"/>
      <c r="W1062" s="27" t="n"/>
      <c r="X1062" s="27" t="n"/>
      <c r="Y1062" s="27" t="n"/>
      <c r="Z1062" s="27" t="n"/>
    </row>
    <row r="1063" ht="12.5" customHeight="1" s="85">
      <c r="A1063" s="27" t="inlineStr">
        <is>
          <t>STICKERS SHEET 60</t>
        </is>
      </c>
      <c r="B1063" s="27" t="n"/>
      <c r="C1063" s="27" t="inlineStr">
        <is>
          <t>Church Articles</t>
        </is>
      </c>
      <c r="D1063" s="28" t="inlineStr">
        <is>
          <t>478456298309</t>
        </is>
      </c>
      <c r="E1063" s="27" t="n"/>
      <c r="F1063" s="29" t="n">
        <v>0</v>
      </c>
      <c r="G1063" s="29" t="n">
        <v>60</v>
      </c>
      <c r="H1063" s="27" t="inlineStr">
        <is>
          <t>Exclusive</t>
        </is>
      </c>
      <c r="I1063" s="29" t="n">
        <v>40</v>
      </c>
      <c r="J1063" s="27" t="inlineStr">
        <is>
          <t>Exclusive</t>
        </is>
      </c>
      <c r="K1063" s="29" t="n">
        <v>60</v>
      </c>
      <c r="L1063" s="29" t="n">
        <v>0</v>
      </c>
      <c r="M1063" s="33" t="n">
        <v>1</v>
      </c>
      <c r="N1063" s="27" t="inlineStr">
        <is>
          <t>Yes</t>
        </is>
      </c>
      <c r="O1063" s="29" t="n">
        <v>0</v>
      </c>
      <c r="P1063" s="30" t="n">
        <v>450</v>
      </c>
      <c r="Q1063" s="31" t="inlineStr">
        <is>
          <t>In Stock</t>
        </is>
      </c>
      <c r="R1063" s="27" t="n"/>
      <c r="S1063" s="27" t="n"/>
      <c r="T1063" s="27" t="n"/>
      <c r="U1063" s="27" t="n"/>
      <c r="V1063" s="27" t="n"/>
      <c r="W1063" s="27" t="n"/>
      <c r="X1063" s="27" t="n"/>
      <c r="Y1063" s="27" t="n"/>
      <c r="Z1063" s="27" t="n"/>
    </row>
    <row r="1064" ht="12.5" customHeight="1" s="85">
      <c r="A1064" s="27" t="inlineStr">
        <is>
          <t>STICKER TREE BIG</t>
        </is>
      </c>
      <c r="B1064" s="27" t="n"/>
      <c r="C1064" s="27" t="inlineStr">
        <is>
          <t>Church Articles</t>
        </is>
      </c>
      <c r="D1064" s="28" t="inlineStr">
        <is>
          <t>73383130853</t>
        </is>
      </c>
      <c r="E1064" s="27" t="n"/>
      <c r="F1064" s="29" t="n">
        <v>0</v>
      </c>
      <c r="G1064" s="29" t="n">
        <v>60</v>
      </c>
      <c r="H1064" s="27" t="inlineStr">
        <is>
          <t>Exclusive</t>
        </is>
      </c>
      <c r="I1064" s="29" t="n">
        <v>40</v>
      </c>
      <c r="J1064" s="27" t="inlineStr">
        <is>
          <t>Inclusive</t>
        </is>
      </c>
      <c r="K1064" s="29" t="n">
        <v>60</v>
      </c>
      <c r="L1064" s="29" t="n">
        <v>0</v>
      </c>
      <c r="M1064" s="33" t="n">
        <v>1</v>
      </c>
      <c r="N1064" s="27" t="inlineStr">
        <is>
          <t>Yes</t>
        </is>
      </c>
      <c r="O1064" s="29" t="n">
        <v>0</v>
      </c>
      <c r="P1064" s="30" t="n">
        <v>450</v>
      </c>
      <c r="Q1064" s="31" t="inlineStr">
        <is>
          <t>In Stock</t>
        </is>
      </c>
      <c r="R1064" s="27" t="n"/>
      <c r="S1064" s="27" t="n"/>
      <c r="T1064" s="27" t="n"/>
      <c r="U1064" s="27" t="n"/>
      <c r="V1064" s="27" t="n"/>
      <c r="W1064" s="27" t="n"/>
      <c r="X1064" s="27" t="n"/>
      <c r="Y1064" s="27" t="n"/>
      <c r="Z1064" s="27" t="n"/>
    </row>
    <row r="1065" ht="12.5" customHeight="1" s="85">
      <c r="A1065" s="27" t="inlineStr">
        <is>
          <t>STICKER TREE SMALL</t>
        </is>
      </c>
      <c r="B1065" s="27" t="n"/>
      <c r="C1065" s="27" t="inlineStr">
        <is>
          <t>Church Articles</t>
        </is>
      </c>
      <c r="D1065" s="28" t="inlineStr">
        <is>
          <t>756060712568</t>
        </is>
      </c>
      <c r="E1065" s="27" t="n"/>
      <c r="F1065" s="29" t="n">
        <v>0</v>
      </c>
      <c r="G1065" s="29" t="n">
        <v>45</v>
      </c>
      <c r="H1065" s="27" t="inlineStr">
        <is>
          <t>Exclusive</t>
        </is>
      </c>
      <c r="I1065" s="29" t="n">
        <v>30</v>
      </c>
      <c r="J1065" s="27" t="inlineStr">
        <is>
          <t>Inclusive</t>
        </is>
      </c>
      <c r="K1065" s="29" t="n">
        <v>45</v>
      </c>
      <c r="L1065" s="29" t="n">
        <v>3</v>
      </c>
      <c r="M1065" s="33" t="n">
        <v>1</v>
      </c>
      <c r="N1065" s="27" t="inlineStr">
        <is>
          <t>Yes</t>
        </is>
      </c>
      <c r="O1065" s="29" t="n">
        <v>0</v>
      </c>
      <c r="P1065" s="30" t="n">
        <v>450</v>
      </c>
      <c r="Q1065" s="31" t="inlineStr">
        <is>
          <t>In Stock</t>
        </is>
      </c>
      <c r="R1065" s="27" t="n"/>
      <c r="S1065" s="27" t="n"/>
      <c r="T1065" s="27" t="n"/>
      <c r="U1065" s="27" t="n"/>
      <c r="V1065" s="27" t="n"/>
      <c r="W1065" s="27" t="n"/>
      <c r="X1065" s="27" t="n"/>
      <c r="Y1065" s="27" t="n"/>
      <c r="Z1065" s="27" t="n"/>
    </row>
    <row r="1066" ht="12.5" customHeight="1" s="85">
      <c r="A1066" s="27" t="inlineStr">
        <is>
          <t>STICK PAD</t>
        </is>
      </c>
      <c r="B1066" s="27" t="n"/>
      <c r="C1066" s="27" t="inlineStr">
        <is>
          <t>Stationery</t>
        </is>
      </c>
      <c r="D1066" s="32" t="inlineStr">
        <is>
          <t>100396</t>
        </is>
      </c>
      <c r="E1066" s="27" t="n"/>
      <c r="F1066" s="29" t="n">
        <v>0</v>
      </c>
      <c r="G1066" s="29" t="n">
        <v>50</v>
      </c>
      <c r="H1066" s="27" t="inlineStr">
        <is>
          <t>Exclusive</t>
        </is>
      </c>
      <c r="I1066" s="29" t="n">
        <v>40</v>
      </c>
      <c r="J1066" s="27" t="inlineStr">
        <is>
          <t>Exclusive</t>
        </is>
      </c>
      <c r="K1066" s="29" t="n">
        <v>50</v>
      </c>
      <c r="L1066" s="29" t="n">
        <v>0</v>
      </c>
      <c r="M1066" s="33" t="n">
        <v>1</v>
      </c>
      <c r="N1066" s="27" t="inlineStr">
        <is>
          <t>No</t>
        </is>
      </c>
      <c r="O1066" s="29" t="n">
        <v>0</v>
      </c>
      <c r="P1066" s="30" t="n">
        <v>450</v>
      </c>
      <c r="Q1066" s="31" t="inlineStr">
        <is>
          <t>In Stock</t>
        </is>
      </c>
      <c r="R1066" s="27" t="n"/>
      <c r="S1066" s="27" t="n"/>
      <c r="T1066" s="27" t="n"/>
      <c r="U1066" s="27" t="n"/>
      <c r="V1066" s="27" t="n"/>
      <c r="W1066" s="27" t="n"/>
      <c r="X1066" s="27" t="n"/>
      <c r="Y1066" s="27" t="n"/>
      <c r="Z1066" s="27" t="n"/>
    </row>
    <row r="1067" ht="12.5" customHeight="1" s="85">
      <c r="A1067" s="27" t="inlineStr">
        <is>
          <t>STICK TYPE JHANJ</t>
        </is>
      </c>
      <c r="B1067" s="27" t="n"/>
      <c r="C1067" s="27" t="inlineStr">
        <is>
          <t>Church Articles</t>
        </is>
      </c>
      <c r="D1067" s="28" t="inlineStr">
        <is>
          <t>194086216755</t>
        </is>
      </c>
      <c r="E1067" s="27" t="n"/>
      <c r="F1067" s="29" t="n">
        <v>0</v>
      </c>
      <c r="G1067" s="29" t="n">
        <v>100</v>
      </c>
      <c r="H1067" s="27" t="inlineStr">
        <is>
          <t>Exclusive</t>
        </is>
      </c>
      <c r="I1067" s="29" t="n">
        <v>50</v>
      </c>
      <c r="J1067" s="27" t="inlineStr">
        <is>
          <t>Inclusive</t>
        </is>
      </c>
      <c r="K1067" s="29" t="n">
        <v>120</v>
      </c>
      <c r="L1067" s="29" t="n">
        <v>1</v>
      </c>
      <c r="M1067" s="33" t="n">
        <v>1</v>
      </c>
      <c r="N1067" s="27" t="inlineStr">
        <is>
          <t>Yes</t>
        </is>
      </c>
      <c r="O1067" s="29" t="n">
        <v>0</v>
      </c>
      <c r="P1067" s="30" t="n">
        <v>450</v>
      </c>
      <c r="Q1067" s="31" t="inlineStr">
        <is>
          <t>In Stock</t>
        </is>
      </c>
      <c r="R1067" s="27" t="n"/>
      <c r="S1067" s="27" t="n"/>
      <c r="T1067" s="27" t="n"/>
      <c r="U1067" s="27" t="n"/>
      <c r="V1067" s="27" t="n"/>
      <c r="W1067" s="27" t="n"/>
      <c r="X1067" s="27" t="n"/>
      <c r="Y1067" s="27" t="n"/>
      <c r="Z1067" s="27" t="n"/>
    </row>
    <row r="1068" ht="12.5" customHeight="1" s="85">
      <c r="A1068" s="27" t="inlineStr">
        <is>
          <t>ST KISMIS 100GM</t>
        </is>
      </c>
      <c r="B1068" s="27" t="n"/>
      <c r="C1068" s="27" t="inlineStr">
        <is>
          <t>Snacks</t>
        </is>
      </c>
      <c r="D1068" s="28" t="inlineStr">
        <is>
          <t>639074833572</t>
        </is>
      </c>
      <c r="E1068" s="27" t="n"/>
      <c r="F1068" s="29" t="n">
        <v>0</v>
      </c>
      <c r="G1068" s="29" t="n">
        <v>45</v>
      </c>
      <c r="H1068" s="27" t="inlineStr">
        <is>
          <t>Exclusive</t>
        </is>
      </c>
      <c r="I1068" s="29" t="n">
        <v>35</v>
      </c>
      <c r="J1068" s="27" t="inlineStr">
        <is>
          <t>Exclusive</t>
        </is>
      </c>
      <c r="K1068" s="29" t="n">
        <v>50</v>
      </c>
      <c r="L1068" s="29" t="n">
        <v>368</v>
      </c>
      <c r="M1068" s="33" t="n">
        <v>1</v>
      </c>
      <c r="N1068" s="27" t="inlineStr">
        <is>
          <t>Yes</t>
        </is>
      </c>
      <c r="O1068" s="29" t="n">
        <v>0</v>
      </c>
      <c r="P1068" s="30" t="n">
        <v>450</v>
      </c>
      <c r="Q1068" s="31" t="inlineStr">
        <is>
          <t>In Stock</t>
        </is>
      </c>
      <c r="R1068" s="27" t="n"/>
      <c r="S1068" s="27" t="n"/>
      <c r="T1068" s="27" t="n"/>
      <c r="U1068" s="27" t="n"/>
      <c r="V1068" s="27" t="n"/>
      <c r="W1068" s="27" t="n"/>
      <c r="X1068" s="27" t="n"/>
      <c r="Y1068" s="27" t="n"/>
      <c r="Z1068" s="27" t="n"/>
    </row>
    <row r="1069" ht="12.5" customHeight="1" s="85">
      <c r="A1069" s="27" t="inlineStr">
        <is>
          <t>STRIP FILE FOLDER</t>
        </is>
      </c>
      <c r="B1069" s="27" t="n"/>
      <c r="C1069" s="27" t="inlineStr">
        <is>
          <t>Stationery</t>
        </is>
      </c>
      <c r="D1069" s="32" t="inlineStr">
        <is>
          <t>100397</t>
        </is>
      </c>
      <c r="E1069" s="27" t="n"/>
      <c r="F1069" s="29" t="n">
        <v>0</v>
      </c>
      <c r="G1069" s="29" t="n">
        <v>10</v>
      </c>
      <c r="H1069" s="27" t="inlineStr">
        <is>
          <t>Exclusive</t>
        </is>
      </c>
      <c r="I1069" s="29" t="n">
        <v>2.5</v>
      </c>
      <c r="J1069" s="27" t="inlineStr">
        <is>
          <t>Exclusive</t>
        </is>
      </c>
      <c r="K1069" s="29" t="n">
        <v>12</v>
      </c>
      <c r="L1069" s="29" t="n">
        <v>0</v>
      </c>
      <c r="M1069" s="33" t="n">
        <v>1</v>
      </c>
      <c r="N1069" s="27" t="inlineStr">
        <is>
          <t>No</t>
        </is>
      </c>
      <c r="O1069" s="29" t="n">
        <v>0</v>
      </c>
      <c r="P1069" s="30" t="n">
        <v>450</v>
      </c>
      <c r="Q1069" s="31" t="inlineStr">
        <is>
          <t>In Stock</t>
        </is>
      </c>
      <c r="R1069" s="27" t="n"/>
      <c r="S1069" s="27" t="n"/>
      <c r="T1069" s="27" t="n"/>
      <c r="U1069" s="27" t="n"/>
      <c r="V1069" s="27" t="n"/>
      <c r="W1069" s="27" t="n"/>
      <c r="X1069" s="27" t="n"/>
      <c r="Y1069" s="27" t="n"/>
      <c r="Z1069" s="27" t="n"/>
    </row>
    <row r="1070" ht="12.5" customHeight="1" s="85">
      <c r="A1070" s="27" t="inlineStr">
        <is>
          <t>SUBIN MOONG DAL HARA DAL 500GM</t>
        </is>
      </c>
      <c r="B1070" s="27" t="n"/>
      <c r="C1070" s="27" t="inlineStr">
        <is>
          <t>Grains &amp; Flours</t>
        </is>
      </c>
      <c r="D1070" s="28" t="inlineStr">
        <is>
          <t>525630738736</t>
        </is>
      </c>
      <c r="E1070" s="27" t="n"/>
      <c r="F1070" s="29" t="n">
        <v>0</v>
      </c>
      <c r="G1070" s="29" t="n">
        <v>78</v>
      </c>
      <c r="H1070" s="27" t="inlineStr">
        <is>
          <t>Exclusive</t>
        </is>
      </c>
      <c r="I1070" s="29" t="n">
        <v>70</v>
      </c>
      <c r="J1070" s="27" t="inlineStr">
        <is>
          <t>Exclusive</t>
        </is>
      </c>
      <c r="K1070" s="29" t="n">
        <v>78</v>
      </c>
      <c r="L1070" s="29" t="n">
        <v>0</v>
      </c>
      <c r="M1070" s="33" t="n">
        <v>1</v>
      </c>
      <c r="N1070" s="27" t="inlineStr">
        <is>
          <t>Yes</t>
        </is>
      </c>
      <c r="O1070" s="29" t="n">
        <v>0</v>
      </c>
      <c r="P1070" s="30" t="n">
        <v>450</v>
      </c>
      <c r="Q1070" s="31" t="inlineStr">
        <is>
          <t>In Stock</t>
        </is>
      </c>
      <c r="R1070" s="27" t="n"/>
      <c r="S1070" s="27" t="n"/>
      <c r="T1070" s="27" t="n"/>
      <c r="U1070" s="27" t="n"/>
      <c r="V1070" s="27" t="n"/>
      <c r="W1070" s="27" t="n"/>
      <c r="X1070" s="27" t="n"/>
      <c r="Y1070" s="27" t="n"/>
      <c r="Z1070" s="27" t="n"/>
    </row>
    <row r="1071" ht="12.5" customHeight="1" s="85">
      <c r="A1071" s="27" t="inlineStr">
        <is>
          <t>SUGAR 1KG</t>
        </is>
      </c>
      <c r="B1071" s="27" t="n"/>
      <c r="C1071" s="27" t="inlineStr">
        <is>
          <t>Ready to Eat &amp; Mixes</t>
        </is>
      </c>
      <c r="D1071" s="28" t="inlineStr">
        <is>
          <t>8906026900022</t>
        </is>
      </c>
      <c r="E1071" s="27" t="n"/>
      <c r="F1071" s="29" t="n">
        <v>0</v>
      </c>
      <c r="G1071" s="29" t="n">
        <v>58</v>
      </c>
      <c r="H1071" s="27" t="inlineStr">
        <is>
          <t>Exclusive</t>
        </is>
      </c>
      <c r="I1071" s="29" t="n">
        <v>52</v>
      </c>
      <c r="J1071" s="27" t="inlineStr">
        <is>
          <t>Exclusive</t>
        </is>
      </c>
      <c r="K1071" s="29" t="n">
        <v>65</v>
      </c>
      <c r="L1071" s="29" t="n">
        <v>0</v>
      </c>
      <c r="M1071" s="33" t="n">
        <v>1</v>
      </c>
      <c r="N1071" s="27" t="inlineStr">
        <is>
          <t>Yes</t>
        </is>
      </c>
      <c r="O1071" s="29" t="n">
        <v>0</v>
      </c>
      <c r="P1071" s="30" t="n">
        <v>450</v>
      </c>
      <c r="Q1071" s="31" t="inlineStr">
        <is>
          <t>In Stock</t>
        </is>
      </c>
      <c r="R1071" s="27" t="n"/>
      <c r="S1071" s="27" t="n"/>
      <c r="T1071" s="27" t="n"/>
      <c r="U1071" s="27" t="n"/>
      <c r="V1071" s="27" t="n"/>
      <c r="W1071" s="27" t="n"/>
      <c r="X1071" s="27" t="n"/>
      <c r="Y1071" s="27" t="n"/>
      <c r="Z1071" s="27" t="n"/>
    </row>
    <row r="1072" ht="12.5" customHeight="1" s="85">
      <c r="A1072" s="27" t="inlineStr">
        <is>
          <t>SULTAN BIRYANI KIT</t>
        </is>
      </c>
      <c r="B1072" s="27" t="n"/>
      <c r="C1072" s="27" t="inlineStr">
        <is>
          <t>Ready to Eat &amp; Mixes</t>
        </is>
      </c>
      <c r="D1072" s="28" t="inlineStr">
        <is>
          <t>8904245812454</t>
        </is>
      </c>
      <c r="E1072" s="27" t="n"/>
      <c r="F1072" s="29" t="n">
        <v>0</v>
      </c>
      <c r="G1072" s="29" t="n">
        <v>197</v>
      </c>
      <c r="H1072" s="27" t="inlineStr">
        <is>
          <t>Exclusive</t>
        </is>
      </c>
      <c r="I1072" s="29" t="n">
        <v>166</v>
      </c>
      <c r="J1072" s="27" t="inlineStr">
        <is>
          <t>Exclusive</t>
        </is>
      </c>
      <c r="K1072" s="29" t="n">
        <v>197</v>
      </c>
      <c r="L1072" s="29" t="n">
        <v>0</v>
      </c>
      <c r="M1072" s="33" t="n">
        <v>1</v>
      </c>
      <c r="N1072" s="27" t="inlineStr">
        <is>
          <t>Yes</t>
        </is>
      </c>
      <c r="O1072" s="29" t="n">
        <v>0</v>
      </c>
      <c r="P1072" s="30" t="n">
        <v>450</v>
      </c>
      <c r="Q1072" s="31" t="inlineStr">
        <is>
          <t>In Stock</t>
        </is>
      </c>
      <c r="R1072" s="27" t="n"/>
      <c r="S1072" s="27" t="n"/>
      <c r="T1072" s="27" t="n"/>
      <c r="U1072" s="27" t="n"/>
      <c r="V1072" s="27" t="n"/>
      <c r="W1072" s="27" t="n"/>
      <c r="X1072" s="27" t="n"/>
      <c r="Y1072" s="27" t="n"/>
      <c r="Z1072" s="27" t="n"/>
    </row>
    <row r="1073" ht="12.5" customHeight="1" s="85">
      <c r="A1073" s="27" t="inlineStr">
        <is>
          <t>SURAJ CASHEW 250</t>
        </is>
      </c>
      <c r="B1073" s="27" t="n"/>
      <c r="C1073" s="27" t="inlineStr">
        <is>
          <t>Snacks</t>
        </is>
      </c>
      <c r="D1073" s="28" t="inlineStr">
        <is>
          <t>968666457886</t>
        </is>
      </c>
      <c r="E1073" s="27" t="n"/>
      <c r="F1073" s="29" t="n">
        <v>0</v>
      </c>
      <c r="G1073" s="29" t="n">
        <v>350</v>
      </c>
      <c r="H1073" s="27" t="inlineStr">
        <is>
          <t>Exclusive</t>
        </is>
      </c>
      <c r="I1073" s="29" t="n">
        <v>300</v>
      </c>
      <c r="J1073" s="27" t="inlineStr">
        <is>
          <t>Exclusive</t>
        </is>
      </c>
      <c r="K1073" s="29" t="n">
        <v>350</v>
      </c>
      <c r="L1073" s="29" t="n">
        <v>1</v>
      </c>
      <c r="M1073" s="27" t="n"/>
      <c r="N1073" s="27" t="inlineStr">
        <is>
          <t>Yes</t>
        </is>
      </c>
      <c r="O1073" s="29" t="n">
        <v>0</v>
      </c>
      <c r="P1073" s="30" t="n">
        <v>450</v>
      </c>
      <c r="Q1073" s="31" t="inlineStr">
        <is>
          <t>In Stock</t>
        </is>
      </c>
      <c r="R1073" s="27" t="n"/>
      <c r="S1073" s="27" t="n"/>
      <c r="T1073" s="27" t="n"/>
      <c r="U1073" s="27" t="n"/>
      <c r="V1073" s="27" t="n"/>
      <c r="W1073" s="27" t="n"/>
      <c r="X1073" s="27" t="n"/>
      <c r="Y1073" s="27" t="n"/>
      <c r="Z1073" s="27" t="n"/>
    </row>
    <row r="1074" ht="12.5" customHeight="1" s="85">
      <c r="A1074" s="27" t="inlineStr">
        <is>
          <t>SURAJ MATTA ADA</t>
        </is>
      </c>
      <c r="B1074" s="27" t="n"/>
      <c r="C1074" s="27" t="inlineStr">
        <is>
          <t>Grains &amp; Flours</t>
        </is>
      </c>
      <c r="D1074" s="28" t="inlineStr">
        <is>
          <t>8908004252147</t>
        </is>
      </c>
      <c r="E1074" s="27" t="n"/>
      <c r="F1074" s="29" t="n">
        <v>0</v>
      </c>
      <c r="G1074" s="29" t="n">
        <v>168</v>
      </c>
      <c r="H1074" s="27" t="inlineStr">
        <is>
          <t>Exclusive</t>
        </is>
      </c>
      <c r="I1074" s="29" t="n">
        <v>102</v>
      </c>
      <c r="J1074" s="27" t="inlineStr">
        <is>
          <t>Exclusive</t>
        </is>
      </c>
      <c r="K1074" s="29" t="n">
        <v>0</v>
      </c>
      <c r="L1074" s="29" t="n">
        <v>0</v>
      </c>
      <c r="M1074" s="33" t="n">
        <v>1</v>
      </c>
      <c r="N1074" s="27" t="inlineStr">
        <is>
          <t>Yes</t>
        </is>
      </c>
      <c r="O1074" s="29" t="n">
        <v>0</v>
      </c>
      <c r="P1074" s="30" t="n">
        <v>450</v>
      </c>
      <c r="Q1074" s="31" t="inlineStr">
        <is>
          <t>In Stock</t>
        </is>
      </c>
      <c r="R1074" s="27" t="n"/>
      <c r="S1074" s="27" t="n"/>
      <c r="T1074" s="27" t="n"/>
      <c r="U1074" s="27" t="n"/>
      <c r="V1074" s="27" t="n"/>
      <c r="W1074" s="27" t="n"/>
      <c r="X1074" s="27" t="n"/>
      <c r="Y1074" s="27" t="n"/>
      <c r="Z1074" s="27" t="n"/>
    </row>
    <row r="1075" ht="12.5" customHeight="1" s="85">
      <c r="A1075" s="27" t="inlineStr">
        <is>
          <t>SURAJ WHITE PLAIN PALADA</t>
        </is>
      </c>
      <c r="B1075" s="27" t="n"/>
      <c r="C1075" s="27" t="inlineStr">
        <is>
          <t>Ready to Eat &amp; Mixes</t>
        </is>
      </c>
      <c r="D1075" s="28" t="inlineStr">
        <is>
          <t>8908004252000</t>
        </is>
      </c>
      <c r="E1075" s="27" t="n"/>
      <c r="F1075" s="29" t="n">
        <v>0</v>
      </c>
      <c r="G1075" s="29" t="n">
        <v>65</v>
      </c>
      <c r="H1075" s="27" t="inlineStr">
        <is>
          <t>Inclusive</t>
        </is>
      </c>
      <c r="I1075" s="29" t="n">
        <v>44</v>
      </c>
      <c r="J1075" s="27" t="inlineStr">
        <is>
          <t>Inclusive</t>
        </is>
      </c>
      <c r="K1075" s="29" t="n">
        <v>65</v>
      </c>
      <c r="L1075" s="29" t="n">
        <v>0</v>
      </c>
      <c r="M1075" s="33" t="n">
        <v>1</v>
      </c>
      <c r="N1075" s="27" t="inlineStr">
        <is>
          <t>No</t>
        </is>
      </c>
      <c r="O1075" s="29" t="n">
        <v>0</v>
      </c>
      <c r="P1075" s="30" t="n">
        <v>450</v>
      </c>
      <c r="Q1075" s="31" t="inlineStr">
        <is>
          <t>In Stock</t>
        </is>
      </c>
      <c r="R1075" s="27" t="n"/>
      <c r="S1075" s="27" t="n"/>
      <c r="T1075" s="27" t="n"/>
      <c r="U1075" s="27" t="n"/>
      <c r="V1075" s="27" t="n"/>
      <c r="W1075" s="27" t="n"/>
      <c r="X1075" s="27" t="n"/>
      <c r="Y1075" s="27" t="n"/>
      <c r="Z1075" s="27" t="n"/>
    </row>
    <row r="1076" ht="12.5" customHeight="1" s="85">
      <c r="A1076" s="27" t="inlineStr">
        <is>
          <t>TAKKOLAM</t>
        </is>
      </c>
      <c r="B1076" s="27" t="n"/>
      <c r="C1076" s="27" t="inlineStr">
        <is>
          <t>Masalas &amp; Spices</t>
        </is>
      </c>
      <c r="D1076" s="32" t="inlineStr">
        <is>
          <t>100398</t>
        </is>
      </c>
      <c r="E1076" s="27" t="n"/>
      <c r="F1076" s="29" t="n">
        <v>0</v>
      </c>
      <c r="G1076" s="29" t="n">
        <v>80</v>
      </c>
      <c r="H1076" s="27" t="inlineStr">
        <is>
          <t>Exclusive</t>
        </is>
      </c>
      <c r="I1076" s="29" t="n">
        <v>70</v>
      </c>
      <c r="J1076" s="27" t="inlineStr">
        <is>
          <t>Exclusive</t>
        </is>
      </c>
      <c r="K1076" s="29" t="n">
        <v>80</v>
      </c>
      <c r="L1076" s="29" t="n">
        <v>2</v>
      </c>
      <c r="M1076" s="27" t="n"/>
      <c r="N1076" s="27" t="inlineStr">
        <is>
          <t>Yes</t>
        </is>
      </c>
      <c r="O1076" s="29" t="n">
        <v>0</v>
      </c>
      <c r="P1076" s="30" t="n">
        <v>450</v>
      </c>
      <c r="Q1076" s="31" t="inlineStr">
        <is>
          <t>In Stock</t>
        </is>
      </c>
      <c r="R1076" s="27" t="n"/>
      <c r="S1076" s="27" t="n"/>
      <c r="T1076" s="27" t="n"/>
      <c r="U1076" s="27" t="n"/>
      <c r="V1076" s="27" t="n"/>
      <c r="W1076" s="27" t="n"/>
      <c r="X1076" s="27" t="n"/>
      <c r="Y1076" s="27" t="n"/>
      <c r="Z1076" s="27" t="n"/>
    </row>
    <row r="1077" ht="12.5" customHeight="1" s="85">
      <c r="A1077" s="27" t="inlineStr">
        <is>
          <t>TALKING BIBLE</t>
        </is>
      </c>
      <c r="B1077" s="27" t="n"/>
      <c r="C1077" s="27" t="inlineStr">
        <is>
          <t>Books &amp; Bibles</t>
        </is>
      </c>
      <c r="D1077" s="32" t="inlineStr">
        <is>
          <t>100399</t>
        </is>
      </c>
      <c r="E1077" s="27" t="n"/>
      <c r="F1077" s="29" t="n">
        <v>0</v>
      </c>
      <c r="G1077" s="29" t="n">
        <v>800</v>
      </c>
      <c r="H1077" s="27" t="inlineStr">
        <is>
          <t>Inclusive</t>
        </is>
      </c>
      <c r="I1077" s="29" t="n">
        <v>500</v>
      </c>
      <c r="J1077" s="27" t="inlineStr">
        <is>
          <t>Inclusive</t>
        </is>
      </c>
      <c r="K1077" s="29" t="n">
        <v>1000</v>
      </c>
      <c r="L1077" s="29" t="n">
        <v>0</v>
      </c>
      <c r="M1077" s="33" t="n">
        <v>1</v>
      </c>
      <c r="N1077" s="27" t="inlineStr">
        <is>
          <t>Yes</t>
        </is>
      </c>
      <c r="O1077" s="29" t="n">
        <v>0</v>
      </c>
      <c r="P1077" s="30" t="n">
        <v>450</v>
      </c>
      <c r="Q1077" s="31" t="inlineStr">
        <is>
          <t>In Stock</t>
        </is>
      </c>
      <c r="R1077" s="27" t="n"/>
      <c r="S1077" s="27" t="n"/>
      <c r="T1077" s="27" t="n"/>
      <c r="U1077" s="27" t="n"/>
      <c r="V1077" s="27" t="n"/>
      <c r="W1077" s="27" t="n"/>
      <c r="X1077" s="27" t="n"/>
      <c r="Y1077" s="27" t="n"/>
      <c r="Z1077" s="27" t="n"/>
    </row>
    <row r="1078" ht="12.5" customHeight="1" s="85">
      <c r="A1078" s="27" t="inlineStr">
        <is>
          <t>TAMBORINE HALF CIRCLE</t>
        </is>
      </c>
      <c r="B1078" s="27" t="n"/>
      <c r="C1078" s="27" t="inlineStr">
        <is>
          <t>Church Articles</t>
        </is>
      </c>
      <c r="D1078" s="28" t="inlineStr">
        <is>
          <t>524751853797</t>
        </is>
      </c>
      <c r="E1078" s="27" t="n"/>
      <c r="F1078" s="29" t="n">
        <v>0</v>
      </c>
      <c r="G1078" s="29" t="n">
        <v>450</v>
      </c>
      <c r="H1078" s="27" t="inlineStr">
        <is>
          <t>Exclusive</t>
        </is>
      </c>
      <c r="I1078" s="29" t="n">
        <v>350</v>
      </c>
      <c r="J1078" s="27" t="inlineStr">
        <is>
          <t>Inclusive</t>
        </is>
      </c>
      <c r="K1078" s="29" t="n">
        <v>500</v>
      </c>
      <c r="L1078" s="29" t="n">
        <v>0</v>
      </c>
      <c r="M1078" s="33" t="n">
        <v>1</v>
      </c>
      <c r="N1078" s="27" t="inlineStr">
        <is>
          <t>Yes</t>
        </is>
      </c>
      <c r="O1078" s="29" t="n">
        <v>0</v>
      </c>
      <c r="P1078" s="30" t="n">
        <v>450</v>
      </c>
      <c r="Q1078" s="31" t="inlineStr">
        <is>
          <t>In Stock</t>
        </is>
      </c>
      <c r="R1078" s="27" t="n"/>
      <c r="S1078" s="27" t="n"/>
      <c r="T1078" s="27" t="n"/>
      <c r="U1078" s="27" t="n"/>
      <c r="V1078" s="27" t="n"/>
      <c r="W1078" s="27" t="n"/>
      <c r="X1078" s="27" t="n"/>
      <c r="Y1078" s="27" t="n"/>
      <c r="Z1078" s="27" t="n"/>
    </row>
    <row r="1079" ht="12.5" customHeight="1" s="85">
      <c r="A1079" s="27" t="inlineStr">
        <is>
          <t>TAMBORINE (ROUND BIG)</t>
        </is>
      </c>
      <c r="B1079" s="27" t="n"/>
      <c r="C1079" s="27" t="inlineStr">
        <is>
          <t>Church Articles</t>
        </is>
      </c>
      <c r="D1079" s="28" t="inlineStr">
        <is>
          <t>896422037159</t>
        </is>
      </c>
      <c r="E1079" s="27" t="n"/>
      <c r="F1079" s="29" t="n">
        <v>0</v>
      </c>
      <c r="G1079" s="29" t="n">
        <v>150</v>
      </c>
      <c r="H1079" s="27" t="inlineStr">
        <is>
          <t>Exclusive</t>
        </is>
      </c>
      <c r="I1079" s="29" t="n">
        <v>90</v>
      </c>
      <c r="J1079" s="27" t="inlineStr">
        <is>
          <t>Inclusive</t>
        </is>
      </c>
      <c r="K1079" s="29" t="n">
        <v>180</v>
      </c>
      <c r="L1079" s="29" t="n">
        <v>0</v>
      </c>
      <c r="M1079" s="33" t="n">
        <v>1</v>
      </c>
      <c r="N1079" s="27" t="inlineStr">
        <is>
          <t>Yes</t>
        </is>
      </c>
      <c r="O1079" s="29" t="n">
        <v>0</v>
      </c>
      <c r="P1079" s="30" t="n">
        <v>450</v>
      </c>
      <c r="Q1079" s="31" t="inlineStr">
        <is>
          <t>In Stock</t>
        </is>
      </c>
      <c r="R1079" s="27" t="n"/>
      <c r="S1079" s="27" t="n"/>
      <c r="T1079" s="27" t="n"/>
      <c r="U1079" s="27" t="n"/>
      <c r="V1079" s="27" t="n"/>
      <c r="W1079" s="27" t="n"/>
      <c r="X1079" s="27" t="n"/>
      <c r="Y1079" s="27" t="n"/>
      <c r="Z1079" s="27" t="n"/>
    </row>
    <row r="1080" ht="12.5" customHeight="1" s="85">
      <c r="A1080" s="27" t="inlineStr">
        <is>
          <t>TAMBORINE (ROUND MED)</t>
        </is>
      </c>
      <c r="B1080" s="27" t="n"/>
      <c r="C1080" s="27" t="inlineStr">
        <is>
          <t>Church Articles</t>
        </is>
      </c>
      <c r="D1080" s="28" t="inlineStr">
        <is>
          <t>31141698077</t>
        </is>
      </c>
      <c r="E1080" s="27" t="n"/>
      <c r="F1080" s="29" t="n">
        <v>0</v>
      </c>
      <c r="G1080" s="29" t="n">
        <v>120</v>
      </c>
      <c r="H1080" s="27" t="inlineStr">
        <is>
          <t>Exclusive</t>
        </is>
      </c>
      <c r="I1080" s="29" t="n">
        <v>70</v>
      </c>
      <c r="J1080" s="27" t="inlineStr">
        <is>
          <t>Inclusive</t>
        </is>
      </c>
      <c r="K1080" s="29" t="n">
        <v>150</v>
      </c>
      <c r="L1080" s="29" t="n">
        <v>0</v>
      </c>
      <c r="M1080" s="33" t="n">
        <v>1</v>
      </c>
      <c r="N1080" s="27" t="inlineStr">
        <is>
          <t>Yes</t>
        </is>
      </c>
      <c r="O1080" s="29" t="n">
        <v>0</v>
      </c>
      <c r="P1080" s="30" t="n">
        <v>450</v>
      </c>
      <c r="Q1080" s="31" t="inlineStr">
        <is>
          <t>In Stock</t>
        </is>
      </c>
      <c r="R1080" s="27" t="n"/>
      <c r="S1080" s="27" t="n"/>
      <c r="T1080" s="27" t="n"/>
      <c r="U1080" s="27" t="n"/>
      <c r="V1080" s="27" t="n"/>
      <c r="W1080" s="27" t="n"/>
      <c r="X1080" s="27" t="n"/>
      <c r="Y1080" s="27" t="n"/>
      <c r="Z1080" s="27" t="n"/>
    </row>
    <row r="1081" ht="12.5" customHeight="1" s="85">
      <c r="A1081" s="27" t="inlineStr">
        <is>
          <t>TAMBORINE (ROUND SMALL)</t>
        </is>
      </c>
      <c r="B1081" s="27" t="n"/>
      <c r="C1081" s="27" t="inlineStr">
        <is>
          <t>Church Articles</t>
        </is>
      </c>
      <c r="D1081" s="28" t="inlineStr">
        <is>
          <t>745647676543</t>
        </is>
      </c>
      <c r="E1081" s="27" t="n"/>
      <c r="F1081" s="29" t="n">
        <v>0</v>
      </c>
      <c r="G1081" s="29" t="n">
        <v>100</v>
      </c>
      <c r="H1081" s="27" t="inlineStr">
        <is>
          <t>Exclusive</t>
        </is>
      </c>
      <c r="I1081" s="29" t="n">
        <v>50</v>
      </c>
      <c r="J1081" s="27" t="inlineStr">
        <is>
          <t>Inclusive</t>
        </is>
      </c>
      <c r="K1081" s="29" t="n">
        <v>120</v>
      </c>
      <c r="L1081" s="29" t="n">
        <v>7</v>
      </c>
      <c r="M1081" s="33" t="n">
        <v>1</v>
      </c>
      <c r="N1081" s="27" t="inlineStr">
        <is>
          <t>Yes</t>
        </is>
      </c>
      <c r="O1081" s="29" t="n">
        <v>0</v>
      </c>
      <c r="P1081" s="30" t="n">
        <v>450</v>
      </c>
      <c r="Q1081" s="31" t="inlineStr">
        <is>
          <t>In Stock</t>
        </is>
      </c>
      <c r="R1081" s="27" t="n"/>
      <c r="S1081" s="27" t="n"/>
      <c r="T1081" s="27" t="n"/>
      <c r="U1081" s="27" t="n"/>
      <c r="V1081" s="27" t="n"/>
      <c r="W1081" s="27" t="n"/>
      <c r="X1081" s="27" t="n"/>
      <c r="Y1081" s="27" t="n"/>
      <c r="Z1081" s="27" t="n"/>
    </row>
    <row r="1082" ht="12.5" customHeight="1" s="85">
      <c r="A1082" s="27" t="inlineStr">
        <is>
          <t>TAMBOURINE EXTRA LARGE (8)</t>
        </is>
      </c>
      <c r="B1082" s="27" t="n"/>
      <c r="C1082" s="27" t="inlineStr">
        <is>
          <t>Church Articles</t>
        </is>
      </c>
      <c r="D1082" s="28" t="inlineStr">
        <is>
          <t>835713727636</t>
        </is>
      </c>
      <c r="E1082" s="27" t="n"/>
      <c r="F1082" s="29" t="n">
        <v>0</v>
      </c>
      <c r="G1082" s="29" t="n">
        <v>350</v>
      </c>
      <c r="H1082" s="27" t="inlineStr">
        <is>
          <t>Inclusive</t>
        </is>
      </c>
      <c r="I1082" s="29" t="n">
        <v>210</v>
      </c>
      <c r="J1082" s="27" t="inlineStr">
        <is>
          <t>Inclusive</t>
        </is>
      </c>
      <c r="K1082" s="29" t="n">
        <v>375</v>
      </c>
      <c r="L1082" s="29" t="n">
        <v>0</v>
      </c>
      <c r="M1082" s="33" t="n">
        <v>1</v>
      </c>
      <c r="N1082" s="27" t="inlineStr">
        <is>
          <t>No</t>
        </is>
      </c>
      <c r="O1082" s="29" t="n">
        <v>0</v>
      </c>
      <c r="P1082" s="30" t="n">
        <v>450</v>
      </c>
      <c r="Q1082" s="31" t="inlineStr">
        <is>
          <t>In Stock</t>
        </is>
      </c>
      <c r="R1082" s="27" t="n"/>
      <c r="S1082" s="27" t="n"/>
      <c r="T1082" s="27" t="n"/>
      <c r="U1082" s="27" t="n"/>
      <c r="V1082" s="27" t="n"/>
      <c r="W1082" s="27" t="n"/>
      <c r="X1082" s="27" t="n"/>
      <c r="Y1082" s="27" t="n"/>
      <c r="Z1082" s="27" t="n"/>
    </row>
    <row r="1083" ht="12.5" customHeight="1" s="85">
      <c r="A1083" s="27" t="inlineStr">
        <is>
          <t>TAMBOURINE LARGE SIZE(7)</t>
        </is>
      </c>
      <c r="B1083" s="27" t="n"/>
      <c r="C1083" s="27" t="inlineStr">
        <is>
          <t>Church Articles</t>
        </is>
      </c>
      <c r="D1083" s="32" t="inlineStr">
        <is>
          <t>100400</t>
        </is>
      </c>
      <c r="E1083" s="27" t="n"/>
      <c r="F1083" s="29" t="n">
        <v>0</v>
      </c>
      <c r="G1083" s="29" t="n">
        <v>300</v>
      </c>
      <c r="H1083" s="27" t="inlineStr">
        <is>
          <t>Inclusive</t>
        </is>
      </c>
      <c r="I1083" s="29" t="n">
        <v>190</v>
      </c>
      <c r="J1083" s="27" t="inlineStr">
        <is>
          <t>Inclusive</t>
        </is>
      </c>
      <c r="K1083" s="29" t="n">
        <v>325</v>
      </c>
      <c r="L1083" s="29" t="n">
        <v>4</v>
      </c>
      <c r="M1083" s="33" t="n">
        <v>1</v>
      </c>
      <c r="N1083" s="27" t="inlineStr">
        <is>
          <t>No</t>
        </is>
      </c>
      <c r="O1083" s="29" t="n">
        <v>0</v>
      </c>
      <c r="P1083" s="30" t="n">
        <v>450</v>
      </c>
      <c r="Q1083" s="31" t="inlineStr">
        <is>
          <t>In Stock</t>
        </is>
      </c>
      <c r="R1083" s="27" t="n"/>
      <c r="S1083" s="27" t="n"/>
      <c r="T1083" s="27" t="n"/>
      <c r="U1083" s="27" t="n"/>
      <c r="V1083" s="27" t="n"/>
      <c r="W1083" s="27" t="n"/>
      <c r="X1083" s="27" t="n"/>
      <c r="Y1083" s="27" t="n"/>
      <c r="Z1083" s="27" t="n"/>
    </row>
    <row r="1084" ht="12.5" customHeight="1" s="85">
      <c r="A1084" s="27" t="inlineStr">
        <is>
          <t>TAMBOURINE ROUND MEDIUM (6)</t>
        </is>
      </c>
      <c r="B1084" s="27" t="n"/>
      <c r="C1084" s="27" t="inlineStr">
        <is>
          <t>Church Articles</t>
        </is>
      </c>
      <c r="D1084" s="32" t="inlineStr">
        <is>
          <t>100401</t>
        </is>
      </c>
      <c r="E1084" s="27" t="n"/>
      <c r="F1084" s="29" t="n">
        <v>0</v>
      </c>
      <c r="G1084" s="29" t="n">
        <v>250</v>
      </c>
      <c r="H1084" s="27" t="inlineStr">
        <is>
          <t>Inclusive</t>
        </is>
      </c>
      <c r="I1084" s="29" t="n">
        <v>170</v>
      </c>
      <c r="J1084" s="27" t="inlineStr">
        <is>
          <t>Inclusive</t>
        </is>
      </c>
      <c r="K1084" s="29" t="n">
        <v>270</v>
      </c>
      <c r="L1084" s="29" t="n">
        <v>0</v>
      </c>
      <c r="M1084" s="33" t="n">
        <v>1</v>
      </c>
      <c r="N1084" s="27" t="inlineStr">
        <is>
          <t>No</t>
        </is>
      </c>
      <c r="O1084" s="29" t="n">
        <v>0</v>
      </c>
      <c r="P1084" s="30" t="n">
        <v>450</v>
      </c>
      <c r="Q1084" s="31" t="inlineStr">
        <is>
          <t>In Stock</t>
        </is>
      </c>
      <c r="R1084" s="27" t="n"/>
      <c r="S1084" s="27" t="n"/>
      <c r="T1084" s="27" t="n"/>
      <c r="U1084" s="27" t="n"/>
      <c r="V1084" s="27" t="n"/>
      <c r="W1084" s="27" t="n"/>
      <c r="X1084" s="27" t="n"/>
      <c r="Y1084" s="27" t="n"/>
      <c r="Z1084" s="27" t="n"/>
    </row>
    <row r="1085" ht="12.5" customHeight="1" s="85">
      <c r="A1085" s="27" t="inlineStr">
        <is>
          <t>TAMBOURINE ROUND SMALL (5)</t>
        </is>
      </c>
      <c r="B1085" s="27" t="n"/>
      <c r="C1085" s="27" t="inlineStr">
        <is>
          <t>Church Articles</t>
        </is>
      </c>
      <c r="D1085" s="32" t="inlineStr">
        <is>
          <t>100402</t>
        </is>
      </c>
      <c r="E1085" s="27" t="n"/>
      <c r="F1085" s="29" t="n">
        <v>0</v>
      </c>
      <c r="G1085" s="29" t="n">
        <v>225</v>
      </c>
      <c r="H1085" s="27" t="inlineStr">
        <is>
          <t>Inclusive</t>
        </is>
      </c>
      <c r="I1085" s="29" t="n">
        <v>150</v>
      </c>
      <c r="J1085" s="27" t="inlineStr">
        <is>
          <t>Inclusive</t>
        </is>
      </c>
      <c r="K1085" s="29" t="n">
        <v>240</v>
      </c>
      <c r="L1085" s="29" t="n">
        <v>0</v>
      </c>
      <c r="M1085" s="33" t="n">
        <v>1</v>
      </c>
      <c r="N1085" s="27" t="inlineStr">
        <is>
          <t>No</t>
        </is>
      </c>
      <c r="O1085" s="29" t="n">
        <v>0</v>
      </c>
      <c r="P1085" s="30" t="n">
        <v>450</v>
      </c>
      <c r="Q1085" s="31" t="inlineStr">
        <is>
          <t>In Stock</t>
        </is>
      </c>
      <c r="R1085" s="27" t="n"/>
      <c r="S1085" s="27" t="n"/>
      <c r="T1085" s="27" t="n"/>
      <c r="U1085" s="27" t="n"/>
      <c r="V1085" s="27" t="n"/>
      <c r="W1085" s="27" t="n"/>
      <c r="X1085" s="27" t="n"/>
      <c r="Y1085" s="27" t="n"/>
      <c r="Z1085" s="27" t="n"/>
    </row>
    <row r="1086" ht="12.5" customHeight="1" s="85">
      <c r="A1086" s="27" t="inlineStr">
        <is>
          <t>TASTY CHILLI CHUTNEY 200GM</t>
        </is>
      </c>
      <c r="B1086" s="27" t="n"/>
      <c r="C1086" s="27" t="inlineStr">
        <is>
          <t>Ready to Eat &amp; Mixes</t>
        </is>
      </c>
      <c r="D1086" s="28" t="inlineStr">
        <is>
          <t>8907093014230</t>
        </is>
      </c>
      <c r="E1086" s="27" t="n"/>
      <c r="F1086" s="29" t="n">
        <v>0</v>
      </c>
      <c r="G1086" s="29" t="n">
        <v>125</v>
      </c>
      <c r="H1086" s="27" t="inlineStr">
        <is>
          <t>Exclusive</t>
        </is>
      </c>
      <c r="I1086" s="29" t="n">
        <v>115</v>
      </c>
      <c r="J1086" s="27" t="inlineStr">
        <is>
          <t>Exclusive</t>
        </is>
      </c>
      <c r="K1086" s="29" t="n">
        <v>125</v>
      </c>
      <c r="L1086" s="29" t="n">
        <v>0</v>
      </c>
      <c r="M1086" s="27" t="n"/>
      <c r="N1086" s="27" t="inlineStr">
        <is>
          <t>Yes</t>
        </is>
      </c>
      <c r="O1086" s="29" t="n">
        <v>0</v>
      </c>
      <c r="P1086" s="30" t="n">
        <v>450</v>
      </c>
      <c r="Q1086" s="31" t="inlineStr">
        <is>
          <t>In Stock</t>
        </is>
      </c>
      <c r="R1086" s="27" t="n"/>
      <c r="S1086" s="27" t="n"/>
      <c r="T1086" s="27" t="n"/>
      <c r="U1086" s="27" t="n"/>
      <c r="V1086" s="27" t="n"/>
      <c r="W1086" s="27" t="n"/>
      <c r="X1086" s="27" t="n"/>
      <c r="Y1086" s="27" t="n"/>
      <c r="Z1086" s="27" t="n"/>
    </row>
    <row r="1087" ht="12.5" customHeight="1" s="85">
      <c r="A1087" s="27" t="inlineStr">
        <is>
          <t>TASTY COCONUT MILK 200ML</t>
        </is>
      </c>
      <c r="B1087" s="27" t="n"/>
      <c r="C1087" s="27" t="inlineStr">
        <is>
          <t>Ready to Eat &amp; Mixes</t>
        </is>
      </c>
      <c r="D1087" s="32" t="inlineStr">
        <is>
          <t>100403</t>
        </is>
      </c>
      <c r="E1087" s="27" t="n"/>
      <c r="F1087" s="29" t="n">
        <v>0</v>
      </c>
      <c r="G1087" s="29" t="n">
        <v>180</v>
      </c>
      <c r="H1087" s="27" t="inlineStr">
        <is>
          <t>Exclusive</t>
        </is>
      </c>
      <c r="I1087" s="29" t="n">
        <v>88</v>
      </c>
      <c r="J1087" s="27" t="inlineStr">
        <is>
          <t>Exclusive</t>
        </is>
      </c>
      <c r="K1087" s="29" t="n">
        <v>0</v>
      </c>
      <c r="L1087" s="29" t="n">
        <v>5</v>
      </c>
      <c r="M1087" s="27" t="n"/>
      <c r="N1087" s="27" t="inlineStr">
        <is>
          <t>Yes</t>
        </is>
      </c>
      <c r="O1087" s="29" t="n">
        <v>0</v>
      </c>
      <c r="P1087" s="30" t="n">
        <v>450</v>
      </c>
      <c r="Q1087" s="31" t="inlineStr">
        <is>
          <t>In Stock</t>
        </is>
      </c>
      <c r="R1087" s="27" t="n"/>
      <c r="S1087" s="27" t="n"/>
      <c r="T1087" s="27" t="n"/>
      <c r="U1087" s="27" t="n"/>
      <c r="V1087" s="27" t="n"/>
      <c r="W1087" s="27" t="n"/>
      <c r="X1087" s="27" t="n"/>
      <c r="Y1087" s="27" t="n"/>
      <c r="Z1087" s="27" t="n"/>
    </row>
    <row r="1088" ht="12.5" customHeight="1" s="85">
      <c r="A1088" s="27" t="inlineStr">
        <is>
          <t>TASTY CORN FLOUR 150GM</t>
        </is>
      </c>
      <c r="B1088" s="27" t="n"/>
      <c r="C1088" s="27" t="inlineStr">
        <is>
          <t>Grains &amp; Flours</t>
        </is>
      </c>
      <c r="D1088" s="32" t="inlineStr">
        <is>
          <t>100404</t>
        </is>
      </c>
      <c r="E1088" s="27" t="n"/>
      <c r="F1088" s="29" t="n">
        <v>0</v>
      </c>
      <c r="G1088" s="29" t="n">
        <v>92</v>
      </c>
      <c r="H1088" s="27" t="inlineStr">
        <is>
          <t>Exclusive</t>
        </is>
      </c>
      <c r="I1088" s="29" t="n">
        <v>33</v>
      </c>
      <c r="J1088" s="27" t="inlineStr">
        <is>
          <t>Exclusive</t>
        </is>
      </c>
      <c r="K1088" s="29" t="n">
        <v>0</v>
      </c>
      <c r="L1088" s="29" t="n">
        <v>0</v>
      </c>
      <c r="M1088" s="27" t="n"/>
      <c r="N1088" s="27" t="inlineStr">
        <is>
          <t>Yes</t>
        </is>
      </c>
      <c r="O1088" s="29" t="n">
        <v>0</v>
      </c>
      <c r="P1088" s="30" t="n">
        <v>450</v>
      </c>
      <c r="Q1088" s="31" t="inlineStr">
        <is>
          <t>In Stock</t>
        </is>
      </c>
      <c r="R1088" s="27" t="n"/>
      <c r="S1088" s="27" t="n"/>
      <c r="T1088" s="27" t="n"/>
      <c r="U1088" s="27" t="n"/>
      <c r="V1088" s="27" t="n"/>
      <c r="W1088" s="27" t="n"/>
      <c r="X1088" s="27" t="n"/>
      <c r="Y1088" s="27" t="n"/>
      <c r="Z1088" s="27" t="n"/>
    </row>
    <row r="1089" ht="12.5" customHeight="1" s="85">
      <c r="A1089" s="27" t="inlineStr">
        <is>
          <t>TASTY CUT MANGO PICKLE 200GM</t>
        </is>
      </c>
      <c r="B1089" s="27" t="n"/>
      <c r="C1089" s="27" t="inlineStr">
        <is>
          <t>Pickles</t>
        </is>
      </c>
      <c r="D1089" s="32" t="inlineStr">
        <is>
          <t>100405</t>
        </is>
      </c>
      <c r="E1089" s="27" t="n"/>
      <c r="F1089" s="29" t="n">
        <v>0</v>
      </c>
      <c r="G1089" s="29" t="n">
        <v>17</v>
      </c>
      <c r="H1089" s="27" t="inlineStr">
        <is>
          <t>Exclusive</t>
        </is>
      </c>
      <c r="I1089" s="29" t="n">
        <v>44</v>
      </c>
      <c r="J1089" s="27" t="inlineStr">
        <is>
          <t>Exclusive</t>
        </is>
      </c>
      <c r="K1089" s="29" t="n">
        <v>0</v>
      </c>
      <c r="L1089" s="29" t="n">
        <v>3</v>
      </c>
      <c r="M1089" s="27" t="n"/>
      <c r="N1089" s="27" t="inlineStr">
        <is>
          <t>Yes</t>
        </is>
      </c>
      <c r="O1089" s="29" t="n">
        <v>0</v>
      </c>
      <c r="P1089" s="30" t="n">
        <v>450</v>
      </c>
      <c r="Q1089" s="31" t="inlineStr">
        <is>
          <t>In Stock</t>
        </is>
      </c>
      <c r="R1089" s="27" t="n"/>
      <c r="S1089" s="27" t="n"/>
      <c r="T1089" s="27" t="n"/>
      <c r="U1089" s="27" t="n"/>
      <c r="V1089" s="27" t="n"/>
      <c r="W1089" s="27" t="n"/>
      <c r="X1089" s="27" t="n"/>
      <c r="Y1089" s="27" t="n"/>
      <c r="Z1089" s="27" t="n"/>
    </row>
    <row r="1090" ht="12.5" customHeight="1" s="85">
      <c r="A1090" s="27" t="inlineStr">
        <is>
          <t>TASTY CUT MANGO PICKLE 400GM</t>
        </is>
      </c>
      <c r="B1090" s="27" t="n"/>
      <c r="C1090" s="27" t="inlineStr">
        <is>
          <t>Pickles</t>
        </is>
      </c>
      <c r="D1090" s="32" t="inlineStr">
        <is>
          <t>100406</t>
        </is>
      </c>
      <c r="E1090" s="27" t="n"/>
      <c r="F1090" s="29" t="n">
        <v>0</v>
      </c>
      <c r="G1090" s="29" t="n">
        <v>17</v>
      </c>
      <c r="H1090" s="27" t="inlineStr">
        <is>
          <t>Exclusive</t>
        </is>
      </c>
      <c r="I1090" s="29" t="n">
        <v>80.67</v>
      </c>
      <c r="J1090" s="27" t="inlineStr">
        <is>
          <t>Exclusive</t>
        </is>
      </c>
      <c r="K1090" s="29" t="n">
        <v>0</v>
      </c>
      <c r="L1090" s="29" t="n">
        <v>0</v>
      </c>
      <c r="M1090" s="27" t="n"/>
      <c r="N1090" s="27" t="inlineStr">
        <is>
          <t>Yes</t>
        </is>
      </c>
      <c r="O1090" s="29" t="n">
        <v>0</v>
      </c>
      <c r="P1090" s="30" t="n">
        <v>450</v>
      </c>
      <c r="Q1090" s="31" t="inlineStr">
        <is>
          <t>In Stock</t>
        </is>
      </c>
      <c r="R1090" s="27" t="n"/>
      <c r="S1090" s="27" t="n"/>
      <c r="T1090" s="27" t="n"/>
      <c r="U1090" s="27" t="n"/>
      <c r="V1090" s="27" t="n"/>
      <c r="W1090" s="27" t="n"/>
      <c r="X1090" s="27" t="n"/>
      <c r="Y1090" s="27" t="n"/>
      <c r="Z1090" s="27" t="n"/>
    </row>
    <row r="1091" ht="12.5" customHeight="1" s="85">
      <c r="A1091" s="27" t="inlineStr">
        <is>
          <t>TASTY EASY PALAPPAM POWDER 500 GM</t>
        </is>
      </c>
      <c r="B1091" s="27" t="n"/>
      <c r="C1091" s="27" t="inlineStr">
        <is>
          <t>Grains &amp; Flours</t>
        </is>
      </c>
      <c r="D1091" s="28" t="inlineStr">
        <is>
          <t>8907093009465</t>
        </is>
      </c>
      <c r="E1091" s="29" t="n">
        <v>11029022</v>
      </c>
      <c r="F1091" s="29" t="n">
        <v>0</v>
      </c>
      <c r="G1091" s="29" t="n">
        <v>75</v>
      </c>
      <c r="H1091" s="27" t="inlineStr">
        <is>
          <t>Exclusive</t>
        </is>
      </c>
      <c r="I1091" s="29" t="n">
        <v>62</v>
      </c>
      <c r="J1091" s="27" t="inlineStr">
        <is>
          <t>Exclusive</t>
        </is>
      </c>
      <c r="K1091" s="29" t="n">
        <v>75</v>
      </c>
      <c r="L1091" s="29" t="n">
        <v>0</v>
      </c>
      <c r="M1091" s="27" t="n"/>
      <c r="N1091" s="27" t="inlineStr">
        <is>
          <t>Yes</t>
        </is>
      </c>
      <c r="O1091" s="29" t="n">
        <v>0</v>
      </c>
      <c r="P1091" s="30" t="n">
        <v>450</v>
      </c>
      <c r="Q1091" s="31" t="inlineStr">
        <is>
          <t>In Stock</t>
        </is>
      </c>
      <c r="R1091" s="27" t="n"/>
      <c r="S1091" s="27" t="n"/>
      <c r="T1091" s="27" t="n"/>
      <c r="U1091" s="27" t="n"/>
      <c r="V1091" s="27" t="n"/>
      <c r="W1091" s="27" t="n"/>
      <c r="X1091" s="27" t="n"/>
      <c r="Y1091" s="27" t="n"/>
      <c r="Z1091" s="27" t="n"/>
    </row>
    <row r="1092" ht="12.5" customHeight="1" s="85">
      <c r="A1092" s="27" t="inlineStr">
        <is>
          <t>TASTY GARLIC PICKLE 400GM</t>
        </is>
      </c>
      <c r="B1092" s="27" t="n"/>
      <c r="C1092" s="27" t="inlineStr">
        <is>
          <t>Pickles</t>
        </is>
      </c>
      <c r="D1092" s="28" t="inlineStr">
        <is>
          <t>8904047811044</t>
        </is>
      </c>
      <c r="E1092" s="27" t="n"/>
      <c r="F1092" s="29" t="n">
        <v>0</v>
      </c>
      <c r="G1092" s="29" t="n">
        <v>17</v>
      </c>
      <c r="H1092" s="27" t="inlineStr">
        <is>
          <t>Exclusive</t>
        </is>
      </c>
      <c r="I1092" s="29" t="n">
        <v>102.67</v>
      </c>
      <c r="J1092" s="27" t="inlineStr">
        <is>
          <t>Exclusive</t>
        </is>
      </c>
      <c r="K1092" s="29" t="n">
        <v>0</v>
      </c>
      <c r="L1092" s="29" t="n">
        <v>12</v>
      </c>
      <c r="M1092" s="27" t="n"/>
      <c r="N1092" s="27" t="inlineStr">
        <is>
          <t>Yes</t>
        </is>
      </c>
      <c r="O1092" s="29" t="n">
        <v>0</v>
      </c>
      <c r="P1092" s="30" t="n">
        <v>450</v>
      </c>
      <c r="Q1092" s="31" t="inlineStr">
        <is>
          <t>In Stock</t>
        </is>
      </c>
      <c r="R1092" s="27" t="n"/>
      <c r="S1092" s="27" t="n"/>
      <c r="T1092" s="27" t="n"/>
      <c r="U1092" s="27" t="n"/>
      <c r="V1092" s="27" t="n"/>
      <c r="W1092" s="27" t="n"/>
      <c r="X1092" s="27" t="n"/>
      <c r="Y1092" s="27" t="n"/>
      <c r="Z1092" s="27" t="n"/>
    </row>
    <row r="1093" ht="12.5" customHeight="1" s="85">
      <c r="A1093" s="27" t="inlineStr">
        <is>
          <t>TASTY IDIYAPPAM RICE FLOOR 500GM</t>
        </is>
      </c>
      <c r="B1093" s="27" t="n"/>
      <c r="C1093" s="27" t="inlineStr">
        <is>
          <t>Grains &amp; Flours</t>
        </is>
      </c>
      <c r="D1093" s="28" t="inlineStr">
        <is>
          <t>8907093007768</t>
        </is>
      </c>
      <c r="E1093" s="27" t="n"/>
      <c r="F1093" s="29" t="n">
        <v>0</v>
      </c>
      <c r="G1093" s="29" t="n">
        <v>70</v>
      </c>
      <c r="H1093" s="27" t="inlineStr">
        <is>
          <t>Exclusive</t>
        </is>
      </c>
      <c r="I1093" s="29" t="n">
        <v>65</v>
      </c>
      <c r="J1093" s="27" t="inlineStr">
        <is>
          <t>Exclusive</t>
        </is>
      </c>
      <c r="K1093" s="29" t="n">
        <v>70</v>
      </c>
      <c r="L1093" s="29" t="n">
        <v>18</v>
      </c>
      <c r="M1093" s="33" t="n">
        <v>1</v>
      </c>
      <c r="N1093" s="27" t="inlineStr">
        <is>
          <t>Yes</t>
        </is>
      </c>
      <c r="O1093" s="29" t="n">
        <v>0</v>
      </c>
      <c r="P1093" s="30" t="n">
        <v>450</v>
      </c>
      <c r="Q1093" s="31" t="inlineStr">
        <is>
          <t>In Stock</t>
        </is>
      </c>
      <c r="R1093" s="27" t="n"/>
      <c r="S1093" s="27" t="n"/>
      <c r="T1093" s="27" t="n"/>
      <c r="U1093" s="27" t="n"/>
      <c r="V1093" s="27" t="n"/>
      <c r="W1093" s="27" t="n"/>
      <c r="X1093" s="27" t="n"/>
      <c r="Y1093" s="27" t="n"/>
      <c r="Z1093" s="27" t="n"/>
    </row>
    <row r="1094" ht="12.5" customHeight="1" s="85">
      <c r="A1094" s="27" t="inlineStr">
        <is>
          <t>TASTY INSTANT PALADA PAYASAM 200GM</t>
        </is>
      </c>
      <c r="B1094" s="27" t="n"/>
      <c r="C1094" s="27" t="inlineStr">
        <is>
          <t>Ready to Eat &amp; Mixes</t>
        </is>
      </c>
      <c r="D1094" s="32" t="inlineStr">
        <is>
          <t>100412</t>
        </is>
      </c>
      <c r="E1094" s="27" t="n"/>
      <c r="F1094" s="29" t="n">
        <v>0</v>
      </c>
      <c r="G1094" s="29" t="n">
        <v>95</v>
      </c>
      <c r="H1094" s="27" t="inlineStr">
        <is>
          <t>Exclusive</t>
        </is>
      </c>
      <c r="I1094" s="29" t="n">
        <v>80.67</v>
      </c>
      <c r="J1094" s="27" t="inlineStr">
        <is>
          <t>Exclusive</t>
        </is>
      </c>
      <c r="K1094" s="29" t="n">
        <v>0</v>
      </c>
      <c r="L1094" s="29" t="n">
        <v>19</v>
      </c>
      <c r="M1094" s="27" t="n"/>
      <c r="N1094" s="27" t="inlineStr">
        <is>
          <t>Yes</t>
        </is>
      </c>
      <c r="O1094" s="29" t="n">
        <v>0</v>
      </c>
      <c r="P1094" s="30" t="n">
        <v>450</v>
      </c>
      <c r="Q1094" s="31" t="inlineStr">
        <is>
          <t>In Stock</t>
        </is>
      </c>
      <c r="R1094" s="27" t="n"/>
      <c r="S1094" s="27" t="n"/>
      <c r="T1094" s="27" t="n"/>
      <c r="U1094" s="27" t="n"/>
      <c r="V1094" s="27" t="n"/>
      <c r="W1094" s="27" t="n"/>
      <c r="X1094" s="27" t="n"/>
      <c r="Y1094" s="27" t="n"/>
      <c r="Z1094" s="27" t="n"/>
    </row>
    <row r="1095" ht="12.5" customHeight="1" s="85">
      <c r="A1095" s="27" t="inlineStr">
        <is>
          <t>TASTY INSTANT PALADA PAYASAM 200 GM</t>
        </is>
      </c>
      <c r="B1095" s="27" t="n"/>
      <c r="C1095" s="27" t="inlineStr">
        <is>
          <t>Ready to Eat &amp; Mixes</t>
        </is>
      </c>
      <c r="D1095" s="32" t="inlineStr">
        <is>
          <t>100413</t>
        </is>
      </c>
      <c r="E1095" s="29" t="n">
        <v>21069099</v>
      </c>
      <c r="F1095" s="29" t="n">
        <v>5</v>
      </c>
      <c r="G1095" s="29" t="n">
        <v>95</v>
      </c>
      <c r="H1095" s="27" t="inlineStr">
        <is>
          <t>Exclusive</t>
        </is>
      </c>
      <c r="I1095" s="29" t="n">
        <v>86</v>
      </c>
      <c r="J1095" s="27" t="inlineStr">
        <is>
          <t>Exclusive</t>
        </is>
      </c>
      <c r="K1095" s="29" t="n">
        <v>0</v>
      </c>
      <c r="L1095" s="29" t="n">
        <v>6</v>
      </c>
      <c r="M1095" s="27" t="n"/>
      <c r="N1095" s="27" t="inlineStr">
        <is>
          <t>Yes</t>
        </is>
      </c>
      <c r="O1095" s="29" t="n">
        <v>0</v>
      </c>
      <c r="P1095" s="30" t="n">
        <v>450</v>
      </c>
      <c r="Q1095" s="31" t="inlineStr">
        <is>
          <t>In Stock</t>
        </is>
      </c>
      <c r="R1095" s="27" t="n"/>
      <c r="S1095" s="27" t="n"/>
      <c r="T1095" s="27" t="n"/>
      <c r="U1095" s="27" t="n"/>
      <c r="V1095" s="27" t="n"/>
      <c r="W1095" s="27" t="n"/>
      <c r="X1095" s="27" t="n"/>
      <c r="Y1095" s="27" t="n"/>
      <c r="Z1095" s="27" t="n"/>
    </row>
    <row r="1096" ht="12.5" customHeight="1" s="85">
      <c r="A1096" s="27" t="inlineStr">
        <is>
          <t>TASTY JAGGERY POWDER 300GM</t>
        </is>
      </c>
      <c r="B1096" s="27" t="n"/>
      <c r="C1096" s="27" t="inlineStr">
        <is>
          <t>Ready to Eat &amp; Mixes</t>
        </is>
      </c>
      <c r="D1096" s="28" t="inlineStr">
        <is>
          <t>8907093007751</t>
        </is>
      </c>
      <c r="E1096" s="27" t="n"/>
      <c r="F1096" s="29" t="n">
        <v>0</v>
      </c>
      <c r="G1096" s="29" t="n">
        <v>60</v>
      </c>
      <c r="H1096" s="27" t="inlineStr">
        <is>
          <t>Exclusive</t>
        </is>
      </c>
      <c r="I1096" s="29" t="n">
        <v>51</v>
      </c>
      <c r="J1096" s="27" t="inlineStr">
        <is>
          <t>Exclusive</t>
        </is>
      </c>
      <c r="K1096" s="29" t="n">
        <v>60</v>
      </c>
      <c r="L1096" s="29" t="n">
        <v>0</v>
      </c>
      <c r="M1096" s="33" t="n">
        <v>1</v>
      </c>
      <c r="N1096" s="27" t="inlineStr">
        <is>
          <t>Yes</t>
        </is>
      </c>
      <c r="O1096" s="29" t="n">
        <v>0</v>
      </c>
      <c r="P1096" s="30" t="n">
        <v>450</v>
      </c>
      <c r="Q1096" s="31" t="inlineStr">
        <is>
          <t>In Stock</t>
        </is>
      </c>
      <c r="R1096" s="27" t="n"/>
      <c r="S1096" s="27" t="n"/>
      <c r="T1096" s="27" t="n"/>
      <c r="U1096" s="27" t="n"/>
      <c r="V1096" s="27" t="n"/>
      <c r="W1096" s="27" t="n"/>
      <c r="X1096" s="27" t="n"/>
      <c r="Y1096" s="27" t="n"/>
      <c r="Z1096" s="27" t="n"/>
    </row>
    <row r="1097" ht="12.5" customHeight="1" s="85">
      <c r="A1097" s="27" t="inlineStr">
        <is>
          <t>TASTY PULI INJI 200GM</t>
        </is>
      </c>
      <c r="B1097" s="27" t="n"/>
      <c r="C1097" s="27" t="inlineStr">
        <is>
          <t>Pickles</t>
        </is>
      </c>
      <c r="D1097" s="32" t="inlineStr">
        <is>
          <t>100415</t>
        </is>
      </c>
      <c r="E1097" s="27" t="n"/>
      <c r="F1097" s="29" t="n">
        <v>0</v>
      </c>
      <c r="G1097" s="29" t="n">
        <v>120</v>
      </c>
      <c r="H1097" s="27" t="inlineStr">
        <is>
          <t>Exclusive</t>
        </is>
      </c>
      <c r="I1097" s="29" t="n">
        <v>88</v>
      </c>
      <c r="J1097" s="27" t="inlineStr">
        <is>
          <t>Exclusive</t>
        </is>
      </c>
      <c r="K1097" s="29" t="n">
        <v>0</v>
      </c>
      <c r="L1097" s="29" t="n">
        <v>0</v>
      </c>
      <c r="M1097" s="27" t="n"/>
      <c r="N1097" s="27" t="inlineStr">
        <is>
          <t>Yes</t>
        </is>
      </c>
      <c r="O1097" s="29" t="n">
        <v>0</v>
      </c>
      <c r="P1097" s="30" t="n">
        <v>450</v>
      </c>
      <c r="Q1097" s="31" t="inlineStr">
        <is>
          <t>In Stock</t>
        </is>
      </c>
      <c r="R1097" s="27" t="n"/>
      <c r="S1097" s="27" t="n"/>
      <c r="T1097" s="27" t="n"/>
      <c r="U1097" s="27" t="n"/>
      <c r="V1097" s="27" t="n"/>
      <c r="W1097" s="27" t="n"/>
      <c r="X1097" s="27" t="n"/>
      <c r="Y1097" s="27" t="n"/>
      <c r="Z1097" s="27" t="n"/>
    </row>
    <row r="1098" ht="12.5" customHeight="1" s="85">
      <c r="A1098" s="27" t="inlineStr">
        <is>
          <t>TASTY RED AVIL</t>
        </is>
      </c>
      <c r="B1098" s="27" t="n"/>
      <c r="C1098" s="27" t="inlineStr">
        <is>
          <t>Grains &amp; Flours</t>
        </is>
      </c>
      <c r="D1098" s="28" t="inlineStr">
        <is>
          <t>8907093011765</t>
        </is>
      </c>
      <c r="E1098" s="27" t="n"/>
      <c r="F1098" s="29" t="n">
        <v>0</v>
      </c>
      <c r="G1098" s="29" t="n">
        <v>56</v>
      </c>
      <c r="H1098" s="27" t="inlineStr">
        <is>
          <t>Exclusive</t>
        </is>
      </c>
      <c r="I1098" s="29" t="n">
        <v>40</v>
      </c>
      <c r="J1098" s="27" t="inlineStr">
        <is>
          <t>Exclusive</t>
        </is>
      </c>
      <c r="K1098" s="29" t="n">
        <v>56</v>
      </c>
      <c r="L1098" s="29" t="n">
        <v>1</v>
      </c>
      <c r="M1098" s="27" t="n"/>
      <c r="N1098" s="27" t="inlineStr">
        <is>
          <t>Yes</t>
        </is>
      </c>
      <c r="O1098" s="29" t="n">
        <v>0</v>
      </c>
      <c r="P1098" s="30" t="n">
        <v>450</v>
      </c>
      <c r="Q1098" s="31" t="inlineStr">
        <is>
          <t>In Stock</t>
        </is>
      </c>
      <c r="R1098" s="27" t="n"/>
      <c r="S1098" s="27" t="n"/>
      <c r="T1098" s="27" t="n"/>
      <c r="U1098" s="27" t="n"/>
      <c r="V1098" s="27" t="n"/>
      <c r="W1098" s="27" t="n"/>
      <c r="X1098" s="27" t="n"/>
      <c r="Y1098" s="27" t="n"/>
      <c r="Z1098" s="27" t="n"/>
    </row>
    <row r="1099" ht="12.5" customHeight="1" s="85">
      <c r="A1099" s="27" t="inlineStr">
        <is>
          <t>TASTY RICE PLAIN PALADA 200GM</t>
        </is>
      </c>
      <c r="B1099" s="27" t="n"/>
      <c r="C1099" s="27" t="inlineStr">
        <is>
          <t>Ready to Eat &amp; Mixes</t>
        </is>
      </c>
      <c r="D1099" s="28" t="inlineStr">
        <is>
          <t>8907093006082</t>
        </is>
      </c>
      <c r="E1099" s="27" t="n"/>
      <c r="F1099" s="29" t="n">
        <v>0</v>
      </c>
      <c r="G1099" s="29" t="n">
        <v>60</v>
      </c>
      <c r="H1099" s="27" t="inlineStr">
        <is>
          <t>Exclusive</t>
        </is>
      </c>
      <c r="I1099" s="29" t="n">
        <v>49</v>
      </c>
      <c r="J1099" s="27" t="inlineStr">
        <is>
          <t>Exclusive</t>
        </is>
      </c>
      <c r="K1099" s="29" t="n">
        <v>60</v>
      </c>
      <c r="L1099" s="29" t="n">
        <v>5</v>
      </c>
      <c r="M1099" s="33" t="n">
        <v>1</v>
      </c>
      <c r="N1099" s="27" t="inlineStr">
        <is>
          <t>Yes</t>
        </is>
      </c>
      <c r="O1099" s="29" t="n">
        <v>0</v>
      </c>
      <c r="P1099" s="30" t="n">
        <v>450</v>
      </c>
      <c r="Q1099" s="31" t="inlineStr">
        <is>
          <t>In Stock</t>
        </is>
      </c>
      <c r="R1099" s="27" t="n"/>
      <c r="S1099" s="27" t="n"/>
      <c r="T1099" s="27" t="n"/>
      <c r="U1099" s="27" t="n"/>
      <c r="V1099" s="27" t="n"/>
      <c r="W1099" s="27" t="n"/>
      <c r="X1099" s="27" t="n"/>
      <c r="Y1099" s="27" t="n"/>
      <c r="Z1099" s="27" t="n"/>
    </row>
    <row r="1100" ht="12.5" customHeight="1" s="85">
      <c r="A1100" s="27" t="inlineStr">
        <is>
          <t>TASTY WHITE PUTTU PODI 500GM</t>
        </is>
      </c>
      <c r="B1100" s="27" t="n"/>
      <c r="C1100" s="27" t="inlineStr">
        <is>
          <t>Grains &amp; Flours</t>
        </is>
      </c>
      <c r="D1100" s="32" t="inlineStr">
        <is>
          <t>100420</t>
        </is>
      </c>
      <c r="E1100" s="27" t="n"/>
      <c r="F1100" s="29" t="n">
        <v>0</v>
      </c>
      <c r="G1100" s="29" t="n">
        <v>70</v>
      </c>
      <c r="H1100" s="27" t="inlineStr">
        <is>
          <t>Exclusive</t>
        </is>
      </c>
      <c r="I1100" s="29" t="n">
        <v>51.33</v>
      </c>
      <c r="J1100" s="27" t="inlineStr">
        <is>
          <t>Exclusive</t>
        </is>
      </c>
      <c r="K1100" s="29" t="n">
        <v>0</v>
      </c>
      <c r="L1100" s="29" t="n">
        <v>0</v>
      </c>
      <c r="M1100" s="27" t="n"/>
      <c r="N1100" s="27" t="inlineStr">
        <is>
          <t>Yes</t>
        </is>
      </c>
      <c r="O1100" s="29" t="n">
        <v>0</v>
      </c>
      <c r="P1100" s="30" t="n">
        <v>450</v>
      </c>
      <c r="Q1100" s="31" t="inlineStr">
        <is>
          <t>In Stock</t>
        </is>
      </c>
      <c r="R1100" s="27" t="n"/>
      <c r="S1100" s="27" t="n"/>
      <c r="T1100" s="27" t="n"/>
      <c r="U1100" s="27" t="n"/>
      <c r="V1100" s="27" t="n"/>
      <c r="W1100" s="27" t="n"/>
      <c r="X1100" s="27" t="n"/>
      <c r="Y1100" s="27" t="n"/>
      <c r="Z1100" s="27" t="n"/>
    </row>
    <row r="1101" ht="12.5" customHeight="1" s="85">
      <c r="A1101" s="27" t="inlineStr">
        <is>
          <t>TECHNICAL SERVICE</t>
        </is>
      </c>
      <c r="B1101" s="27" t="n"/>
      <c r="C1101" s="27" t="inlineStr">
        <is>
          <t>Household &amp; Cleaning</t>
        </is>
      </c>
      <c r="D1101" s="32" t="inlineStr">
        <is>
          <t>100421</t>
        </is>
      </c>
      <c r="E1101" s="27" t="n"/>
      <c r="F1101" s="29" t="n">
        <v>0</v>
      </c>
      <c r="G1101" s="29" t="n">
        <v>230</v>
      </c>
      <c r="H1101" s="27" t="inlineStr">
        <is>
          <t>Inclusive</t>
        </is>
      </c>
      <c r="I1101" s="29" t="n">
        <v>0</v>
      </c>
      <c r="J1101" s="27" t="inlineStr">
        <is>
          <t>Exclusive</t>
        </is>
      </c>
      <c r="K1101" s="29" t="n">
        <v>0</v>
      </c>
      <c r="L1101" s="29" t="n">
        <v>0</v>
      </c>
      <c r="M1101" s="33" t="n">
        <v>1</v>
      </c>
      <c r="N1101" s="27" t="inlineStr">
        <is>
          <t>No</t>
        </is>
      </c>
      <c r="O1101" s="29" t="n">
        <v>0</v>
      </c>
      <c r="P1101" s="30" t="n">
        <v>450</v>
      </c>
      <c r="Q1101" s="31" t="inlineStr">
        <is>
          <t>In Stock</t>
        </is>
      </c>
      <c r="R1101" s="27" t="n"/>
      <c r="S1101" s="27" t="n"/>
      <c r="T1101" s="27" t="n"/>
      <c r="U1101" s="27" t="n"/>
      <c r="V1101" s="27" t="n"/>
      <c r="W1101" s="27" t="n"/>
      <c r="X1101" s="27" t="n"/>
      <c r="Y1101" s="27" t="n"/>
      <c r="Z1101" s="27" t="n"/>
    </row>
    <row r="1102" ht="12.5" customHeight="1" s="85">
      <c r="A1102" s="27" t="inlineStr">
        <is>
          <t>THORTH</t>
        </is>
      </c>
      <c r="B1102" s="27" t="n"/>
      <c r="C1102" s="27" t="inlineStr">
        <is>
          <t>Kerala Clothing</t>
        </is>
      </c>
      <c r="D1102" s="28" t="inlineStr">
        <is>
          <t>921392972994</t>
        </is>
      </c>
      <c r="E1102" s="27" t="n"/>
      <c r="F1102" s="29" t="n">
        <v>0</v>
      </c>
      <c r="G1102" s="29" t="n">
        <v>60</v>
      </c>
      <c r="H1102" s="27" t="inlineStr">
        <is>
          <t>Exclusive</t>
        </is>
      </c>
      <c r="I1102" s="29" t="n">
        <v>53</v>
      </c>
      <c r="J1102" s="27" t="inlineStr">
        <is>
          <t>Exclusive</t>
        </is>
      </c>
      <c r="K1102" s="29" t="n">
        <v>90</v>
      </c>
      <c r="L1102" s="29" t="n">
        <v>1</v>
      </c>
      <c r="M1102" s="33" t="n">
        <v>1</v>
      </c>
      <c r="N1102" s="27" t="inlineStr">
        <is>
          <t>Yes</t>
        </is>
      </c>
      <c r="O1102" s="29" t="n">
        <v>0</v>
      </c>
      <c r="P1102" s="30" t="n">
        <v>450</v>
      </c>
      <c r="Q1102" s="31" t="inlineStr">
        <is>
          <t>In Stock</t>
        </is>
      </c>
      <c r="R1102" s="27" t="n"/>
      <c r="S1102" s="27" t="n"/>
      <c r="T1102" s="27" t="n"/>
      <c r="U1102" s="27" t="n"/>
      <c r="V1102" s="27" t="n"/>
      <c r="W1102" s="27" t="n"/>
      <c r="X1102" s="27" t="n"/>
      <c r="Y1102" s="27" t="n"/>
      <c r="Z1102" s="27" t="n"/>
    </row>
    <row r="1103" ht="12.5" customHeight="1" s="85">
      <c r="A1103" s="27" t="inlineStr">
        <is>
          <t>THUMB BIBLE BIG</t>
        </is>
      </c>
      <c r="B1103" s="27" t="n"/>
      <c r="C1103" s="27" t="inlineStr">
        <is>
          <t>Books &amp; Bibles</t>
        </is>
      </c>
      <c r="D1103" s="32" t="inlineStr">
        <is>
          <t>100422</t>
        </is>
      </c>
      <c r="E1103" s="27" t="n"/>
      <c r="F1103" s="29" t="n">
        <v>0</v>
      </c>
      <c r="G1103" s="29" t="n">
        <v>900</v>
      </c>
      <c r="H1103" s="27" t="inlineStr">
        <is>
          <t>Exclusive</t>
        </is>
      </c>
      <c r="I1103" s="29" t="n">
        <v>600</v>
      </c>
      <c r="J1103" s="27" t="inlineStr">
        <is>
          <t>Exclusive</t>
        </is>
      </c>
      <c r="K1103" s="29" t="n">
        <v>1200</v>
      </c>
      <c r="L1103" s="29" t="n">
        <v>0</v>
      </c>
      <c r="M1103" s="33" t="n">
        <v>1</v>
      </c>
      <c r="N1103" s="27" t="inlineStr">
        <is>
          <t>Yes</t>
        </is>
      </c>
      <c r="O1103" s="29" t="n">
        <v>0</v>
      </c>
      <c r="P1103" s="30" t="n">
        <v>450</v>
      </c>
      <c r="Q1103" s="31" t="inlineStr">
        <is>
          <t>In Stock</t>
        </is>
      </c>
      <c r="R1103" s="27" t="n"/>
      <c r="S1103" s="27" t="n"/>
      <c r="T1103" s="27" t="n"/>
      <c r="U1103" s="27" t="n"/>
      <c r="V1103" s="27" t="n"/>
      <c r="W1103" s="27" t="n"/>
      <c r="X1103" s="27" t="n"/>
      <c r="Y1103" s="27" t="n"/>
      <c r="Z1103" s="27" t="n"/>
    </row>
    <row r="1104" ht="12.5" customHeight="1" s="85">
      <c r="A1104" s="27" t="inlineStr">
        <is>
          <t>THUMB BIBLE NEW SMALL</t>
        </is>
      </c>
      <c r="B1104" s="27" t="n"/>
      <c r="C1104" s="27" t="inlineStr">
        <is>
          <t>Books &amp; Bibles</t>
        </is>
      </c>
      <c r="D1104" s="32" t="inlineStr">
        <is>
          <t>100423</t>
        </is>
      </c>
      <c r="E1104" s="27" t="n"/>
      <c r="F1104" s="29" t="n">
        <v>0</v>
      </c>
      <c r="G1104" s="29" t="n">
        <v>800</v>
      </c>
      <c r="H1104" s="27" t="inlineStr">
        <is>
          <t>Exclusive</t>
        </is>
      </c>
      <c r="I1104" s="29" t="n">
        <v>450</v>
      </c>
      <c r="J1104" s="27" t="inlineStr">
        <is>
          <t>Exclusive</t>
        </is>
      </c>
      <c r="K1104" s="29" t="n">
        <v>1100</v>
      </c>
      <c r="L1104" s="29" t="n">
        <v>29</v>
      </c>
      <c r="M1104" s="33" t="n">
        <v>1</v>
      </c>
      <c r="N1104" s="27" t="inlineStr">
        <is>
          <t>Yes</t>
        </is>
      </c>
      <c r="O1104" s="29" t="n">
        <v>0</v>
      </c>
      <c r="P1104" s="30" t="n">
        <v>450</v>
      </c>
      <c r="Q1104" s="31" t="inlineStr">
        <is>
          <t>In Stock</t>
        </is>
      </c>
      <c r="R1104" s="27" t="n"/>
      <c r="S1104" s="27" t="n"/>
      <c r="T1104" s="27" t="n"/>
      <c r="U1104" s="27" t="n"/>
      <c r="V1104" s="27" t="n"/>
      <c r="W1104" s="27" t="n"/>
      <c r="X1104" s="27" t="n"/>
      <c r="Y1104" s="27" t="n"/>
      <c r="Z1104" s="27" t="n"/>
    </row>
    <row r="1105" ht="12.5" customHeight="1" s="85">
      <c r="A1105" s="27" t="inlineStr">
        <is>
          <t>THUMB INDEX BIBLE</t>
        </is>
      </c>
      <c r="B1105" s="27" t="n"/>
      <c r="C1105" s="27" t="inlineStr">
        <is>
          <t>Books &amp; Bibles</t>
        </is>
      </c>
      <c r="D1105" s="28" t="inlineStr">
        <is>
          <t>815973082609</t>
        </is>
      </c>
      <c r="E1105" s="27" t="n"/>
      <c r="F1105" s="29" t="n">
        <v>0</v>
      </c>
      <c r="G1105" s="29" t="n">
        <v>800</v>
      </c>
      <c r="H1105" s="27" t="inlineStr">
        <is>
          <t>Inclusive</t>
        </is>
      </c>
      <c r="I1105" s="29" t="n">
        <v>650</v>
      </c>
      <c r="J1105" s="27" t="inlineStr">
        <is>
          <t>Inclusive</t>
        </is>
      </c>
      <c r="K1105" s="29" t="n">
        <v>1100</v>
      </c>
      <c r="L1105" s="29" t="n">
        <v>0</v>
      </c>
      <c r="M1105" s="33" t="n">
        <v>1</v>
      </c>
      <c r="N1105" s="27" t="inlineStr">
        <is>
          <t>Yes</t>
        </is>
      </c>
      <c r="O1105" s="29" t="n">
        <v>0</v>
      </c>
      <c r="P1105" s="30" t="n">
        <v>450</v>
      </c>
      <c r="Q1105" s="31" t="inlineStr">
        <is>
          <t>In Stock</t>
        </is>
      </c>
      <c r="R1105" s="27" t="n"/>
      <c r="S1105" s="27" t="n"/>
      <c r="T1105" s="27" t="n"/>
      <c r="U1105" s="27" t="n"/>
      <c r="V1105" s="27" t="n"/>
      <c r="W1105" s="27" t="n"/>
      <c r="X1105" s="27" t="n"/>
      <c r="Y1105" s="27" t="n"/>
      <c r="Z1105" s="27" t="n"/>
    </row>
    <row r="1106" ht="12.5" customHeight="1" s="85">
      <c r="A1106" s="27" t="inlineStr">
        <is>
          <t>TIGER RED TEA POWDER 250GM</t>
        </is>
      </c>
      <c r="B1106" s="27" t="n"/>
      <c r="C1106" s="27" t="inlineStr">
        <is>
          <t>Beverages</t>
        </is>
      </c>
      <c r="D1106" s="28" t="inlineStr">
        <is>
          <t>700600018541</t>
        </is>
      </c>
      <c r="E1106" s="27" t="n"/>
      <c r="F1106" s="29" t="n">
        <v>0</v>
      </c>
      <c r="G1106" s="29" t="n">
        <v>90</v>
      </c>
      <c r="H1106" s="27" t="inlineStr">
        <is>
          <t>Exclusive</t>
        </is>
      </c>
      <c r="I1106" s="29" t="n">
        <v>70</v>
      </c>
      <c r="J1106" s="27" t="inlineStr">
        <is>
          <t>Exclusive</t>
        </is>
      </c>
      <c r="K1106" s="29" t="n">
        <v>90</v>
      </c>
      <c r="L1106" s="29" t="n">
        <v>2</v>
      </c>
      <c r="M1106" s="33" t="n">
        <v>1</v>
      </c>
      <c r="N1106" s="27" t="inlineStr">
        <is>
          <t>Yes</t>
        </is>
      </c>
      <c r="O1106" s="29" t="n">
        <v>0</v>
      </c>
      <c r="P1106" s="30" t="n">
        <v>450</v>
      </c>
      <c r="Q1106" s="31" t="inlineStr">
        <is>
          <t>In Stock</t>
        </is>
      </c>
      <c r="R1106" s="27" t="n"/>
      <c r="S1106" s="27" t="n"/>
      <c r="T1106" s="27" t="n"/>
      <c r="U1106" s="27" t="n"/>
      <c r="V1106" s="27" t="n"/>
      <c r="W1106" s="27" t="n"/>
      <c r="X1106" s="27" t="n"/>
      <c r="Y1106" s="27" t="n"/>
      <c r="Z1106" s="27" t="n"/>
    </row>
    <row r="1107" ht="12.5" customHeight="1" s="85">
      <c r="A1107" s="27" t="inlineStr">
        <is>
          <t>TIGER RED TEA POWDER 500 GM</t>
        </is>
      </c>
      <c r="B1107" s="27" t="n"/>
      <c r="C1107" s="27" t="inlineStr">
        <is>
          <t>Beverages</t>
        </is>
      </c>
      <c r="D1107" s="32" t="inlineStr">
        <is>
          <t>100424</t>
        </is>
      </c>
      <c r="E1107" s="29" t="n">
        <v>9024060</v>
      </c>
      <c r="F1107" s="29" t="n">
        <v>5</v>
      </c>
      <c r="G1107" s="29" t="n">
        <v>190</v>
      </c>
      <c r="H1107" s="27" t="inlineStr">
        <is>
          <t>Exclusive</t>
        </is>
      </c>
      <c r="I1107" s="29" t="n">
        <v>140</v>
      </c>
      <c r="J1107" s="27" t="inlineStr">
        <is>
          <t>Exclusive</t>
        </is>
      </c>
      <c r="K1107" s="29" t="n">
        <v>0</v>
      </c>
      <c r="L1107" s="29" t="n">
        <v>0</v>
      </c>
      <c r="M1107" s="27" t="n"/>
      <c r="N1107" s="27" t="inlineStr">
        <is>
          <t>Yes</t>
        </is>
      </c>
      <c r="O1107" s="29" t="n">
        <v>0</v>
      </c>
      <c r="P1107" s="30" t="n">
        <v>450</v>
      </c>
      <c r="Q1107" s="31" t="inlineStr">
        <is>
          <t>In Stock</t>
        </is>
      </c>
      <c r="R1107" s="27" t="n"/>
      <c r="S1107" s="27" t="n"/>
      <c r="T1107" s="27" t="n"/>
      <c r="U1107" s="27" t="n"/>
      <c r="V1107" s="27" t="n"/>
      <c r="W1107" s="27" t="n"/>
      <c r="X1107" s="27" t="n"/>
      <c r="Y1107" s="27" t="n"/>
      <c r="Z1107" s="27" t="n"/>
    </row>
    <row r="1108" ht="12.5" customHeight="1" s="85">
      <c r="A1108" s="27" t="inlineStr">
        <is>
          <t>TN AAVIYAL RTE</t>
        </is>
      </c>
      <c r="B1108" s="27" t="n"/>
      <c r="C1108" s="27" t="inlineStr">
        <is>
          <t>Ready to Eat &amp; Mixes</t>
        </is>
      </c>
      <c r="D1108" s="28" t="inlineStr">
        <is>
          <t>8907093040628</t>
        </is>
      </c>
      <c r="E1108" s="27" t="n"/>
      <c r="F1108" s="29" t="n">
        <v>0</v>
      </c>
      <c r="G1108" s="29" t="n">
        <v>140</v>
      </c>
      <c r="H1108" s="27" t="inlineStr">
        <is>
          <t>Exclusive</t>
        </is>
      </c>
      <c r="I1108" s="29" t="n">
        <v>110</v>
      </c>
      <c r="J1108" s="27" t="inlineStr">
        <is>
          <t>Exclusive</t>
        </is>
      </c>
      <c r="K1108" s="29" t="n">
        <v>140</v>
      </c>
      <c r="L1108" s="29" t="n">
        <v>0</v>
      </c>
      <c r="M1108" s="33" t="n">
        <v>1</v>
      </c>
      <c r="N1108" s="27" t="inlineStr">
        <is>
          <t>Yes</t>
        </is>
      </c>
      <c r="O1108" s="29" t="n">
        <v>0</v>
      </c>
      <c r="P1108" s="30" t="n">
        <v>450</v>
      </c>
      <c r="Q1108" s="31" t="inlineStr">
        <is>
          <t>In Stock</t>
        </is>
      </c>
      <c r="R1108" s="27" t="n"/>
      <c r="S1108" s="27" t="n"/>
      <c r="T1108" s="27" t="n"/>
      <c r="U1108" s="27" t="n"/>
      <c r="V1108" s="27" t="n"/>
      <c r="W1108" s="27" t="n"/>
      <c r="X1108" s="27" t="n"/>
      <c r="Y1108" s="27" t="n"/>
      <c r="Z1108" s="27" t="n"/>
    </row>
    <row r="1109" ht="12.5" customHeight="1" s="85">
      <c r="A1109" s="27" t="inlineStr">
        <is>
          <t>TN ANGAMALI MANGA CURRY</t>
        </is>
      </c>
      <c r="B1109" s="27" t="n"/>
      <c r="C1109" s="27" t="inlineStr">
        <is>
          <t>Ready to Eat &amp; Mixes</t>
        </is>
      </c>
      <c r="D1109" s="28" t="inlineStr">
        <is>
          <t>8907093008079</t>
        </is>
      </c>
      <c r="E1109" s="27" t="n"/>
      <c r="F1109" s="29" t="n">
        <v>0</v>
      </c>
      <c r="G1109" s="29" t="n">
        <v>195</v>
      </c>
      <c r="H1109" s="27" t="inlineStr">
        <is>
          <t>Inclusive</t>
        </is>
      </c>
      <c r="I1109" s="29" t="n">
        <v>128</v>
      </c>
      <c r="J1109" s="27" t="inlineStr">
        <is>
          <t>Inclusive</t>
        </is>
      </c>
      <c r="K1109" s="29" t="n">
        <v>195</v>
      </c>
      <c r="L1109" s="29" t="n">
        <v>180</v>
      </c>
      <c r="M1109" s="33" t="n">
        <v>1</v>
      </c>
      <c r="N1109" s="27" t="inlineStr">
        <is>
          <t>Yes</t>
        </is>
      </c>
      <c r="O1109" s="29" t="n">
        <v>0</v>
      </c>
      <c r="P1109" s="30" t="n">
        <v>450</v>
      </c>
      <c r="Q1109" s="31" t="inlineStr">
        <is>
          <t>In Stock</t>
        </is>
      </c>
      <c r="R1109" s="27" t="n"/>
      <c r="S1109" s="27" t="n"/>
      <c r="T1109" s="27" t="n"/>
      <c r="U1109" s="27" t="n"/>
      <c r="V1109" s="27" t="n"/>
      <c r="W1109" s="27" t="n"/>
      <c r="X1109" s="27" t="n"/>
      <c r="Y1109" s="27" t="n"/>
      <c r="Z1109" s="27" t="n"/>
    </row>
    <row r="1110" ht="12.5" customHeight="1" s="85">
      <c r="A1110" s="27" t="inlineStr">
        <is>
          <t>TN APPAM IDIAPPAM PODI 1KG</t>
        </is>
      </c>
      <c r="B1110" s="27" t="n"/>
      <c r="C1110" s="27" t="inlineStr">
        <is>
          <t>Grains &amp; Flours</t>
        </is>
      </c>
      <c r="D1110" s="32" t="inlineStr">
        <is>
          <t>100425</t>
        </is>
      </c>
      <c r="E1110" s="27" t="n"/>
      <c r="F1110" s="29" t="n">
        <v>0</v>
      </c>
      <c r="G1110" s="29" t="n">
        <v>135</v>
      </c>
      <c r="H1110" s="27" t="inlineStr">
        <is>
          <t>Exclusive</t>
        </is>
      </c>
      <c r="I1110" s="29" t="n">
        <v>121</v>
      </c>
      <c r="J1110" s="27" t="inlineStr">
        <is>
          <t>Exclusive</t>
        </is>
      </c>
      <c r="K1110" s="29" t="n">
        <v>135</v>
      </c>
      <c r="L1110" s="29" t="n">
        <v>0</v>
      </c>
      <c r="M1110" s="33" t="n">
        <v>1</v>
      </c>
      <c r="N1110" s="27" t="inlineStr">
        <is>
          <t>Yes</t>
        </is>
      </c>
      <c r="O1110" s="29" t="n">
        <v>0</v>
      </c>
      <c r="P1110" s="30" t="n">
        <v>450</v>
      </c>
      <c r="Q1110" s="31" t="inlineStr">
        <is>
          <t>In Stock</t>
        </is>
      </c>
      <c r="R1110" s="27" t="n"/>
      <c r="S1110" s="27" t="n"/>
      <c r="T1110" s="27" t="n"/>
      <c r="U1110" s="27" t="n"/>
      <c r="V1110" s="27" t="n"/>
      <c r="W1110" s="27" t="n"/>
      <c r="X1110" s="27" t="n"/>
      <c r="Y1110" s="27" t="n"/>
      <c r="Z1110" s="27" t="n"/>
    </row>
    <row r="1111" ht="12.5" customHeight="1" s="85">
      <c r="A1111" s="27" t="inlineStr">
        <is>
          <t>TN APPAM IDIYAPPAM PODI 500GM</t>
        </is>
      </c>
      <c r="B1111" s="27" t="n"/>
      <c r="C1111" s="27" t="inlineStr">
        <is>
          <t>Grains &amp; Flours</t>
        </is>
      </c>
      <c r="D1111" s="28" t="inlineStr">
        <is>
          <t>8907093007881</t>
        </is>
      </c>
      <c r="E1111" s="27" t="n"/>
      <c r="F1111" s="29" t="n">
        <v>0</v>
      </c>
      <c r="G1111" s="29" t="n">
        <v>70</v>
      </c>
      <c r="H1111" s="27" t="inlineStr">
        <is>
          <t>Exclusive</t>
        </is>
      </c>
      <c r="I1111" s="29" t="n">
        <v>62</v>
      </c>
      <c r="J1111" s="27" t="inlineStr">
        <is>
          <t>Exclusive</t>
        </is>
      </c>
      <c r="K1111" s="29" t="n">
        <v>55</v>
      </c>
      <c r="L1111" s="29" t="n">
        <v>3</v>
      </c>
      <c r="M1111" s="33" t="n">
        <v>1</v>
      </c>
      <c r="N1111" s="27" t="inlineStr">
        <is>
          <t>Yes</t>
        </is>
      </c>
      <c r="O1111" s="29" t="n">
        <v>0</v>
      </c>
      <c r="P1111" s="30" t="n">
        <v>450</v>
      </c>
      <c r="Q1111" s="31" t="inlineStr">
        <is>
          <t>In Stock</t>
        </is>
      </c>
      <c r="R1111" s="27" t="n"/>
      <c r="S1111" s="27" t="n"/>
      <c r="T1111" s="27" t="n"/>
      <c r="U1111" s="27" t="n"/>
      <c r="V1111" s="27" t="n"/>
      <c r="W1111" s="27" t="n"/>
      <c r="X1111" s="27" t="n"/>
      <c r="Y1111" s="27" t="n"/>
      <c r="Z1111" s="27" t="n"/>
    </row>
    <row r="1112" ht="12.5" customHeight="1" s="85">
      <c r="A1112" s="27" t="inlineStr">
        <is>
          <t>TN APPLE CEDAR VINAGER 250MG</t>
        </is>
      </c>
      <c r="B1112" s="27" t="n"/>
      <c r="C1112" s="27" t="inlineStr">
        <is>
          <t>Ready to Eat &amp; Mixes</t>
        </is>
      </c>
      <c r="D1112" s="28" t="inlineStr">
        <is>
          <t>8907093005108</t>
        </is>
      </c>
      <c r="E1112" s="27" t="n"/>
      <c r="F1112" s="29" t="n">
        <v>0</v>
      </c>
      <c r="G1112" s="29" t="n">
        <v>120</v>
      </c>
      <c r="H1112" s="27" t="inlineStr">
        <is>
          <t>Inclusive</t>
        </is>
      </c>
      <c r="I1112" s="29" t="n">
        <v>95</v>
      </c>
      <c r="J1112" s="27" t="inlineStr">
        <is>
          <t>Inclusive</t>
        </is>
      </c>
      <c r="K1112" s="29" t="n">
        <v>120</v>
      </c>
      <c r="L1112" s="29" t="n">
        <v>0</v>
      </c>
      <c r="M1112" s="33" t="n">
        <v>1</v>
      </c>
      <c r="N1112" s="27" t="inlineStr">
        <is>
          <t>No</t>
        </is>
      </c>
      <c r="O1112" s="29" t="n">
        <v>0</v>
      </c>
      <c r="P1112" s="30" t="n">
        <v>450</v>
      </c>
      <c r="Q1112" s="31" t="inlineStr">
        <is>
          <t>In Stock</t>
        </is>
      </c>
      <c r="R1112" s="27" t="n"/>
      <c r="S1112" s="27" t="n"/>
      <c r="T1112" s="27" t="n"/>
      <c r="U1112" s="27" t="n"/>
      <c r="V1112" s="27" t="n"/>
      <c r="W1112" s="27" t="n"/>
      <c r="X1112" s="27" t="n"/>
      <c r="Y1112" s="27" t="n"/>
      <c r="Z1112" s="27" t="n"/>
    </row>
    <row r="1113" ht="12.5" customHeight="1" s="85">
      <c r="A1113" s="27" t="inlineStr">
        <is>
          <t>TN BANANA POWDER 200GM</t>
        </is>
      </c>
      <c r="B1113" s="27" t="n"/>
      <c r="C1113" s="27" t="inlineStr">
        <is>
          <t>Grains &amp; Flours</t>
        </is>
      </c>
      <c r="D1113" s="28" t="inlineStr">
        <is>
          <t>8907093007195</t>
        </is>
      </c>
      <c r="E1113" s="27" t="n"/>
      <c r="F1113" s="29" t="n">
        <v>0</v>
      </c>
      <c r="G1113" s="29" t="n">
        <v>170</v>
      </c>
      <c r="H1113" s="27" t="inlineStr">
        <is>
          <t>Exclusive</t>
        </is>
      </c>
      <c r="I1113" s="29" t="n">
        <v>138</v>
      </c>
      <c r="J1113" s="27" t="inlineStr">
        <is>
          <t>Exclusive</t>
        </is>
      </c>
      <c r="K1113" s="29" t="n">
        <v>170</v>
      </c>
      <c r="L1113" s="29" t="n">
        <v>0</v>
      </c>
      <c r="M1113" s="33" t="n">
        <v>1</v>
      </c>
      <c r="N1113" s="27" t="inlineStr">
        <is>
          <t>Yes</t>
        </is>
      </c>
      <c r="O1113" s="29" t="n">
        <v>0</v>
      </c>
      <c r="P1113" s="30" t="n">
        <v>450</v>
      </c>
      <c r="Q1113" s="31" t="inlineStr">
        <is>
          <t>In Stock</t>
        </is>
      </c>
      <c r="R1113" s="27" t="n"/>
      <c r="S1113" s="27" t="n"/>
      <c r="T1113" s="27" t="n"/>
      <c r="U1113" s="27" t="n"/>
      <c r="V1113" s="27" t="n"/>
      <c r="W1113" s="27" t="n"/>
      <c r="X1113" s="27" t="n"/>
      <c r="Y1113" s="27" t="n"/>
      <c r="Z1113" s="27" t="n"/>
    </row>
    <row r="1114" ht="12.5" customHeight="1" s="85">
      <c r="A1114" s="27" t="inlineStr">
        <is>
          <t>TN BOILED CHINESE POTATO 300GM</t>
        </is>
      </c>
      <c r="B1114" s="27" t="n"/>
      <c r="C1114" s="27" t="inlineStr">
        <is>
          <t>Raw Items &amp; Produce</t>
        </is>
      </c>
      <c r="D1114" s="32" t="inlineStr">
        <is>
          <t>100426</t>
        </is>
      </c>
      <c r="E1114" s="27" t="n"/>
      <c r="F1114" s="29" t="n">
        <v>0</v>
      </c>
      <c r="G1114" s="29" t="n">
        <v>175</v>
      </c>
      <c r="H1114" s="27" t="inlineStr">
        <is>
          <t>Exclusive</t>
        </is>
      </c>
      <c r="I1114" s="29" t="n">
        <v>100</v>
      </c>
      <c r="J1114" s="27" t="inlineStr">
        <is>
          <t>Exclusive</t>
        </is>
      </c>
      <c r="K1114" s="29" t="n">
        <v>0</v>
      </c>
      <c r="L1114" s="29" t="n">
        <v>0</v>
      </c>
      <c r="M1114" s="27" t="n"/>
      <c r="N1114" s="27" t="inlineStr">
        <is>
          <t>Yes</t>
        </is>
      </c>
      <c r="O1114" s="29" t="n">
        <v>0</v>
      </c>
      <c r="P1114" s="30" t="n">
        <v>450</v>
      </c>
      <c r="Q1114" s="31" t="inlineStr">
        <is>
          <t>In Stock</t>
        </is>
      </c>
      <c r="R1114" s="27" t="n"/>
      <c r="S1114" s="27" t="n"/>
      <c r="T1114" s="27" t="n"/>
      <c r="U1114" s="27" t="n"/>
      <c r="V1114" s="27" t="n"/>
      <c r="W1114" s="27" t="n"/>
      <c r="X1114" s="27" t="n"/>
      <c r="Y1114" s="27" t="n"/>
      <c r="Z1114" s="27" t="n"/>
    </row>
    <row r="1115" ht="12.5" customHeight="1" s="85">
      <c r="A1115" s="27" t="inlineStr">
        <is>
          <t>TN CHAKKA VARALTY</t>
        </is>
      </c>
      <c r="B1115" s="27" t="n"/>
      <c r="C1115" s="27" t="inlineStr">
        <is>
          <t>Snacks</t>
        </is>
      </c>
      <c r="D1115" s="28" t="inlineStr">
        <is>
          <t>8907093005122</t>
        </is>
      </c>
      <c r="E1115" s="27" t="n"/>
      <c r="F1115" s="29" t="n">
        <v>0</v>
      </c>
      <c r="G1115" s="29" t="n">
        <v>190</v>
      </c>
      <c r="H1115" s="27" t="inlineStr">
        <is>
          <t>Exclusive</t>
        </is>
      </c>
      <c r="I1115" s="29" t="n">
        <v>162</v>
      </c>
      <c r="J1115" s="27" t="inlineStr">
        <is>
          <t>Exclusive</t>
        </is>
      </c>
      <c r="K1115" s="29" t="n">
        <v>190</v>
      </c>
      <c r="L1115" s="29" t="n">
        <v>0</v>
      </c>
      <c r="M1115" s="33" t="n">
        <v>1</v>
      </c>
      <c r="N1115" s="27" t="inlineStr">
        <is>
          <t>Yes</t>
        </is>
      </c>
      <c r="O1115" s="29" t="n">
        <v>0</v>
      </c>
      <c r="P1115" s="30" t="n">
        <v>450</v>
      </c>
      <c r="Q1115" s="31" t="inlineStr">
        <is>
          <t>In Stock</t>
        </is>
      </c>
      <c r="R1115" s="27" t="n"/>
      <c r="S1115" s="27" t="n"/>
      <c r="T1115" s="27" t="n"/>
      <c r="U1115" s="27" t="n"/>
      <c r="V1115" s="27" t="n"/>
      <c r="W1115" s="27" t="n"/>
      <c r="X1115" s="27" t="n"/>
      <c r="Y1115" s="27" t="n"/>
      <c r="Z1115" s="27" t="n"/>
    </row>
    <row r="1116" ht="12.5" customHeight="1" s="85">
      <c r="A1116" s="27" t="inlineStr">
        <is>
          <t>TN CHETTINADU PEPPER CHICKEN 200GM</t>
        </is>
      </c>
      <c r="B1116" s="27" t="n"/>
      <c r="C1116" s="27" t="inlineStr">
        <is>
          <t>Ready to Eat &amp; Mixes</t>
        </is>
      </c>
      <c r="D1116" s="28" t="inlineStr">
        <is>
          <t>8907093006990</t>
        </is>
      </c>
      <c r="E1116" s="27" t="n"/>
      <c r="F1116" s="29" t="n">
        <v>0</v>
      </c>
      <c r="G1116" s="29" t="n">
        <v>225</v>
      </c>
      <c r="H1116" s="27" t="inlineStr">
        <is>
          <t>Inclusive</t>
        </is>
      </c>
      <c r="I1116" s="29" t="n">
        <v>172</v>
      </c>
      <c r="J1116" s="27" t="inlineStr">
        <is>
          <t>Inclusive</t>
        </is>
      </c>
      <c r="K1116" s="29" t="n">
        <v>225</v>
      </c>
      <c r="L1116" s="29" t="n">
        <v>0</v>
      </c>
      <c r="M1116" s="33" t="n">
        <v>1</v>
      </c>
      <c r="N1116" s="27" t="inlineStr">
        <is>
          <t>Yes</t>
        </is>
      </c>
      <c r="O1116" s="29" t="n">
        <v>0</v>
      </c>
      <c r="P1116" s="30" t="n">
        <v>450</v>
      </c>
      <c r="Q1116" s="31" t="inlineStr">
        <is>
          <t>In Stock</t>
        </is>
      </c>
      <c r="R1116" s="27" t="n"/>
      <c r="S1116" s="27" t="n"/>
      <c r="T1116" s="27" t="n"/>
      <c r="U1116" s="27" t="n"/>
      <c r="V1116" s="27" t="n"/>
      <c r="W1116" s="27" t="n"/>
      <c r="X1116" s="27" t="n"/>
      <c r="Y1116" s="27" t="n"/>
      <c r="Z1116" s="27" t="n"/>
    </row>
    <row r="1117" ht="12.5" customHeight="1" s="85">
      <c r="A1117" s="27" t="inlineStr">
        <is>
          <t>TN CHICKEN PICKLE 200GM</t>
        </is>
      </c>
      <c r="B1117" s="27" t="n"/>
      <c r="C1117" s="27" t="inlineStr">
        <is>
          <t>Pickles</t>
        </is>
      </c>
      <c r="D1117" s="28" t="inlineStr">
        <is>
          <t>8907093006402</t>
        </is>
      </c>
      <c r="E1117" s="27" t="n"/>
      <c r="F1117" s="29" t="n">
        <v>0</v>
      </c>
      <c r="G1117" s="29" t="n">
        <v>190</v>
      </c>
      <c r="H1117" s="27" t="inlineStr">
        <is>
          <t>Inclusive</t>
        </is>
      </c>
      <c r="I1117" s="29" t="n">
        <v>149</v>
      </c>
      <c r="J1117" s="27" t="inlineStr">
        <is>
          <t>Inclusive</t>
        </is>
      </c>
      <c r="K1117" s="29" t="n">
        <v>190</v>
      </c>
      <c r="L1117" s="29" t="n">
        <v>5</v>
      </c>
      <c r="M1117" s="33" t="n">
        <v>1</v>
      </c>
      <c r="N1117" s="27" t="inlineStr">
        <is>
          <t>Yes</t>
        </is>
      </c>
      <c r="O1117" s="29" t="n">
        <v>0</v>
      </c>
      <c r="P1117" s="30" t="n">
        <v>450</v>
      </c>
      <c r="Q1117" s="31" t="inlineStr">
        <is>
          <t>In Stock</t>
        </is>
      </c>
      <c r="R1117" s="27" t="n"/>
      <c r="S1117" s="27" t="n"/>
      <c r="T1117" s="27" t="n"/>
      <c r="U1117" s="27" t="n"/>
      <c r="V1117" s="27" t="n"/>
      <c r="W1117" s="27" t="n"/>
      <c r="X1117" s="27" t="n"/>
      <c r="Y1117" s="27" t="n"/>
      <c r="Z1117" s="27" t="n"/>
    </row>
    <row r="1118" ht="12.5" customHeight="1" s="85">
      <c r="A1118" s="27" t="inlineStr">
        <is>
          <t>TN CHICKEN PICKLE 400GM</t>
        </is>
      </c>
      <c r="B1118" s="27" t="n"/>
      <c r="C1118" s="27" t="inlineStr">
        <is>
          <t>Pickles</t>
        </is>
      </c>
      <c r="D1118" s="28" t="inlineStr">
        <is>
          <t>8907093007034</t>
        </is>
      </c>
      <c r="E1118" s="27" t="n"/>
      <c r="F1118" s="29" t="n">
        <v>0</v>
      </c>
      <c r="G1118" s="29" t="n">
        <v>360</v>
      </c>
      <c r="H1118" s="27" t="inlineStr">
        <is>
          <t>Inclusive</t>
        </is>
      </c>
      <c r="I1118" s="29" t="n">
        <v>305</v>
      </c>
      <c r="J1118" s="27" t="inlineStr">
        <is>
          <t>Inclusive</t>
        </is>
      </c>
      <c r="K1118" s="29" t="n">
        <v>360</v>
      </c>
      <c r="L1118" s="29" t="n">
        <v>0</v>
      </c>
      <c r="M1118" s="33" t="n">
        <v>1</v>
      </c>
      <c r="N1118" s="27" t="inlineStr">
        <is>
          <t>Yes</t>
        </is>
      </c>
      <c r="O1118" s="29" t="n">
        <v>0</v>
      </c>
      <c r="P1118" s="30" t="n">
        <v>450</v>
      </c>
      <c r="Q1118" s="31" t="inlineStr">
        <is>
          <t>In Stock</t>
        </is>
      </c>
      <c r="R1118" s="27" t="n"/>
      <c r="S1118" s="27" t="n"/>
      <c r="T1118" s="27" t="n"/>
      <c r="U1118" s="27" t="n"/>
      <c r="V1118" s="27" t="n"/>
      <c r="W1118" s="27" t="n"/>
      <c r="X1118" s="27" t="n"/>
      <c r="Y1118" s="27" t="n"/>
      <c r="Z1118" s="27" t="n"/>
    </row>
    <row r="1119" ht="12.5" customHeight="1" s="85">
      <c r="A1119" s="27" t="inlineStr">
        <is>
          <t>TN COCONUT MILK POWDER 100GM</t>
        </is>
      </c>
      <c r="B1119" s="27" t="n"/>
      <c r="C1119" s="27" t="inlineStr">
        <is>
          <t>Ready to Eat &amp; Mixes</t>
        </is>
      </c>
      <c r="D1119" s="28" t="inlineStr">
        <is>
          <t>8907093011819</t>
        </is>
      </c>
      <c r="E1119" s="27" t="n"/>
      <c r="F1119" s="29" t="n">
        <v>0</v>
      </c>
      <c r="G1119" s="29" t="n">
        <v>180</v>
      </c>
      <c r="H1119" s="27" t="inlineStr">
        <is>
          <t>Exclusive</t>
        </is>
      </c>
      <c r="I1119" s="29" t="n">
        <v>122</v>
      </c>
      <c r="J1119" s="27" t="inlineStr">
        <is>
          <t>Exclusive</t>
        </is>
      </c>
      <c r="K1119" s="29" t="n">
        <v>0</v>
      </c>
      <c r="L1119" s="29" t="n">
        <v>0</v>
      </c>
      <c r="M1119" s="33" t="n">
        <v>1</v>
      </c>
      <c r="N1119" s="27" t="inlineStr">
        <is>
          <t>Yes</t>
        </is>
      </c>
      <c r="O1119" s="29" t="n">
        <v>0</v>
      </c>
      <c r="P1119" s="30" t="n">
        <v>450</v>
      </c>
      <c r="Q1119" s="31" t="inlineStr">
        <is>
          <t>In Stock</t>
        </is>
      </c>
      <c r="R1119" s="27" t="n"/>
      <c r="S1119" s="27" t="n"/>
      <c r="T1119" s="27" t="n"/>
      <c r="U1119" s="27" t="n"/>
      <c r="V1119" s="27" t="n"/>
      <c r="W1119" s="27" t="n"/>
      <c r="X1119" s="27" t="n"/>
      <c r="Y1119" s="27" t="n"/>
      <c r="Z1119" s="27" t="n"/>
    </row>
    <row r="1120" ht="12.5" customHeight="1" s="85">
      <c r="A1120" s="27" t="inlineStr">
        <is>
          <t>TN CORN FLOUR 150GM</t>
        </is>
      </c>
      <c r="B1120" s="27" t="n"/>
      <c r="C1120" s="27" t="inlineStr">
        <is>
          <t>Grains &amp; Flours</t>
        </is>
      </c>
      <c r="D1120" s="28" t="inlineStr">
        <is>
          <t>8907093005115</t>
        </is>
      </c>
      <c r="E1120" s="27" t="n"/>
      <c r="F1120" s="29" t="n">
        <v>0</v>
      </c>
      <c r="G1120" s="29" t="n">
        <v>45</v>
      </c>
      <c r="H1120" s="27" t="inlineStr">
        <is>
          <t>Inclusive</t>
        </is>
      </c>
      <c r="I1120" s="29" t="n">
        <v>38</v>
      </c>
      <c r="J1120" s="27" t="inlineStr">
        <is>
          <t>Inclusive</t>
        </is>
      </c>
      <c r="K1120" s="29" t="n">
        <v>45</v>
      </c>
      <c r="L1120" s="29" t="n">
        <v>6</v>
      </c>
      <c r="M1120" s="33" t="n">
        <v>1</v>
      </c>
      <c r="N1120" s="27" t="inlineStr">
        <is>
          <t>Yes</t>
        </is>
      </c>
      <c r="O1120" s="29" t="n">
        <v>0</v>
      </c>
      <c r="P1120" s="30" t="n">
        <v>450</v>
      </c>
      <c r="Q1120" s="31" t="inlineStr">
        <is>
          <t>In Stock</t>
        </is>
      </c>
      <c r="R1120" s="27" t="n"/>
      <c r="S1120" s="27" t="n"/>
      <c r="T1120" s="27" t="n"/>
      <c r="U1120" s="27" t="n"/>
      <c r="V1120" s="27" t="n"/>
      <c r="W1120" s="27" t="n"/>
      <c r="X1120" s="27" t="n"/>
      <c r="Y1120" s="27" t="n"/>
      <c r="Z1120" s="27" t="n"/>
    </row>
    <row r="1121" ht="12.5" customHeight="1" s="85">
      <c r="A1121" s="27" t="inlineStr">
        <is>
          <t>TN DUCK ROAST</t>
        </is>
      </c>
      <c r="B1121" s="27" t="n"/>
      <c r="C1121" s="27" t="inlineStr">
        <is>
          <t>Ready to Eat &amp; Mixes</t>
        </is>
      </c>
      <c r="D1121" s="28" t="inlineStr">
        <is>
          <t>8907093008857</t>
        </is>
      </c>
      <c r="E1121" s="27" t="n"/>
      <c r="F1121" s="29" t="n">
        <v>0</v>
      </c>
      <c r="G1121" s="29" t="n">
        <v>250</v>
      </c>
      <c r="H1121" s="27" t="inlineStr">
        <is>
          <t>Exclusive</t>
        </is>
      </c>
      <c r="I1121" s="29" t="n">
        <v>194</v>
      </c>
      <c r="J1121" s="27" t="inlineStr">
        <is>
          <t>Exclusive</t>
        </is>
      </c>
      <c r="K1121" s="29" t="n">
        <v>250</v>
      </c>
      <c r="L1121" s="29" t="n">
        <v>1</v>
      </c>
      <c r="M1121" s="33" t="n">
        <v>1</v>
      </c>
      <c r="N1121" s="27" t="inlineStr">
        <is>
          <t>Yes</t>
        </is>
      </c>
      <c r="O1121" s="29" t="n">
        <v>0</v>
      </c>
      <c r="P1121" s="30" t="n">
        <v>450</v>
      </c>
      <c r="Q1121" s="31" t="inlineStr">
        <is>
          <t>In Stock</t>
        </is>
      </c>
      <c r="R1121" s="27" t="n"/>
      <c r="S1121" s="27" t="n"/>
      <c r="T1121" s="27" t="n"/>
      <c r="U1121" s="27" t="n"/>
      <c r="V1121" s="27" t="n"/>
      <c r="W1121" s="27" t="n"/>
      <c r="X1121" s="27" t="n"/>
      <c r="Y1121" s="27" t="n"/>
      <c r="Z1121" s="27" t="n"/>
    </row>
    <row r="1122" ht="12.5" customHeight="1" s="85">
      <c r="A1122" s="27" t="inlineStr">
        <is>
          <t>TN FISH MOLEE 200GM</t>
        </is>
      </c>
      <c r="B1122" s="27" t="n"/>
      <c r="C1122" s="27" t="inlineStr">
        <is>
          <t>Ready to Eat &amp; Mixes</t>
        </is>
      </c>
      <c r="D1122" s="28" t="inlineStr">
        <is>
          <t>8907093008383</t>
        </is>
      </c>
      <c r="E1122" s="27" t="n"/>
      <c r="F1122" s="29" t="n">
        <v>0</v>
      </c>
      <c r="G1122" s="29" t="n">
        <v>225</v>
      </c>
      <c r="H1122" s="27" t="inlineStr">
        <is>
          <t>Inclusive</t>
        </is>
      </c>
      <c r="I1122" s="29" t="n">
        <v>162</v>
      </c>
      <c r="J1122" s="27" t="inlineStr">
        <is>
          <t>Inclusive</t>
        </is>
      </c>
      <c r="K1122" s="29" t="n">
        <v>225</v>
      </c>
      <c r="L1122" s="29" t="n">
        <v>0</v>
      </c>
      <c r="M1122" s="33" t="n">
        <v>1</v>
      </c>
      <c r="N1122" s="27" t="inlineStr">
        <is>
          <t>Yes</t>
        </is>
      </c>
      <c r="O1122" s="29" t="n">
        <v>0</v>
      </c>
      <c r="P1122" s="30" t="n">
        <v>450</v>
      </c>
      <c r="Q1122" s="31" t="inlineStr">
        <is>
          <t>In Stock</t>
        </is>
      </c>
      <c r="R1122" s="27" t="n"/>
      <c r="S1122" s="27" t="n"/>
      <c r="T1122" s="27" t="n"/>
      <c r="U1122" s="27" t="n"/>
      <c r="V1122" s="27" t="n"/>
      <c r="W1122" s="27" t="n"/>
      <c r="X1122" s="27" t="n"/>
      <c r="Y1122" s="27" t="n"/>
      <c r="Z1122" s="27" t="n"/>
    </row>
    <row r="1123" ht="12.5" customHeight="1" s="85">
      <c r="A1123" s="27" t="inlineStr">
        <is>
          <t>TN FRIED PRAWN 50GM</t>
        </is>
      </c>
      <c r="B1123" s="27" t="n"/>
      <c r="C1123" s="27" t="inlineStr">
        <is>
          <t>Fish &amp; Meat</t>
        </is>
      </c>
      <c r="D1123" s="28" t="inlineStr">
        <is>
          <t>8907093060763</t>
        </is>
      </c>
      <c r="E1123" s="27" t="n"/>
      <c r="F1123" s="29" t="n">
        <v>0</v>
      </c>
      <c r="G1123" s="29" t="n">
        <v>150</v>
      </c>
      <c r="H1123" s="27" t="inlineStr">
        <is>
          <t>Exclusive</t>
        </is>
      </c>
      <c r="I1123" s="29" t="n">
        <v>128</v>
      </c>
      <c r="J1123" s="27" t="inlineStr">
        <is>
          <t>Exclusive</t>
        </is>
      </c>
      <c r="K1123" s="29" t="n">
        <v>150</v>
      </c>
      <c r="L1123" s="29" t="n">
        <v>0</v>
      </c>
      <c r="M1123" s="33" t="n">
        <v>1</v>
      </c>
      <c r="N1123" s="27" t="inlineStr">
        <is>
          <t>Yes</t>
        </is>
      </c>
      <c r="O1123" s="29" t="n">
        <v>0</v>
      </c>
      <c r="P1123" s="30" t="n">
        <v>450</v>
      </c>
      <c r="Q1123" s="31" t="inlineStr">
        <is>
          <t>In Stock</t>
        </is>
      </c>
      <c r="R1123" s="27" t="n"/>
      <c r="S1123" s="27" t="n"/>
      <c r="T1123" s="27" t="n"/>
      <c r="U1123" s="27" t="n"/>
      <c r="V1123" s="27" t="n"/>
      <c r="W1123" s="27" t="n"/>
      <c r="X1123" s="27" t="n"/>
      <c r="Y1123" s="27" t="n"/>
      <c r="Z1123" s="27" t="n"/>
    </row>
    <row r="1124" ht="12.5" customHeight="1" s="85">
      <c r="A1124" s="27" t="inlineStr">
        <is>
          <t>TN GARLIC PICKLE 200GM</t>
        </is>
      </c>
      <c r="B1124" s="27" t="n"/>
      <c r="C1124" s="27" t="inlineStr">
        <is>
          <t>Pickles</t>
        </is>
      </c>
      <c r="D1124" s="28" t="inlineStr">
        <is>
          <t>8907093004644</t>
        </is>
      </c>
      <c r="E1124" s="27" t="n"/>
      <c r="F1124" s="29" t="n">
        <v>0</v>
      </c>
      <c r="G1124" s="29" t="n">
        <v>75</v>
      </c>
      <c r="H1124" s="27" t="inlineStr">
        <is>
          <t>Exclusive</t>
        </is>
      </c>
      <c r="I1124" s="29" t="n">
        <v>60</v>
      </c>
      <c r="J1124" s="27" t="inlineStr">
        <is>
          <t>Exclusive</t>
        </is>
      </c>
      <c r="K1124" s="29" t="n">
        <v>75</v>
      </c>
      <c r="L1124" s="29" t="n">
        <v>24</v>
      </c>
      <c r="M1124" s="33" t="n">
        <v>1</v>
      </c>
      <c r="N1124" s="27" t="inlineStr">
        <is>
          <t>Yes</t>
        </is>
      </c>
      <c r="O1124" s="29" t="n">
        <v>0</v>
      </c>
      <c r="P1124" s="30" t="n">
        <v>450</v>
      </c>
      <c r="Q1124" s="31" t="inlineStr">
        <is>
          <t>In Stock</t>
        </is>
      </c>
      <c r="R1124" s="27" t="n"/>
      <c r="S1124" s="27" t="n"/>
      <c r="T1124" s="27" t="n"/>
      <c r="U1124" s="27" t="n"/>
      <c r="V1124" s="27" t="n"/>
      <c r="W1124" s="27" t="n"/>
      <c r="X1124" s="27" t="n"/>
      <c r="Y1124" s="27" t="n"/>
      <c r="Z1124" s="27" t="n"/>
    </row>
    <row r="1125" ht="12.5" customHeight="1" s="85">
      <c r="A1125" s="27" t="inlineStr">
        <is>
          <t>TN GINGER GARLIC PASTE 100GM</t>
        </is>
      </c>
      <c r="B1125" s="27" t="n"/>
      <c r="C1125" s="27" t="inlineStr">
        <is>
          <t>Ready to Eat &amp; Mixes</t>
        </is>
      </c>
      <c r="D1125" s="28" t="inlineStr">
        <is>
          <t>8907093005733</t>
        </is>
      </c>
      <c r="E1125" s="27" t="n"/>
      <c r="F1125" s="29" t="n">
        <v>0</v>
      </c>
      <c r="G1125" s="29" t="n">
        <v>39</v>
      </c>
      <c r="H1125" s="27" t="inlineStr">
        <is>
          <t>Exclusive</t>
        </is>
      </c>
      <c r="I1125" s="29" t="n">
        <v>31</v>
      </c>
      <c r="J1125" s="27" t="inlineStr">
        <is>
          <t>Exclusive</t>
        </is>
      </c>
      <c r="K1125" s="29" t="n">
        <v>39</v>
      </c>
      <c r="L1125" s="29" t="n">
        <v>0</v>
      </c>
      <c r="M1125" s="33" t="n">
        <v>1</v>
      </c>
      <c r="N1125" s="27" t="inlineStr">
        <is>
          <t>Yes</t>
        </is>
      </c>
      <c r="O1125" s="29" t="n">
        <v>0</v>
      </c>
      <c r="P1125" s="30" t="n">
        <v>450</v>
      </c>
      <c r="Q1125" s="31" t="inlineStr">
        <is>
          <t>In Stock</t>
        </is>
      </c>
      <c r="R1125" s="27" t="n"/>
      <c r="S1125" s="27" t="n"/>
      <c r="T1125" s="27" t="n"/>
      <c r="U1125" s="27" t="n"/>
      <c r="V1125" s="27" t="n"/>
      <c r="W1125" s="27" t="n"/>
      <c r="X1125" s="27" t="n"/>
      <c r="Y1125" s="27" t="n"/>
      <c r="Z1125" s="27" t="n"/>
    </row>
    <row r="1126" ht="12.5" customHeight="1" s="85">
      <c r="A1126" s="27" t="inlineStr">
        <is>
          <t>TN INSTANT IDIYAPPAM 100GM</t>
        </is>
      </c>
      <c r="B1126" s="27" t="n"/>
      <c r="C1126" s="27" t="inlineStr">
        <is>
          <t>Ready to Eat &amp; Mixes</t>
        </is>
      </c>
      <c r="D1126" s="28" t="inlineStr">
        <is>
          <t>8907093006051</t>
        </is>
      </c>
      <c r="E1126" s="27" t="n"/>
      <c r="F1126" s="29" t="n">
        <v>0</v>
      </c>
      <c r="G1126" s="29" t="n">
        <v>50</v>
      </c>
      <c r="H1126" s="27" t="inlineStr">
        <is>
          <t>Exclusive</t>
        </is>
      </c>
      <c r="I1126" s="29" t="n">
        <v>40</v>
      </c>
      <c r="J1126" s="27" t="inlineStr">
        <is>
          <t>Exclusive</t>
        </is>
      </c>
      <c r="K1126" s="29" t="n">
        <v>50</v>
      </c>
      <c r="L1126" s="29" t="n">
        <v>12</v>
      </c>
      <c r="M1126" s="27" t="n"/>
      <c r="N1126" s="27" t="inlineStr">
        <is>
          <t>Yes</t>
        </is>
      </c>
      <c r="O1126" s="29" t="n">
        <v>0</v>
      </c>
      <c r="P1126" s="30" t="n">
        <v>450</v>
      </c>
      <c r="Q1126" s="31" t="inlineStr">
        <is>
          <t>In Stock</t>
        </is>
      </c>
      <c r="R1126" s="27" t="n"/>
      <c r="S1126" s="27" t="n"/>
      <c r="T1126" s="27" t="n"/>
      <c r="U1126" s="27" t="n"/>
      <c r="V1126" s="27" t="n"/>
      <c r="W1126" s="27" t="n"/>
      <c r="X1126" s="27" t="n"/>
      <c r="Y1126" s="27" t="n"/>
      <c r="Z1126" s="27" t="n"/>
    </row>
    <row r="1127" ht="12.5" customHeight="1" s="85">
      <c r="A1127" s="27" t="inlineStr">
        <is>
          <t>TN KADUK MANGO PICKLE 400GM</t>
        </is>
      </c>
      <c r="B1127" s="27" t="n"/>
      <c r="C1127" s="27" t="inlineStr">
        <is>
          <t>Pickles</t>
        </is>
      </c>
      <c r="D1127" s="28" t="inlineStr">
        <is>
          <t>8907093008246</t>
        </is>
      </c>
      <c r="E1127" s="27" t="n"/>
      <c r="F1127" s="29" t="n">
        <v>0</v>
      </c>
      <c r="G1127" s="29" t="n">
        <v>135</v>
      </c>
      <c r="H1127" s="27" t="inlineStr">
        <is>
          <t>Inclusive</t>
        </is>
      </c>
      <c r="I1127" s="29" t="n">
        <v>102</v>
      </c>
      <c r="J1127" s="27" t="inlineStr">
        <is>
          <t>Inclusive</t>
        </is>
      </c>
      <c r="K1127" s="29" t="n">
        <v>120</v>
      </c>
      <c r="L1127" s="29" t="n">
        <v>6</v>
      </c>
      <c r="M1127" s="33" t="n">
        <v>1</v>
      </c>
      <c r="N1127" s="27" t="inlineStr">
        <is>
          <t>Yes</t>
        </is>
      </c>
      <c r="O1127" s="29" t="n">
        <v>0</v>
      </c>
      <c r="P1127" s="30" t="n">
        <v>450</v>
      </c>
      <c r="Q1127" s="31" t="inlineStr">
        <is>
          <t>In Stock</t>
        </is>
      </c>
      <c r="R1127" s="27" t="n"/>
      <c r="S1127" s="27" t="n"/>
      <c r="T1127" s="27" t="n"/>
      <c r="U1127" s="27" t="n"/>
      <c r="V1127" s="27" t="n"/>
      <c r="W1127" s="27" t="n"/>
      <c r="X1127" s="27" t="n"/>
      <c r="Y1127" s="27" t="n"/>
      <c r="Z1127" s="27" t="n"/>
    </row>
    <row r="1128" ht="12.5" customHeight="1" s="85">
      <c r="A1128" s="27" t="inlineStr">
        <is>
          <t>TN KANTHARI MANGO CHUTNEY 200GM</t>
        </is>
      </c>
      <c r="B1128" s="27" t="n"/>
      <c r="C1128" s="27" t="inlineStr">
        <is>
          <t>Ready to Eat &amp; Mixes</t>
        </is>
      </c>
      <c r="D1128" s="32" t="inlineStr">
        <is>
          <t>100431</t>
        </is>
      </c>
      <c r="E1128" s="27" t="n"/>
      <c r="F1128" s="29" t="n">
        <v>0</v>
      </c>
      <c r="G1128" s="29" t="n">
        <v>100</v>
      </c>
      <c r="H1128" s="27" t="inlineStr">
        <is>
          <t>Exclusive</t>
        </is>
      </c>
      <c r="I1128" s="29" t="n">
        <v>73.33</v>
      </c>
      <c r="J1128" s="27" t="inlineStr">
        <is>
          <t>Exclusive</t>
        </is>
      </c>
      <c r="K1128" s="29" t="n">
        <v>0</v>
      </c>
      <c r="L1128" s="29" t="n">
        <v>0</v>
      </c>
      <c r="M1128" s="27" t="n"/>
      <c r="N1128" s="27" t="inlineStr">
        <is>
          <t>Yes</t>
        </is>
      </c>
      <c r="O1128" s="29" t="n">
        <v>0</v>
      </c>
      <c r="P1128" s="30" t="n">
        <v>450</v>
      </c>
      <c r="Q1128" s="31" t="inlineStr">
        <is>
          <t>In Stock</t>
        </is>
      </c>
      <c r="R1128" s="27" t="n"/>
      <c r="S1128" s="27" t="n"/>
      <c r="T1128" s="27" t="n"/>
      <c r="U1128" s="27" t="n"/>
      <c r="V1128" s="27" t="n"/>
      <c r="W1128" s="27" t="n"/>
      <c r="X1128" s="27" t="n"/>
      <c r="Y1128" s="27" t="n"/>
      <c r="Z1128" s="27" t="n"/>
    </row>
    <row r="1129" ht="12.5" customHeight="1" s="85">
      <c r="A1129" s="27" t="inlineStr">
        <is>
          <t>TN KAPPA PUZHUKKU 250GM</t>
        </is>
      </c>
      <c r="B1129" s="27" t="n"/>
      <c r="C1129" s="27" t="inlineStr">
        <is>
          <t>Ready to Eat &amp; Mixes</t>
        </is>
      </c>
      <c r="D1129" s="28" t="inlineStr">
        <is>
          <t>8907093040147</t>
        </is>
      </c>
      <c r="E1129" s="27" t="n"/>
      <c r="F1129" s="29" t="n">
        <v>0</v>
      </c>
      <c r="G1129" s="29" t="n">
        <v>125</v>
      </c>
      <c r="H1129" s="27" t="inlineStr">
        <is>
          <t>Inclusive</t>
        </is>
      </c>
      <c r="I1129" s="29" t="n">
        <v>106</v>
      </c>
      <c r="J1129" s="27" t="inlineStr">
        <is>
          <t>Inclusive</t>
        </is>
      </c>
      <c r="K1129" s="29" t="n">
        <v>125</v>
      </c>
      <c r="L1129" s="29" t="n">
        <v>4</v>
      </c>
      <c r="M1129" s="33" t="n">
        <v>1</v>
      </c>
      <c r="N1129" s="27" t="inlineStr">
        <is>
          <t>Yes</t>
        </is>
      </c>
      <c r="O1129" s="29" t="n">
        <v>0</v>
      </c>
      <c r="P1129" s="30" t="n">
        <v>450</v>
      </c>
      <c r="Q1129" s="31" t="inlineStr">
        <is>
          <t>In Stock</t>
        </is>
      </c>
      <c r="R1129" s="27" t="n"/>
      <c r="S1129" s="27" t="n"/>
      <c r="T1129" s="27" t="n"/>
      <c r="U1129" s="27" t="n"/>
      <c r="V1129" s="27" t="n"/>
      <c r="W1129" s="27" t="n"/>
      <c r="X1129" s="27" t="n"/>
      <c r="Y1129" s="27" t="n"/>
      <c r="Z1129" s="27" t="n"/>
    </row>
    <row r="1130" ht="12.5" customHeight="1" s="85">
      <c r="A1130" s="27" t="inlineStr">
        <is>
          <t>TN KUDAM PULI 200GM</t>
        </is>
      </c>
      <c r="B1130" s="27" t="n"/>
      <c r="C1130" s="27" t="inlineStr">
        <is>
          <t>Masalas &amp; Spices</t>
        </is>
      </c>
      <c r="D1130" s="28" t="inlineStr">
        <is>
          <t>8907093004866</t>
        </is>
      </c>
      <c r="E1130" s="27" t="n"/>
      <c r="F1130" s="29" t="n">
        <v>0</v>
      </c>
      <c r="G1130" s="29" t="n">
        <v>135</v>
      </c>
      <c r="H1130" s="27" t="inlineStr">
        <is>
          <t>Inclusive</t>
        </is>
      </c>
      <c r="I1130" s="29" t="n">
        <v>105</v>
      </c>
      <c r="J1130" s="27" t="inlineStr">
        <is>
          <t>Inclusive</t>
        </is>
      </c>
      <c r="K1130" s="29" t="n">
        <v>135</v>
      </c>
      <c r="L1130" s="29" t="n">
        <v>0</v>
      </c>
      <c r="M1130" s="33" t="n">
        <v>1</v>
      </c>
      <c r="N1130" s="27" t="inlineStr">
        <is>
          <t>No</t>
        </is>
      </c>
      <c r="O1130" s="29" t="n">
        <v>0</v>
      </c>
      <c r="P1130" s="30" t="n">
        <v>450</v>
      </c>
      <c r="Q1130" s="31" t="inlineStr">
        <is>
          <t>In Stock</t>
        </is>
      </c>
      <c r="R1130" s="27" t="n"/>
      <c r="S1130" s="27" t="n"/>
      <c r="T1130" s="27" t="n"/>
      <c r="U1130" s="27" t="n"/>
      <c r="V1130" s="27" t="n"/>
      <c r="W1130" s="27" t="n"/>
      <c r="X1130" s="27" t="n"/>
      <c r="Y1130" s="27" t="n"/>
      <c r="Z1130" s="27" t="n"/>
    </row>
    <row r="1131" ht="12.5" customHeight="1" s="85">
      <c r="A1131" s="27" t="inlineStr">
        <is>
          <t>TN LIME PICKLE 400 GM</t>
        </is>
      </c>
      <c r="B1131" s="27" t="n"/>
      <c r="C1131" s="27" t="inlineStr">
        <is>
          <t>Pickles</t>
        </is>
      </c>
      <c r="D1131" s="28" t="inlineStr">
        <is>
          <t>8907093002831</t>
        </is>
      </c>
      <c r="E1131" s="27" t="n"/>
      <c r="F1131" s="29" t="n">
        <v>0</v>
      </c>
      <c r="G1131" s="29" t="n">
        <v>110</v>
      </c>
      <c r="H1131" s="27" t="inlineStr">
        <is>
          <t>Exclusive</t>
        </is>
      </c>
      <c r="I1131" s="29" t="n">
        <v>90</v>
      </c>
      <c r="J1131" s="27" t="inlineStr">
        <is>
          <t>Exclusive</t>
        </is>
      </c>
      <c r="K1131" s="29" t="n">
        <v>90</v>
      </c>
      <c r="L1131" s="29" t="n">
        <v>1</v>
      </c>
      <c r="M1131" s="33" t="n">
        <v>1</v>
      </c>
      <c r="N1131" s="27" t="inlineStr">
        <is>
          <t>Yes</t>
        </is>
      </c>
      <c r="O1131" s="29" t="n">
        <v>0</v>
      </c>
      <c r="P1131" s="30" t="n">
        <v>450</v>
      </c>
      <c r="Q1131" s="31" t="inlineStr">
        <is>
          <t>In Stock</t>
        </is>
      </c>
      <c r="R1131" s="27" t="n"/>
      <c r="S1131" s="27" t="n"/>
      <c r="T1131" s="27" t="n"/>
      <c r="U1131" s="27" t="n"/>
      <c r="V1131" s="27" t="n"/>
      <c r="W1131" s="27" t="n"/>
      <c r="X1131" s="27" t="n"/>
      <c r="Y1131" s="27" t="n"/>
      <c r="Z1131" s="27" t="n"/>
    </row>
    <row r="1132" ht="12.5" customHeight="1" s="85">
      <c r="A1132" s="27" t="inlineStr">
        <is>
          <t>TN MACRONI 400GM</t>
        </is>
      </c>
      <c r="B1132" s="27" t="n"/>
      <c r="C1132" s="27" t="inlineStr">
        <is>
          <t>Grains &amp; Flours</t>
        </is>
      </c>
      <c r="D1132" s="28" t="inlineStr">
        <is>
          <t>8907093007539</t>
        </is>
      </c>
      <c r="E1132" s="27" t="n"/>
      <c r="F1132" s="29" t="n">
        <v>0</v>
      </c>
      <c r="G1132" s="29" t="n">
        <v>55</v>
      </c>
      <c r="H1132" s="27" t="inlineStr">
        <is>
          <t>Inclusive</t>
        </is>
      </c>
      <c r="I1132" s="29" t="n">
        <v>48</v>
      </c>
      <c r="J1132" s="27" t="inlineStr">
        <is>
          <t>Inclusive</t>
        </is>
      </c>
      <c r="K1132" s="29" t="n">
        <v>0</v>
      </c>
      <c r="L1132" s="29" t="n">
        <v>0</v>
      </c>
      <c r="M1132" s="33" t="n">
        <v>1</v>
      </c>
      <c r="N1132" s="27" t="inlineStr">
        <is>
          <t>Yes</t>
        </is>
      </c>
      <c r="O1132" s="29" t="n">
        <v>0</v>
      </c>
      <c r="P1132" s="30" t="n">
        <v>450</v>
      </c>
      <c r="Q1132" s="31" t="inlineStr">
        <is>
          <t>In Stock</t>
        </is>
      </c>
      <c r="R1132" s="27" t="n"/>
      <c r="S1132" s="27" t="n"/>
      <c r="T1132" s="27" t="n"/>
      <c r="U1132" s="27" t="n"/>
      <c r="V1132" s="27" t="n"/>
      <c r="W1132" s="27" t="n"/>
      <c r="X1132" s="27" t="n"/>
      <c r="Y1132" s="27" t="n"/>
      <c r="Z1132" s="27" t="n"/>
    </row>
    <row r="1133" ht="12.5" customHeight="1" s="85">
      <c r="A1133" s="27" t="inlineStr">
        <is>
          <t>TN MEEN PEERA</t>
        </is>
      </c>
      <c r="B1133" s="27" t="n"/>
      <c r="C1133" s="27" t="inlineStr">
        <is>
          <t>Ready to Eat &amp; Mixes</t>
        </is>
      </c>
      <c r="D1133" s="28" t="inlineStr">
        <is>
          <t>8907093060459</t>
        </is>
      </c>
      <c r="E1133" s="27" t="n"/>
      <c r="F1133" s="29" t="n">
        <v>0</v>
      </c>
      <c r="G1133" s="29" t="n">
        <v>170</v>
      </c>
      <c r="H1133" s="27" t="inlineStr">
        <is>
          <t>Exclusive</t>
        </is>
      </c>
      <c r="I1133" s="29" t="n">
        <v>131</v>
      </c>
      <c r="J1133" s="27" t="inlineStr">
        <is>
          <t>Exclusive</t>
        </is>
      </c>
      <c r="K1133" s="29" t="n">
        <v>170</v>
      </c>
      <c r="L1133" s="29" t="n">
        <v>0</v>
      </c>
      <c r="M1133" s="33" t="n">
        <v>1</v>
      </c>
      <c r="N1133" s="27" t="inlineStr">
        <is>
          <t>Yes</t>
        </is>
      </c>
      <c r="O1133" s="29" t="n">
        <v>0</v>
      </c>
      <c r="P1133" s="30" t="n">
        <v>450</v>
      </c>
      <c r="Q1133" s="31" t="inlineStr">
        <is>
          <t>In Stock</t>
        </is>
      </c>
      <c r="R1133" s="27" t="n"/>
      <c r="S1133" s="27" t="n"/>
      <c r="T1133" s="27" t="n"/>
      <c r="U1133" s="27" t="n"/>
      <c r="V1133" s="27" t="n"/>
      <c r="W1133" s="27" t="n"/>
      <c r="X1133" s="27" t="n"/>
      <c r="Y1133" s="27" t="n"/>
      <c r="Z1133" s="27" t="n"/>
    </row>
    <row r="1134" ht="12.5" customHeight="1" s="85">
      <c r="A1134" s="27" t="inlineStr">
        <is>
          <t>TN PRAWN MANGO CURRY</t>
        </is>
      </c>
      <c r="B1134" s="27" t="n"/>
      <c r="C1134" s="27" t="inlineStr">
        <is>
          <t>Ready to Eat &amp; Mixes</t>
        </is>
      </c>
      <c r="D1134" s="28" t="inlineStr">
        <is>
          <t>8907093007379</t>
        </is>
      </c>
      <c r="E1134" s="27" t="n"/>
      <c r="F1134" s="29" t="n">
        <v>0</v>
      </c>
      <c r="G1134" s="29" t="n">
        <v>195</v>
      </c>
      <c r="H1134" s="27" t="inlineStr">
        <is>
          <t>Inclusive</t>
        </is>
      </c>
      <c r="I1134" s="29" t="n">
        <v>165</v>
      </c>
      <c r="J1134" s="27" t="inlineStr">
        <is>
          <t>Inclusive</t>
        </is>
      </c>
      <c r="K1134" s="29" t="n">
        <v>195</v>
      </c>
      <c r="L1134" s="29" t="n">
        <v>0</v>
      </c>
      <c r="M1134" s="33" t="n">
        <v>1</v>
      </c>
      <c r="N1134" s="27" t="inlineStr">
        <is>
          <t>Yes</t>
        </is>
      </c>
      <c r="O1134" s="29" t="n">
        <v>0</v>
      </c>
      <c r="P1134" s="30" t="n">
        <v>450</v>
      </c>
      <c r="Q1134" s="31" t="inlineStr">
        <is>
          <t>In Stock</t>
        </is>
      </c>
      <c r="R1134" s="27" t="n"/>
      <c r="S1134" s="27" t="n"/>
      <c r="T1134" s="27" t="n"/>
      <c r="U1134" s="27" t="n"/>
      <c r="V1134" s="27" t="n"/>
      <c r="W1134" s="27" t="n"/>
      <c r="X1134" s="27" t="n"/>
      <c r="Y1134" s="27" t="n"/>
      <c r="Z1134" s="27" t="n"/>
    </row>
    <row r="1135" ht="12.5" customHeight="1" s="85">
      <c r="A1135" s="27" t="inlineStr">
        <is>
          <t>TNR ADAPRADHAMAN</t>
        </is>
      </c>
      <c r="B1135" s="27" t="n"/>
      <c r="C1135" s="27" t="inlineStr">
        <is>
          <t>Ready to Eat &amp; Mixes</t>
        </is>
      </c>
      <c r="D1135" s="28" t="inlineStr">
        <is>
          <t>8907093010225</t>
        </is>
      </c>
      <c r="E1135" s="27" t="n"/>
      <c r="F1135" s="29" t="n">
        <v>0</v>
      </c>
      <c r="G1135" s="29" t="n">
        <v>150</v>
      </c>
      <c r="H1135" s="27" t="inlineStr">
        <is>
          <t>Exclusive</t>
        </is>
      </c>
      <c r="I1135" s="29" t="n">
        <v>115</v>
      </c>
      <c r="J1135" s="27" t="inlineStr">
        <is>
          <t>Exclusive</t>
        </is>
      </c>
      <c r="K1135" s="29" t="n">
        <v>150</v>
      </c>
      <c r="L1135" s="29" t="n">
        <v>1</v>
      </c>
      <c r="M1135" s="33" t="n">
        <v>1</v>
      </c>
      <c r="N1135" s="27" t="inlineStr">
        <is>
          <t>Yes</t>
        </is>
      </c>
      <c r="O1135" s="29" t="n">
        <v>0</v>
      </c>
      <c r="P1135" s="30" t="n">
        <v>450</v>
      </c>
      <c r="Q1135" s="31" t="inlineStr">
        <is>
          <t>In Stock</t>
        </is>
      </c>
      <c r="R1135" s="27" t="n"/>
      <c r="S1135" s="27" t="n"/>
      <c r="T1135" s="27" t="n"/>
      <c r="U1135" s="27" t="n"/>
      <c r="V1135" s="27" t="n"/>
      <c r="W1135" s="27" t="n"/>
      <c r="X1135" s="27" t="n"/>
      <c r="Y1135" s="27" t="n"/>
      <c r="Z1135" s="27" t="n"/>
    </row>
    <row r="1136" ht="12.5" customHeight="1" s="85">
      <c r="A1136" s="27" t="inlineStr">
        <is>
          <t>TNR BAFALLO KAPPA BIRYANI</t>
        </is>
      </c>
      <c r="B1136" s="27" t="n"/>
      <c r="C1136" s="27" t="inlineStr">
        <is>
          <t>Ready to Eat &amp; Mixes</t>
        </is>
      </c>
      <c r="D1136" s="28" t="inlineStr">
        <is>
          <t>8907093010294</t>
        </is>
      </c>
      <c r="E1136" s="27" t="n"/>
      <c r="F1136" s="29" t="n">
        <v>0</v>
      </c>
      <c r="G1136" s="29" t="n">
        <v>290</v>
      </c>
      <c r="H1136" s="27" t="inlineStr">
        <is>
          <t>Inclusive</t>
        </is>
      </c>
      <c r="I1136" s="29" t="n">
        <v>222</v>
      </c>
      <c r="J1136" s="27" t="inlineStr">
        <is>
          <t>Inclusive</t>
        </is>
      </c>
      <c r="K1136" s="29" t="n">
        <v>290</v>
      </c>
      <c r="L1136" s="29" t="n">
        <v>2</v>
      </c>
      <c r="M1136" s="33" t="n">
        <v>1</v>
      </c>
      <c r="N1136" s="27" t="inlineStr">
        <is>
          <t>No</t>
        </is>
      </c>
      <c r="O1136" s="29" t="n">
        <v>0</v>
      </c>
      <c r="P1136" s="30" t="n">
        <v>450</v>
      </c>
      <c r="Q1136" s="31" t="inlineStr">
        <is>
          <t>In Stock</t>
        </is>
      </c>
      <c r="R1136" s="27" t="n"/>
      <c r="S1136" s="27" t="n"/>
      <c r="T1136" s="27" t="n"/>
      <c r="U1136" s="27" t="n"/>
      <c r="V1136" s="27" t="n"/>
      <c r="W1136" s="27" t="n"/>
      <c r="X1136" s="27" t="n"/>
      <c r="Y1136" s="27" t="n"/>
      <c r="Z1136" s="27" t="n"/>
    </row>
    <row r="1137" ht="12.5" customHeight="1" s="85">
      <c r="A1137" s="27" t="inlineStr">
        <is>
          <t>TNR CHICKEN BIRYANI 300GM</t>
        </is>
      </c>
      <c r="B1137" s="27" t="n"/>
      <c r="C1137" s="27" t="inlineStr">
        <is>
          <t>Ready to Eat &amp; Mixes</t>
        </is>
      </c>
      <c r="D1137" s="32" t="inlineStr">
        <is>
          <t>100433</t>
        </is>
      </c>
      <c r="E1137" s="27" t="n"/>
      <c r="F1137" s="29" t="n">
        <v>0</v>
      </c>
      <c r="G1137" s="29" t="n">
        <v>211</v>
      </c>
      <c r="H1137" s="27" t="inlineStr">
        <is>
          <t>Inclusive</t>
        </is>
      </c>
      <c r="I1137" s="29" t="n">
        <v>164</v>
      </c>
      <c r="J1137" s="27" t="inlineStr">
        <is>
          <t>Inclusive</t>
        </is>
      </c>
      <c r="K1137" s="29" t="n">
        <v>211</v>
      </c>
      <c r="L1137" s="29" t="n">
        <v>1</v>
      </c>
      <c r="M1137" s="33" t="n">
        <v>1</v>
      </c>
      <c r="N1137" s="27" t="inlineStr">
        <is>
          <t>No</t>
        </is>
      </c>
      <c r="O1137" s="29" t="n">
        <v>0</v>
      </c>
      <c r="P1137" s="30" t="n">
        <v>450</v>
      </c>
      <c r="Q1137" s="31" t="inlineStr">
        <is>
          <t>In Stock</t>
        </is>
      </c>
      <c r="R1137" s="27" t="n"/>
      <c r="S1137" s="27" t="n"/>
      <c r="T1137" s="27" t="n"/>
      <c r="U1137" s="27" t="n"/>
      <c r="V1137" s="27" t="n"/>
      <c r="W1137" s="27" t="n"/>
      <c r="X1137" s="27" t="n"/>
      <c r="Y1137" s="27" t="n"/>
      <c r="Z1137" s="27" t="n"/>
    </row>
    <row r="1138" ht="12.5" customHeight="1" s="85">
      <c r="A1138" s="27" t="inlineStr">
        <is>
          <t>TNR CHICKEN CURRY 300GM</t>
        </is>
      </c>
      <c r="B1138" s="27" t="n"/>
      <c r="C1138" s="27" t="inlineStr">
        <is>
          <t>Ready to Eat &amp; Mixes</t>
        </is>
      </c>
      <c r="D1138" s="32" t="inlineStr">
        <is>
          <t>100434</t>
        </is>
      </c>
      <c r="E1138" s="27" t="n"/>
      <c r="F1138" s="29" t="n">
        <v>0</v>
      </c>
      <c r="G1138" s="29" t="n">
        <v>220</v>
      </c>
      <c r="H1138" s="27" t="inlineStr">
        <is>
          <t>Inclusive</t>
        </is>
      </c>
      <c r="I1138" s="29" t="n">
        <v>171</v>
      </c>
      <c r="J1138" s="27" t="inlineStr">
        <is>
          <t>Inclusive</t>
        </is>
      </c>
      <c r="K1138" s="29" t="n">
        <v>0</v>
      </c>
      <c r="L1138" s="29" t="n">
        <v>0</v>
      </c>
      <c r="M1138" s="33" t="n">
        <v>1</v>
      </c>
      <c r="N1138" s="27" t="inlineStr">
        <is>
          <t>No</t>
        </is>
      </c>
      <c r="O1138" s="29" t="n">
        <v>0</v>
      </c>
      <c r="P1138" s="30" t="n">
        <v>450</v>
      </c>
      <c r="Q1138" s="31" t="inlineStr">
        <is>
          <t>In Stock</t>
        </is>
      </c>
      <c r="R1138" s="27" t="n"/>
      <c r="S1138" s="27" t="n"/>
      <c r="T1138" s="27" t="n"/>
      <c r="U1138" s="27" t="n"/>
      <c r="V1138" s="27" t="n"/>
      <c r="W1138" s="27" t="n"/>
      <c r="X1138" s="27" t="n"/>
      <c r="Y1138" s="27" t="n"/>
      <c r="Z1138" s="27" t="n"/>
    </row>
    <row r="1139" ht="12.5" customHeight="1" s="85">
      <c r="A1139" s="27" t="inlineStr">
        <is>
          <t>TNR CHICKEN PERALAN 200GM</t>
        </is>
      </c>
      <c r="B1139" s="27" t="n"/>
      <c r="C1139" s="27" t="inlineStr">
        <is>
          <t>Ready to Eat &amp; Mixes</t>
        </is>
      </c>
      <c r="D1139" s="28" t="inlineStr">
        <is>
          <t>8907093010591</t>
        </is>
      </c>
      <c r="E1139" s="27" t="n"/>
      <c r="F1139" s="29" t="n">
        <v>0</v>
      </c>
      <c r="G1139" s="29" t="n">
        <v>250</v>
      </c>
      <c r="H1139" s="27" t="inlineStr">
        <is>
          <t>Inclusive</t>
        </is>
      </c>
      <c r="I1139" s="29" t="n">
        <v>172</v>
      </c>
      <c r="J1139" s="27" t="inlineStr">
        <is>
          <t>Inclusive</t>
        </is>
      </c>
      <c r="K1139" s="29" t="n">
        <v>250</v>
      </c>
      <c r="L1139" s="29" t="n">
        <v>0</v>
      </c>
      <c r="M1139" s="33" t="n">
        <v>1</v>
      </c>
      <c r="N1139" s="27" t="inlineStr">
        <is>
          <t>Yes</t>
        </is>
      </c>
      <c r="O1139" s="29" t="n">
        <v>0</v>
      </c>
      <c r="P1139" s="30" t="n">
        <v>450</v>
      </c>
      <c r="Q1139" s="31" t="inlineStr">
        <is>
          <t>In Stock</t>
        </is>
      </c>
      <c r="R1139" s="27" t="n"/>
      <c r="S1139" s="27" t="n"/>
      <c r="T1139" s="27" t="n"/>
      <c r="U1139" s="27" t="n"/>
      <c r="V1139" s="27" t="n"/>
      <c r="W1139" s="27" t="n"/>
      <c r="X1139" s="27" t="n"/>
      <c r="Y1139" s="27" t="n"/>
      <c r="Z1139" s="27" t="n"/>
    </row>
    <row r="1140" ht="12.5" customHeight="1" s="85">
      <c r="A1140" s="27" t="inlineStr">
        <is>
          <t>TNR CLAM (KAKKA) PICKLE 400GM</t>
        </is>
      </c>
      <c r="B1140" s="27" t="n"/>
      <c r="C1140" s="27" t="inlineStr">
        <is>
          <t>Pickles</t>
        </is>
      </c>
      <c r="D1140" s="28" t="inlineStr">
        <is>
          <t>8907093003180</t>
        </is>
      </c>
      <c r="E1140" s="27" t="n"/>
      <c r="F1140" s="29" t="n">
        <v>0</v>
      </c>
      <c r="G1140" s="29" t="n">
        <v>245</v>
      </c>
      <c r="H1140" s="27" t="inlineStr">
        <is>
          <t>Inclusive</t>
        </is>
      </c>
      <c r="I1140" s="29" t="n">
        <v>208</v>
      </c>
      <c r="J1140" s="27" t="inlineStr">
        <is>
          <t>Inclusive</t>
        </is>
      </c>
      <c r="K1140" s="29" t="n">
        <v>245</v>
      </c>
      <c r="L1140" s="29" t="n">
        <v>0</v>
      </c>
      <c r="M1140" s="33" t="n">
        <v>1</v>
      </c>
      <c r="N1140" s="27" t="inlineStr">
        <is>
          <t>Yes</t>
        </is>
      </c>
      <c r="O1140" s="29" t="n">
        <v>0</v>
      </c>
      <c r="P1140" s="30" t="n">
        <v>450</v>
      </c>
      <c r="Q1140" s="31" t="inlineStr">
        <is>
          <t>In Stock</t>
        </is>
      </c>
      <c r="R1140" s="27" t="n"/>
      <c r="S1140" s="27" t="n"/>
      <c r="T1140" s="27" t="n"/>
      <c r="U1140" s="27" t="n"/>
      <c r="V1140" s="27" t="n"/>
      <c r="W1140" s="27" t="n"/>
      <c r="X1140" s="27" t="n"/>
      <c r="Y1140" s="27" t="n"/>
      <c r="Z1140" s="27" t="n"/>
    </row>
    <row r="1141" ht="12.5" customHeight="1" s="85">
      <c r="A1141" s="27" t="inlineStr">
        <is>
          <t>TNR CUT MANGO ACHAR 400GM</t>
        </is>
      </c>
      <c r="B1141" s="27" t="n"/>
      <c r="C1141" s="27" t="inlineStr">
        <is>
          <t>Pickles</t>
        </is>
      </c>
      <c r="D1141" s="28" t="inlineStr">
        <is>
          <t>8907093002824</t>
        </is>
      </c>
      <c r="E1141" s="27" t="n"/>
      <c r="F1141" s="29" t="n">
        <v>0</v>
      </c>
      <c r="G1141" s="29" t="n">
        <v>110</v>
      </c>
      <c r="H1141" s="27" t="inlineStr">
        <is>
          <t>Inclusive</t>
        </is>
      </c>
      <c r="I1141" s="29" t="n">
        <v>92</v>
      </c>
      <c r="J1141" s="27" t="inlineStr">
        <is>
          <t>Inclusive</t>
        </is>
      </c>
      <c r="K1141" s="29" t="n">
        <v>110</v>
      </c>
      <c r="L1141" s="29" t="n">
        <v>0</v>
      </c>
      <c r="M1141" s="33" t="n">
        <v>1</v>
      </c>
      <c r="N1141" s="27" t="inlineStr">
        <is>
          <t>Yes</t>
        </is>
      </c>
      <c r="O1141" s="29" t="n">
        <v>0</v>
      </c>
      <c r="P1141" s="30" t="n">
        <v>450</v>
      </c>
      <c r="Q1141" s="31" t="inlineStr">
        <is>
          <t>In Stock</t>
        </is>
      </c>
      <c r="R1141" s="27" t="n"/>
      <c r="S1141" s="27" t="n"/>
      <c r="T1141" s="27" t="n"/>
      <c r="U1141" s="27" t="n"/>
      <c r="V1141" s="27" t="n"/>
      <c r="W1141" s="27" t="n"/>
      <c r="X1141" s="27" t="n"/>
      <c r="Y1141" s="27" t="n"/>
      <c r="Z1141" s="27" t="n"/>
    </row>
    <row r="1142" ht="12.5" customHeight="1" s="85">
      <c r="A1142" s="27" t="inlineStr">
        <is>
          <t>TNR CUT MANGO PICKLE 200GM</t>
        </is>
      </c>
      <c r="B1142" s="27" t="n"/>
      <c r="C1142" s="27" t="inlineStr">
        <is>
          <t>Pickles</t>
        </is>
      </c>
      <c r="D1142" s="28" t="inlineStr">
        <is>
          <t>8907093004637</t>
        </is>
      </c>
      <c r="E1142" s="27" t="n"/>
      <c r="F1142" s="29" t="n">
        <v>0</v>
      </c>
      <c r="G1142" s="29" t="n">
        <v>60</v>
      </c>
      <c r="H1142" s="27" t="inlineStr">
        <is>
          <t>Exclusive</t>
        </is>
      </c>
      <c r="I1142" s="29" t="n">
        <v>50</v>
      </c>
      <c r="J1142" s="27" t="inlineStr">
        <is>
          <t>Exclusive</t>
        </is>
      </c>
      <c r="K1142" s="29" t="n">
        <v>60</v>
      </c>
      <c r="L1142" s="29" t="n">
        <v>1</v>
      </c>
      <c r="M1142" s="33" t="n">
        <v>1</v>
      </c>
      <c r="N1142" s="27" t="inlineStr">
        <is>
          <t>Yes</t>
        </is>
      </c>
      <c r="O1142" s="29" t="n">
        <v>0</v>
      </c>
      <c r="P1142" s="30" t="n">
        <v>450</v>
      </c>
      <c r="Q1142" s="31" t="inlineStr">
        <is>
          <t>In Stock</t>
        </is>
      </c>
      <c r="R1142" s="27" t="n"/>
      <c r="S1142" s="27" t="n"/>
      <c r="T1142" s="27" t="n"/>
      <c r="U1142" s="27" t="n"/>
      <c r="V1142" s="27" t="n"/>
      <c r="W1142" s="27" t="n"/>
      <c r="X1142" s="27" t="n"/>
      <c r="Y1142" s="27" t="n"/>
      <c r="Z1142" s="27" t="n"/>
    </row>
    <row r="1143" ht="12.5" customHeight="1" s="85">
      <c r="A1143" s="27" t="inlineStr">
        <is>
          <t>TNR DRY CHILLI CHUTNEY 300GM</t>
        </is>
      </c>
      <c r="B1143" s="27" t="n"/>
      <c r="C1143" s="27" t="inlineStr">
        <is>
          <t>Ready to Eat &amp; Mixes</t>
        </is>
      </c>
      <c r="D1143" s="32" t="inlineStr">
        <is>
          <t>100435</t>
        </is>
      </c>
      <c r="E1143" s="27" t="n"/>
      <c r="F1143" s="29" t="n">
        <v>0</v>
      </c>
      <c r="G1143" s="29" t="n">
        <v>117</v>
      </c>
      <c r="H1143" s="27" t="inlineStr">
        <is>
          <t>Inclusive</t>
        </is>
      </c>
      <c r="I1143" s="29" t="n">
        <v>92</v>
      </c>
      <c r="J1143" s="27" t="inlineStr">
        <is>
          <t>Inclusive</t>
        </is>
      </c>
      <c r="K1143" s="29" t="n">
        <v>117</v>
      </c>
      <c r="L1143" s="29" t="n">
        <v>0</v>
      </c>
      <c r="M1143" s="33" t="n">
        <v>1</v>
      </c>
      <c r="N1143" s="27" t="inlineStr">
        <is>
          <t>No</t>
        </is>
      </c>
      <c r="O1143" s="29" t="n">
        <v>0</v>
      </c>
      <c r="P1143" s="30" t="n">
        <v>450</v>
      </c>
      <c r="Q1143" s="31" t="inlineStr">
        <is>
          <t>In Stock</t>
        </is>
      </c>
      <c r="R1143" s="27" t="n"/>
      <c r="S1143" s="27" t="n"/>
      <c r="T1143" s="27" t="n"/>
      <c r="U1143" s="27" t="n"/>
      <c r="V1143" s="27" t="n"/>
      <c r="W1143" s="27" t="n"/>
      <c r="X1143" s="27" t="n"/>
      <c r="Y1143" s="27" t="n"/>
      <c r="Z1143" s="27" t="n"/>
    </row>
    <row r="1144" ht="12.5" customHeight="1" s="85">
      <c r="A1144" s="27" t="inlineStr">
        <is>
          <t>TNR FISH CURRY GRAVY 300GM</t>
        </is>
      </c>
      <c r="B1144" s="27" t="n"/>
      <c r="C1144" s="27" t="inlineStr">
        <is>
          <t>Ready to Eat &amp; Mixes</t>
        </is>
      </c>
      <c r="D1144" s="32" t="inlineStr">
        <is>
          <t>100436</t>
        </is>
      </c>
      <c r="E1144" s="27" t="n"/>
      <c r="F1144" s="29" t="n">
        <v>0</v>
      </c>
      <c r="G1144" s="29" t="n">
        <v>220</v>
      </c>
      <c r="H1144" s="27" t="inlineStr">
        <is>
          <t>Inclusive</t>
        </is>
      </c>
      <c r="I1144" s="29" t="n">
        <v>171</v>
      </c>
      <c r="J1144" s="27" t="inlineStr">
        <is>
          <t>Inclusive</t>
        </is>
      </c>
      <c r="K1144" s="29" t="n">
        <v>0</v>
      </c>
      <c r="L1144" s="29" t="n">
        <v>0</v>
      </c>
      <c r="M1144" s="33" t="n">
        <v>1</v>
      </c>
      <c r="N1144" s="27" t="inlineStr">
        <is>
          <t>No</t>
        </is>
      </c>
      <c r="O1144" s="29" t="n">
        <v>0</v>
      </c>
      <c r="P1144" s="30" t="n">
        <v>450</v>
      </c>
      <c r="Q1144" s="31" t="inlineStr">
        <is>
          <t>In Stock</t>
        </is>
      </c>
      <c r="R1144" s="27" t="n"/>
      <c r="S1144" s="27" t="n"/>
      <c r="T1144" s="27" t="n"/>
      <c r="U1144" s="27" t="n"/>
      <c r="V1144" s="27" t="n"/>
      <c r="W1144" s="27" t="n"/>
      <c r="X1144" s="27" t="n"/>
      <c r="Y1144" s="27" t="n"/>
      <c r="Z1144" s="27" t="n"/>
    </row>
    <row r="1145" ht="12.5" customHeight="1" s="85">
      <c r="A1145" s="27" t="inlineStr">
        <is>
          <t>TNR FISH CURRY IN COCONUT MILK</t>
        </is>
      </c>
      <c r="B1145" s="27" t="n"/>
      <c r="C1145" s="27" t="inlineStr">
        <is>
          <t>Ready to Eat &amp; Mixes</t>
        </is>
      </c>
      <c r="D1145" s="28" t="inlineStr">
        <is>
          <t>8907093007393</t>
        </is>
      </c>
      <c r="E1145" s="27" t="n"/>
      <c r="F1145" s="29" t="n">
        <v>0</v>
      </c>
      <c r="G1145" s="29" t="n">
        <v>170</v>
      </c>
      <c r="H1145" s="27" t="inlineStr">
        <is>
          <t>Inclusive</t>
        </is>
      </c>
      <c r="I1145" s="29" t="n">
        <v>132</v>
      </c>
      <c r="J1145" s="27" t="inlineStr">
        <is>
          <t>Inclusive</t>
        </is>
      </c>
      <c r="K1145" s="29" t="n">
        <v>170</v>
      </c>
      <c r="L1145" s="29" t="n">
        <v>0</v>
      </c>
      <c r="M1145" s="33" t="n">
        <v>1</v>
      </c>
      <c r="N1145" s="27" t="inlineStr">
        <is>
          <t>Yes</t>
        </is>
      </c>
      <c r="O1145" s="29" t="n">
        <v>0</v>
      </c>
      <c r="P1145" s="30" t="n">
        <v>450</v>
      </c>
      <c r="Q1145" s="31" t="inlineStr">
        <is>
          <t>In Stock</t>
        </is>
      </c>
      <c r="R1145" s="27" t="n"/>
      <c r="S1145" s="27" t="n"/>
      <c r="T1145" s="27" t="n"/>
      <c r="U1145" s="27" t="n"/>
      <c r="V1145" s="27" t="n"/>
      <c r="W1145" s="27" t="n"/>
      <c r="X1145" s="27" t="n"/>
      <c r="Y1145" s="27" t="n"/>
      <c r="Z1145" s="27" t="n"/>
    </row>
    <row r="1146" ht="12.5" customHeight="1" s="85">
      <c r="A1146" s="27" t="inlineStr">
        <is>
          <t>TNR FISH CURRY SHAPILE</t>
        </is>
      </c>
      <c r="B1146" s="27" t="n"/>
      <c r="C1146" s="27" t="inlineStr">
        <is>
          <t>Ready to Eat &amp; Mixes</t>
        </is>
      </c>
      <c r="D1146" s="28" t="inlineStr">
        <is>
          <t>8907093007416</t>
        </is>
      </c>
      <c r="E1146" s="27" t="n"/>
      <c r="F1146" s="29" t="n">
        <v>0</v>
      </c>
      <c r="G1146" s="29" t="n">
        <v>180</v>
      </c>
      <c r="H1146" s="27" t="inlineStr">
        <is>
          <t>Inclusive</t>
        </is>
      </c>
      <c r="I1146" s="29" t="n">
        <v>140</v>
      </c>
      <c r="J1146" s="27" t="inlineStr">
        <is>
          <t>Inclusive</t>
        </is>
      </c>
      <c r="K1146" s="29" t="n">
        <v>180</v>
      </c>
      <c r="L1146" s="29" t="n">
        <v>0</v>
      </c>
      <c r="M1146" s="33" t="n">
        <v>1</v>
      </c>
      <c r="N1146" s="27" t="inlineStr">
        <is>
          <t>Yes</t>
        </is>
      </c>
      <c r="O1146" s="29" t="n">
        <v>0</v>
      </c>
      <c r="P1146" s="30" t="n">
        <v>450</v>
      </c>
      <c r="Q1146" s="31" t="inlineStr">
        <is>
          <t>In Stock</t>
        </is>
      </c>
      <c r="R1146" s="27" t="n"/>
      <c r="S1146" s="27" t="n"/>
      <c r="T1146" s="27" t="n"/>
      <c r="U1146" s="27" t="n"/>
      <c r="V1146" s="27" t="n"/>
      <c r="W1146" s="27" t="n"/>
      <c r="X1146" s="27" t="n"/>
      <c r="Y1146" s="27" t="n"/>
      <c r="Z1146" s="27" t="n"/>
    </row>
    <row r="1147" ht="12.5" customHeight="1" s="85">
      <c r="A1147" s="27" t="inlineStr">
        <is>
          <t>TNR FISH PEERA 200GM</t>
        </is>
      </c>
      <c r="B1147" s="27" t="n"/>
      <c r="C1147" s="27" t="inlineStr">
        <is>
          <t>Ready to Eat &amp; Mixes</t>
        </is>
      </c>
      <c r="D1147" s="32" t="inlineStr">
        <is>
          <t>100437</t>
        </is>
      </c>
      <c r="E1147" s="27" t="n"/>
      <c r="F1147" s="29" t="n">
        <v>0</v>
      </c>
      <c r="G1147" s="29" t="n">
        <v>159</v>
      </c>
      <c r="H1147" s="27" t="inlineStr">
        <is>
          <t>Inclusive</t>
        </is>
      </c>
      <c r="I1147" s="29" t="n">
        <v>123</v>
      </c>
      <c r="J1147" s="27" t="inlineStr">
        <is>
          <t>Inclusive</t>
        </is>
      </c>
      <c r="K1147" s="29" t="n">
        <v>159</v>
      </c>
      <c r="L1147" s="29" t="n">
        <v>1</v>
      </c>
      <c r="M1147" s="33" t="n">
        <v>1</v>
      </c>
      <c r="N1147" s="27" t="inlineStr">
        <is>
          <t>No</t>
        </is>
      </c>
      <c r="O1147" s="29" t="n">
        <v>0</v>
      </c>
      <c r="P1147" s="30" t="n">
        <v>450</v>
      </c>
      <c r="Q1147" s="31" t="inlineStr">
        <is>
          <t>In Stock</t>
        </is>
      </c>
      <c r="R1147" s="27" t="n"/>
      <c r="S1147" s="27" t="n"/>
      <c r="T1147" s="27" t="n"/>
      <c r="U1147" s="27" t="n"/>
      <c r="V1147" s="27" t="n"/>
      <c r="W1147" s="27" t="n"/>
      <c r="X1147" s="27" t="n"/>
      <c r="Y1147" s="27" t="n"/>
      <c r="Z1147" s="27" t="n"/>
    </row>
    <row r="1148" ht="12.5" customHeight="1" s="85">
      <c r="A1148" s="27" t="inlineStr">
        <is>
          <t>TNR FISH PICKLE 200GM</t>
        </is>
      </c>
      <c r="B1148" s="27" t="n"/>
      <c r="C1148" s="27" t="inlineStr">
        <is>
          <t>Pickles</t>
        </is>
      </c>
      <c r="D1148" s="28" t="inlineStr">
        <is>
          <t>8907093003883</t>
        </is>
      </c>
      <c r="E1148" s="27" t="n"/>
      <c r="F1148" s="29" t="n">
        <v>0</v>
      </c>
      <c r="G1148" s="29" t="n">
        <v>130</v>
      </c>
      <c r="H1148" s="27" t="inlineStr">
        <is>
          <t>Exclusive</t>
        </is>
      </c>
      <c r="I1148" s="29" t="n">
        <v>110</v>
      </c>
      <c r="J1148" s="27" t="inlineStr">
        <is>
          <t>Exclusive</t>
        </is>
      </c>
      <c r="K1148" s="29" t="n">
        <v>130</v>
      </c>
      <c r="L1148" s="29" t="n">
        <v>0</v>
      </c>
      <c r="M1148" s="33" t="n">
        <v>1</v>
      </c>
      <c r="N1148" s="27" t="inlineStr">
        <is>
          <t>Yes</t>
        </is>
      </c>
      <c r="O1148" s="29" t="n">
        <v>0</v>
      </c>
      <c r="P1148" s="30" t="n">
        <v>450</v>
      </c>
      <c r="Q1148" s="31" t="inlineStr">
        <is>
          <t>In Stock</t>
        </is>
      </c>
      <c r="R1148" s="27" t="n"/>
      <c r="S1148" s="27" t="n"/>
      <c r="T1148" s="27" t="n"/>
      <c r="U1148" s="27" t="n"/>
      <c r="V1148" s="27" t="n"/>
      <c r="W1148" s="27" t="n"/>
      <c r="X1148" s="27" t="n"/>
      <c r="Y1148" s="27" t="n"/>
      <c r="Z1148" s="27" t="n"/>
    </row>
    <row r="1149" ht="12.5" customHeight="1" s="85">
      <c r="A1149" s="27" t="inlineStr">
        <is>
          <t>TNR FISH PICKLE 400GM</t>
        </is>
      </c>
      <c r="B1149" s="27" t="n"/>
      <c r="C1149" s="27" t="inlineStr">
        <is>
          <t>Pickles</t>
        </is>
      </c>
      <c r="D1149" s="28" t="inlineStr">
        <is>
          <t>8907093002923</t>
        </is>
      </c>
      <c r="E1149" s="27" t="n"/>
      <c r="F1149" s="29" t="n">
        <v>0</v>
      </c>
      <c r="G1149" s="29" t="n">
        <v>240</v>
      </c>
      <c r="H1149" s="27" t="inlineStr">
        <is>
          <t>Exclusive</t>
        </is>
      </c>
      <c r="I1149" s="29" t="n">
        <v>190</v>
      </c>
      <c r="J1149" s="27" t="inlineStr">
        <is>
          <t>Exclusive</t>
        </is>
      </c>
      <c r="K1149" s="29" t="n">
        <v>240</v>
      </c>
      <c r="L1149" s="29" t="n">
        <v>0</v>
      </c>
      <c r="M1149" s="33" t="n">
        <v>1</v>
      </c>
      <c r="N1149" s="27" t="inlineStr">
        <is>
          <t>Yes</t>
        </is>
      </c>
      <c r="O1149" s="29" t="n">
        <v>0</v>
      </c>
      <c r="P1149" s="30" t="n">
        <v>450</v>
      </c>
      <c r="Q1149" s="31" t="inlineStr">
        <is>
          <t>In Stock</t>
        </is>
      </c>
      <c r="R1149" s="27" t="n"/>
      <c r="S1149" s="27" t="n"/>
      <c r="T1149" s="27" t="n"/>
      <c r="U1149" s="27" t="n"/>
      <c r="V1149" s="27" t="n"/>
      <c r="W1149" s="27" t="n"/>
      <c r="X1149" s="27" t="n"/>
      <c r="Y1149" s="27" t="n"/>
      <c r="Z1149" s="27" t="n"/>
    </row>
    <row r="1150" ht="12.5" customHeight="1" s="85">
      <c r="A1150" s="27" t="inlineStr">
        <is>
          <t>TNR GARLIC PICKLE 400 GM</t>
        </is>
      </c>
      <c r="B1150" s="27" t="n"/>
      <c r="C1150" s="27" t="inlineStr">
        <is>
          <t>Pickles</t>
        </is>
      </c>
      <c r="D1150" s="28" t="inlineStr">
        <is>
          <t>8907093002862</t>
        </is>
      </c>
      <c r="E1150" s="27" t="n"/>
      <c r="F1150" s="29" t="n">
        <v>0</v>
      </c>
      <c r="G1150" s="29" t="n">
        <v>131</v>
      </c>
      <c r="H1150" s="27" t="inlineStr">
        <is>
          <t>Inclusive</t>
        </is>
      </c>
      <c r="I1150" s="29" t="n">
        <v>106</v>
      </c>
      <c r="J1150" s="27" t="inlineStr">
        <is>
          <t>Inclusive</t>
        </is>
      </c>
      <c r="K1150" s="29" t="n">
        <v>125</v>
      </c>
      <c r="L1150" s="29" t="n">
        <v>0</v>
      </c>
      <c r="M1150" s="33" t="n">
        <v>1</v>
      </c>
      <c r="N1150" s="27" t="inlineStr">
        <is>
          <t>Yes</t>
        </is>
      </c>
      <c r="O1150" s="29" t="n">
        <v>0</v>
      </c>
      <c r="P1150" s="30" t="n">
        <v>450</v>
      </c>
      <c r="Q1150" s="31" t="inlineStr">
        <is>
          <t>In Stock</t>
        </is>
      </c>
      <c r="R1150" s="27" t="n"/>
      <c r="S1150" s="27" t="n"/>
      <c r="T1150" s="27" t="n"/>
      <c r="U1150" s="27" t="n"/>
      <c r="V1150" s="27" t="n"/>
      <c r="W1150" s="27" t="n"/>
      <c r="X1150" s="27" t="n"/>
      <c r="Y1150" s="27" t="n"/>
      <c r="Z1150" s="27" t="n"/>
    </row>
    <row r="1151" ht="12.5" customHeight="1" s="85">
      <c r="A1151" s="27" t="inlineStr">
        <is>
          <t>TNR GINGER COFFEE 150GM</t>
        </is>
      </c>
      <c r="B1151" s="27" t="n"/>
      <c r="C1151" s="27" t="inlineStr">
        <is>
          <t>Beverages</t>
        </is>
      </c>
      <c r="D1151" s="28" t="inlineStr">
        <is>
          <t>8907093004583</t>
        </is>
      </c>
      <c r="E1151" s="27" t="n"/>
      <c r="F1151" s="29" t="n">
        <v>0</v>
      </c>
      <c r="G1151" s="29" t="n">
        <v>100</v>
      </c>
      <c r="H1151" s="27" t="inlineStr">
        <is>
          <t>Exclusive</t>
        </is>
      </c>
      <c r="I1151" s="29" t="n">
        <v>74</v>
      </c>
      <c r="J1151" s="27" t="inlineStr">
        <is>
          <t>Exclusive</t>
        </is>
      </c>
      <c r="K1151" s="29" t="n">
        <v>100</v>
      </c>
      <c r="L1151" s="29" t="n">
        <v>0</v>
      </c>
      <c r="M1151" s="33" t="n">
        <v>1</v>
      </c>
      <c r="N1151" s="27" t="inlineStr">
        <is>
          <t>Yes</t>
        </is>
      </c>
      <c r="O1151" s="29" t="n">
        <v>0</v>
      </c>
      <c r="P1151" s="30" t="n">
        <v>450</v>
      </c>
      <c r="Q1151" s="31" t="inlineStr">
        <is>
          <t>In Stock</t>
        </is>
      </c>
      <c r="R1151" s="27" t="n"/>
      <c r="S1151" s="27" t="n"/>
      <c r="T1151" s="27" t="n"/>
      <c r="U1151" s="27" t="n"/>
      <c r="V1151" s="27" t="n"/>
      <c r="W1151" s="27" t="n"/>
      <c r="X1151" s="27" t="n"/>
      <c r="Y1151" s="27" t="n"/>
      <c r="Z1151" s="27" t="n"/>
    </row>
    <row r="1152" ht="12.5" customHeight="1" s="85">
      <c r="A1152" s="27" t="inlineStr">
        <is>
          <t>TNR INSTANT PALADA PAYASAM</t>
        </is>
      </c>
      <c r="B1152" s="27" t="n"/>
      <c r="C1152" s="27" t="inlineStr">
        <is>
          <t>Ready to Eat &amp; Mixes</t>
        </is>
      </c>
      <c r="D1152" s="28" t="inlineStr">
        <is>
          <t>8907093006068</t>
        </is>
      </c>
      <c r="E1152" s="27" t="n"/>
      <c r="F1152" s="29" t="n">
        <v>0</v>
      </c>
      <c r="G1152" s="29" t="n">
        <v>110</v>
      </c>
      <c r="H1152" s="27" t="inlineStr">
        <is>
          <t>Exclusive</t>
        </is>
      </c>
      <c r="I1152" s="29" t="n">
        <v>85</v>
      </c>
      <c r="J1152" s="27" t="inlineStr">
        <is>
          <t>Exclusive</t>
        </is>
      </c>
      <c r="K1152" s="29" t="n">
        <v>110</v>
      </c>
      <c r="L1152" s="29" t="n">
        <v>0</v>
      </c>
      <c r="M1152" s="33" t="n">
        <v>1</v>
      </c>
      <c r="N1152" s="27" t="inlineStr">
        <is>
          <t>Yes</t>
        </is>
      </c>
      <c r="O1152" s="29" t="n">
        <v>0</v>
      </c>
      <c r="P1152" s="30" t="n">
        <v>450</v>
      </c>
      <c r="Q1152" s="31" t="inlineStr">
        <is>
          <t>In Stock</t>
        </is>
      </c>
      <c r="R1152" s="27" t="n"/>
      <c r="S1152" s="27" t="n"/>
      <c r="T1152" s="27" t="n"/>
      <c r="U1152" s="27" t="n"/>
      <c r="V1152" s="27" t="n"/>
      <c r="W1152" s="27" t="n"/>
      <c r="X1152" s="27" t="n"/>
      <c r="Y1152" s="27" t="n"/>
      <c r="Z1152" s="27" t="n"/>
    </row>
    <row r="1153" ht="12.5" customHeight="1" s="85">
      <c r="A1153" s="27" t="inlineStr">
        <is>
          <t>TNR INSTANT VERMICELLI KHEER</t>
        </is>
      </c>
      <c r="B1153" s="27" t="n"/>
      <c r="C1153" s="27" t="inlineStr">
        <is>
          <t>Ready to Eat &amp; Mixes</t>
        </is>
      </c>
      <c r="D1153" s="28" t="inlineStr">
        <is>
          <t>8907093007287</t>
        </is>
      </c>
      <c r="E1153" s="27" t="n"/>
      <c r="F1153" s="29" t="n">
        <v>0</v>
      </c>
      <c r="G1153" s="29" t="n">
        <v>85</v>
      </c>
      <c r="H1153" s="27" t="inlineStr">
        <is>
          <t>Exclusive</t>
        </is>
      </c>
      <c r="I1153" s="29" t="n">
        <v>58</v>
      </c>
      <c r="J1153" s="27" t="inlineStr">
        <is>
          <t>Exclusive</t>
        </is>
      </c>
      <c r="K1153" s="29" t="n">
        <v>70</v>
      </c>
      <c r="L1153" s="29" t="n">
        <v>0</v>
      </c>
      <c r="M1153" s="33" t="n">
        <v>1</v>
      </c>
      <c r="N1153" s="27" t="inlineStr">
        <is>
          <t>Yes</t>
        </is>
      </c>
      <c r="O1153" s="29" t="n">
        <v>0</v>
      </c>
      <c r="P1153" s="30" t="n">
        <v>450</v>
      </c>
      <c r="Q1153" s="31" t="inlineStr">
        <is>
          <t>In Stock</t>
        </is>
      </c>
      <c r="R1153" s="27" t="n"/>
      <c r="S1153" s="27" t="n"/>
      <c r="T1153" s="27" t="n"/>
      <c r="U1153" s="27" t="n"/>
      <c r="V1153" s="27" t="n"/>
      <c r="W1153" s="27" t="n"/>
      <c r="X1153" s="27" t="n"/>
      <c r="Y1153" s="27" t="n"/>
      <c r="Z1153" s="27" t="n"/>
    </row>
    <row r="1154" ht="12.5" customHeight="1" s="85">
      <c r="A1154" s="27" t="inlineStr">
        <is>
          <t>TNR KERALA FISH CURRY CHILLI</t>
        </is>
      </c>
      <c r="B1154" s="27" t="n"/>
      <c r="C1154" s="27" t="inlineStr">
        <is>
          <t>Ready to Eat &amp; Mixes</t>
        </is>
      </c>
      <c r="D1154" s="28" t="inlineStr">
        <is>
          <t>8907093005399</t>
        </is>
      </c>
      <c r="E1154" s="27" t="n"/>
      <c r="F1154" s="29" t="n">
        <v>0</v>
      </c>
      <c r="G1154" s="29" t="n">
        <v>180</v>
      </c>
      <c r="H1154" s="27" t="inlineStr">
        <is>
          <t>Exclusive</t>
        </is>
      </c>
      <c r="I1154" s="29" t="n">
        <v>130</v>
      </c>
      <c r="J1154" s="27" t="inlineStr">
        <is>
          <t>Exclusive</t>
        </is>
      </c>
      <c r="K1154" s="29" t="n">
        <v>170</v>
      </c>
      <c r="L1154" s="29" t="n">
        <v>0</v>
      </c>
      <c r="M1154" s="33" t="n">
        <v>1</v>
      </c>
      <c r="N1154" s="27" t="inlineStr">
        <is>
          <t>Yes</t>
        </is>
      </c>
      <c r="O1154" s="29" t="n">
        <v>0</v>
      </c>
      <c r="P1154" s="30" t="n">
        <v>450</v>
      </c>
      <c r="Q1154" s="31" t="inlineStr">
        <is>
          <t>In Stock</t>
        </is>
      </c>
      <c r="R1154" s="27" t="n"/>
      <c r="S1154" s="27" t="n"/>
      <c r="T1154" s="27" t="n"/>
      <c r="U1154" s="27" t="n"/>
      <c r="V1154" s="27" t="n"/>
      <c r="W1154" s="27" t="n"/>
      <c r="X1154" s="27" t="n"/>
      <c r="Y1154" s="27" t="n"/>
      <c r="Z1154" s="27" t="n"/>
    </row>
    <row r="1155" ht="12.5" customHeight="1" s="85">
      <c r="A1155" s="27" t="inlineStr">
        <is>
          <t>TNR KOOTTU KARI</t>
        </is>
      </c>
      <c r="B1155" s="27" t="n"/>
      <c r="C1155" s="27" t="inlineStr">
        <is>
          <t>Ready to Eat &amp; Mixes</t>
        </is>
      </c>
      <c r="D1155" s="28" t="inlineStr">
        <is>
          <t>8907093007706</t>
        </is>
      </c>
      <c r="E1155" s="27" t="n"/>
      <c r="F1155" s="29" t="n">
        <v>0</v>
      </c>
      <c r="G1155" s="29" t="n">
        <v>150</v>
      </c>
      <c r="H1155" s="27" t="inlineStr">
        <is>
          <t>Exclusive</t>
        </is>
      </c>
      <c r="I1155" s="29" t="n">
        <v>120</v>
      </c>
      <c r="J1155" s="27" t="inlineStr">
        <is>
          <t>Exclusive</t>
        </is>
      </c>
      <c r="K1155" s="29" t="n">
        <v>150</v>
      </c>
      <c r="L1155" s="29" t="n">
        <v>0</v>
      </c>
      <c r="M1155" s="27" t="n"/>
      <c r="N1155" s="27" t="inlineStr">
        <is>
          <t>Yes</t>
        </is>
      </c>
      <c r="O1155" s="29" t="n">
        <v>0</v>
      </c>
      <c r="P1155" s="30" t="n">
        <v>450</v>
      </c>
      <c r="Q1155" s="31" t="inlineStr">
        <is>
          <t>In Stock</t>
        </is>
      </c>
      <c r="R1155" s="27" t="n"/>
      <c r="S1155" s="27" t="n"/>
      <c r="T1155" s="27" t="n"/>
      <c r="U1155" s="27" t="n"/>
      <c r="V1155" s="27" t="n"/>
      <c r="W1155" s="27" t="n"/>
      <c r="X1155" s="27" t="n"/>
      <c r="Y1155" s="27" t="n"/>
      <c r="Z1155" s="27" t="n"/>
    </row>
    <row r="1156" ht="12.5" customHeight="1" s="85">
      <c r="A1156" s="27" t="inlineStr">
        <is>
          <t>TNR LIME PICKLE 200GM</t>
        </is>
      </c>
      <c r="B1156" s="27" t="n"/>
      <c r="C1156" s="27" t="inlineStr">
        <is>
          <t>Pickles</t>
        </is>
      </c>
      <c r="D1156" s="28" t="inlineStr">
        <is>
          <t>8907093004651</t>
        </is>
      </c>
      <c r="E1156" s="27" t="n"/>
      <c r="F1156" s="29" t="n">
        <v>0</v>
      </c>
      <c r="G1156" s="29" t="n">
        <v>60</v>
      </c>
      <c r="H1156" s="27" t="inlineStr">
        <is>
          <t>Exclusive</t>
        </is>
      </c>
      <c r="I1156" s="29" t="n">
        <v>46</v>
      </c>
      <c r="J1156" s="27" t="inlineStr">
        <is>
          <t>Exclusive</t>
        </is>
      </c>
      <c r="K1156" s="29" t="n">
        <v>60</v>
      </c>
      <c r="L1156" s="29" t="n">
        <v>0</v>
      </c>
      <c r="M1156" s="33" t="n">
        <v>1</v>
      </c>
      <c r="N1156" s="27" t="inlineStr">
        <is>
          <t>Yes</t>
        </is>
      </c>
      <c r="O1156" s="29" t="n">
        <v>0</v>
      </c>
      <c r="P1156" s="30" t="n">
        <v>450</v>
      </c>
      <c r="Q1156" s="31" t="inlineStr">
        <is>
          <t>In Stock</t>
        </is>
      </c>
      <c r="R1156" s="27" t="n"/>
      <c r="S1156" s="27" t="n"/>
      <c r="T1156" s="27" t="n"/>
      <c r="U1156" s="27" t="n"/>
      <c r="V1156" s="27" t="n"/>
      <c r="W1156" s="27" t="n"/>
      <c r="X1156" s="27" t="n"/>
      <c r="Y1156" s="27" t="n"/>
      <c r="Z1156" s="27" t="n"/>
    </row>
    <row r="1157" ht="12.5" customHeight="1" s="85">
      <c r="A1157" s="27" t="inlineStr">
        <is>
          <t>TNR MANGO GINGER PICKLE 400GM</t>
        </is>
      </c>
      <c r="B1157" s="27" t="n"/>
      <c r="C1157" s="27" t="inlineStr">
        <is>
          <t>Pickles</t>
        </is>
      </c>
      <c r="D1157" s="32" t="inlineStr">
        <is>
          <t>100438</t>
        </is>
      </c>
      <c r="E1157" s="27" t="n"/>
      <c r="F1157" s="29" t="n">
        <v>0</v>
      </c>
      <c r="G1157" s="29" t="n">
        <v>105</v>
      </c>
      <c r="H1157" s="27" t="inlineStr">
        <is>
          <t>Inclusive</t>
        </is>
      </c>
      <c r="I1157" s="29" t="n">
        <v>84</v>
      </c>
      <c r="J1157" s="27" t="inlineStr">
        <is>
          <t>Inclusive</t>
        </is>
      </c>
      <c r="K1157" s="29" t="n">
        <v>105</v>
      </c>
      <c r="L1157" s="29" t="n">
        <v>3</v>
      </c>
      <c r="M1157" s="33" t="n">
        <v>1</v>
      </c>
      <c r="N1157" s="27" t="inlineStr">
        <is>
          <t>No</t>
        </is>
      </c>
      <c r="O1157" s="29" t="n">
        <v>0</v>
      </c>
      <c r="P1157" s="30" t="n">
        <v>450</v>
      </c>
      <c r="Q1157" s="31" t="inlineStr">
        <is>
          <t>In Stock</t>
        </is>
      </c>
      <c r="R1157" s="27" t="n"/>
      <c r="S1157" s="27" t="n"/>
      <c r="T1157" s="27" t="n"/>
      <c r="U1157" s="27" t="n"/>
      <c r="V1157" s="27" t="n"/>
      <c r="W1157" s="27" t="n"/>
      <c r="X1157" s="27" t="n"/>
      <c r="Y1157" s="27" t="n"/>
      <c r="Z1157" s="27" t="n"/>
    </row>
    <row r="1158" ht="12.5" customHeight="1" s="85">
      <c r="A1158" s="27" t="inlineStr">
        <is>
          <t>TNR MIXED FRUIT JAM 200GM</t>
        </is>
      </c>
      <c r="B1158" s="27" t="n"/>
      <c r="C1158" s="27" t="inlineStr">
        <is>
          <t>Ready to Eat &amp; Mixes</t>
        </is>
      </c>
      <c r="D1158" s="32" t="inlineStr">
        <is>
          <t>100439</t>
        </is>
      </c>
      <c r="E1158" s="27" t="n"/>
      <c r="F1158" s="29" t="n">
        <v>0</v>
      </c>
      <c r="G1158" s="29" t="n">
        <v>42</v>
      </c>
      <c r="H1158" s="27" t="inlineStr">
        <is>
          <t>Inclusive</t>
        </is>
      </c>
      <c r="I1158" s="29" t="n">
        <v>36</v>
      </c>
      <c r="J1158" s="27" t="inlineStr">
        <is>
          <t>Inclusive</t>
        </is>
      </c>
      <c r="K1158" s="29" t="n">
        <v>42</v>
      </c>
      <c r="L1158" s="29" t="n">
        <v>2</v>
      </c>
      <c r="M1158" s="33" t="n">
        <v>1</v>
      </c>
      <c r="N1158" s="27" t="inlineStr">
        <is>
          <t>No</t>
        </is>
      </c>
      <c r="O1158" s="29" t="n">
        <v>0</v>
      </c>
      <c r="P1158" s="30" t="n">
        <v>450</v>
      </c>
      <c r="Q1158" s="31" t="inlineStr">
        <is>
          <t>In Stock</t>
        </is>
      </c>
      <c r="R1158" s="27" t="n"/>
      <c r="S1158" s="27" t="n"/>
      <c r="T1158" s="27" t="n"/>
      <c r="U1158" s="27" t="n"/>
      <c r="V1158" s="27" t="n"/>
      <c r="W1158" s="27" t="n"/>
      <c r="X1158" s="27" t="n"/>
      <c r="Y1158" s="27" t="n"/>
      <c r="Z1158" s="27" t="n"/>
    </row>
    <row r="1159" ht="12.5" customHeight="1" s="85">
      <c r="A1159" s="27" t="inlineStr">
        <is>
          <t>TN ROASTED RAGI POWDER 500GM</t>
        </is>
      </c>
      <c r="B1159" s="27" t="n"/>
      <c r="C1159" s="27" t="inlineStr">
        <is>
          <t>Grains &amp; Flours</t>
        </is>
      </c>
      <c r="D1159" s="32" t="inlineStr">
        <is>
          <t>100440</t>
        </is>
      </c>
      <c r="E1159" s="27" t="n"/>
      <c r="F1159" s="29" t="n">
        <v>0</v>
      </c>
      <c r="G1159" s="29" t="n">
        <v>178</v>
      </c>
      <c r="H1159" s="27" t="inlineStr">
        <is>
          <t>Exclusive</t>
        </is>
      </c>
      <c r="I1159" s="29" t="n">
        <v>51.33</v>
      </c>
      <c r="J1159" s="27" t="inlineStr">
        <is>
          <t>Exclusive</t>
        </is>
      </c>
      <c r="K1159" s="29" t="n">
        <v>0</v>
      </c>
      <c r="L1159" s="29" t="n">
        <v>10</v>
      </c>
      <c r="M1159" s="27" t="n"/>
      <c r="N1159" s="27" t="inlineStr">
        <is>
          <t>Yes</t>
        </is>
      </c>
      <c r="O1159" s="29" t="n">
        <v>0</v>
      </c>
      <c r="P1159" s="30" t="n">
        <v>450</v>
      </c>
      <c r="Q1159" s="31" t="inlineStr">
        <is>
          <t>In Stock</t>
        </is>
      </c>
      <c r="R1159" s="27" t="n"/>
      <c r="S1159" s="27" t="n"/>
      <c r="T1159" s="27" t="n"/>
      <c r="U1159" s="27" t="n"/>
      <c r="V1159" s="27" t="n"/>
      <c r="W1159" s="27" t="n"/>
      <c r="X1159" s="27" t="n"/>
      <c r="Y1159" s="27" t="n"/>
      <c r="Z1159" s="27" t="n"/>
    </row>
    <row r="1160" ht="12.5" customHeight="1" s="85">
      <c r="A1160" s="27" t="inlineStr">
        <is>
          <t>TN ROASTED RICE APPAM PODI 1KG</t>
        </is>
      </c>
      <c r="B1160" s="27" t="n"/>
      <c r="C1160" s="27" t="inlineStr">
        <is>
          <t>Grains &amp; Flours</t>
        </is>
      </c>
      <c r="D1160" s="28" t="inlineStr">
        <is>
          <t>8907093007522</t>
        </is>
      </c>
      <c r="E1160" s="27" t="n"/>
      <c r="F1160" s="29" t="n">
        <v>0</v>
      </c>
      <c r="G1160" s="29" t="n">
        <v>135</v>
      </c>
      <c r="H1160" s="27" t="inlineStr">
        <is>
          <t>Inclusive</t>
        </is>
      </c>
      <c r="I1160" s="29" t="n">
        <v>109</v>
      </c>
      <c r="J1160" s="27" t="inlineStr">
        <is>
          <t>Inclusive</t>
        </is>
      </c>
      <c r="K1160" s="29" t="n">
        <v>135</v>
      </c>
      <c r="L1160" s="29" t="n">
        <v>0</v>
      </c>
      <c r="M1160" s="33" t="n">
        <v>1</v>
      </c>
      <c r="N1160" s="27" t="inlineStr">
        <is>
          <t>Yes</t>
        </is>
      </c>
      <c r="O1160" s="29" t="n">
        <v>0</v>
      </c>
      <c r="P1160" s="30" t="n">
        <v>450</v>
      </c>
      <c r="Q1160" s="31" t="inlineStr">
        <is>
          <t>In Stock</t>
        </is>
      </c>
      <c r="R1160" s="27" t="n"/>
      <c r="S1160" s="27" t="n"/>
      <c r="T1160" s="27" t="n"/>
      <c r="U1160" s="27" t="n"/>
      <c r="V1160" s="27" t="n"/>
      <c r="W1160" s="27" t="n"/>
      <c r="X1160" s="27" t="n"/>
      <c r="Y1160" s="27" t="n"/>
      <c r="Z1160" s="27" t="n"/>
    </row>
    <row r="1161" ht="12.5" customHeight="1" s="85">
      <c r="A1161" s="27" t="inlineStr">
        <is>
          <t>TN ROSTED RAGI POWDER 500GM</t>
        </is>
      </c>
      <c r="B1161" s="27" t="n"/>
      <c r="C1161" s="27" t="inlineStr">
        <is>
          <t>Grains &amp; Flours</t>
        </is>
      </c>
      <c r="D1161" s="28" t="inlineStr">
        <is>
          <t>8907093011758</t>
        </is>
      </c>
      <c r="E1161" s="27" t="n"/>
      <c r="F1161" s="29" t="n">
        <v>0</v>
      </c>
      <c r="G1161" s="29" t="n">
        <v>70</v>
      </c>
      <c r="H1161" s="27" t="inlineStr">
        <is>
          <t>Inclusive</t>
        </is>
      </c>
      <c r="I1161" s="29" t="n">
        <v>59</v>
      </c>
      <c r="J1161" s="27" t="inlineStr">
        <is>
          <t>Inclusive</t>
        </is>
      </c>
      <c r="K1161" s="29" t="n">
        <v>70</v>
      </c>
      <c r="L1161" s="29" t="n">
        <v>0</v>
      </c>
      <c r="M1161" s="33" t="n">
        <v>1</v>
      </c>
      <c r="N1161" s="27" t="inlineStr">
        <is>
          <t>Yes</t>
        </is>
      </c>
      <c r="O1161" s="29" t="n">
        <v>0</v>
      </c>
      <c r="P1161" s="30" t="n">
        <v>450</v>
      </c>
      <c r="Q1161" s="31" t="inlineStr">
        <is>
          <t>In Stock</t>
        </is>
      </c>
      <c r="R1161" s="27" t="n"/>
      <c r="S1161" s="27" t="n"/>
      <c r="T1161" s="27" t="n"/>
      <c r="U1161" s="27" t="n"/>
      <c r="V1161" s="27" t="n"/>
      <c r="W1161" s="27" t="n"/>
      <c r="X1161" s="27" t="n"/>
      <c r="Y1161" s="27" t="n"/>
      <c r="Z1161" s="27" t="n"/>
    </row>
    <row r="1162" ht="12.5" customHeight="1" s="85">
      <c r="A1162" s="27" t="inlineStr">
        <is>
          <t>TN ROSTED RAWA</t>
        </is>
      </c>
      <c r="B1162" s="27" t="n"/>
      <c r="C1162" s="27" t="inlineStr">
        <is>
          <t>Grains &amp; Flours</t>
        </is>
      </c>
      <c r="D1162" s="28" t="inlineStr">
        <is>
          <t>8907093006167</t>
        </is>
      </c>
      <c r="E1162" s="27" t="n"/>
      <c r="F1162" s="29" t="n">
        <v>0</v>
      </c>
      <c r="G1162" s="29" t="n">
        <v>115</v>
      </c>
      <c r="H1162" s="27" t="inlineStr">
        <is>
          <t>Exclusive</t>
        </is>
      </c>
      <c r="I1162" s="29" t="n">
        <v>97</v>
      </c>
      <c r="J1162" s="27" t="inlineStr">
        <is>
          <t>Exclusive</t>
        </is>
      </c>
      <c r="K1162" s="29" t="n">
        <v>115</v>
      </c>
      <c r="L1162" s="29" t="n">
        <v>0</v>
      </c>
      <c r="M1162" s="33" t="n">
        <v>1</v>
      </c>
      <c r="N1162" s="27" t="inlineStr">
        <is>
          <t>Yes</t>
        </is>
      </c>
      <c r="O1162" s="29" t="n">
        <v>0</v>
      </c>
      <c r="P1162" s="30" t="n">
        <v>450</v>
      </c>
      <c r="Q1162" s="31" t="inlineStr">
        <is>
          <t>In Stock</t>
        </is>
      </c>
      <c r="R1162" s="27" t="n"/>
      <c r="S1162" s="27" t="n"/>
      <c r="T1162" s="27" t="n"/>
      <c r="U1162" s="27" t="n"/>
      <c r="V1162" s="27" t="n"/>
      <c r="W1162" s="27" t="n"/>
      <c r="X1162" s="27" t="n"/>
      <c r="Y1162" s="27" t="n"/>
      <c r="Z1162" s="27" t="n"/>
    </row>
    <row r="1163" ht="12.5" customHeight="1" s="85">
      <c r="A1163" s="27" t="inlineStr">
        <is>
          <t>TN ROSTED RAWA 500GM</t>
        </is>
      </c>
      <c r="B1163" s="27" t="n"/>
      <c r="C1163" s="27" t="inlineStr">
        <is>
          <t>Grains &amp; Flours</t>
        </is>
      </c>
      <c r="D1163" s="28" t="inlineStr">
        <is>
          <t>8907093006044</t>
        </is>
      </c>
      <c r="E1163" s="27" t="n"/>
      <c r="F1163" s="29" t="n">
        <v>0</v>
      </c>
      <c r="G1163" s="29" t="n">
        <v>60</v>
      </c>
      <c r="H1163" s="27" t="inlineStr">
        <is>
          <t>Exclusive</t>
        </is>
      </c>
      <c r="I1163" s="29" t="n">
        <v>50</v>
      </c>
      <c r="J1163" s="27" t="inlineStr">
        <is>
          <t>Exclusive</t>
        </is>
      </c>
      <c r="K1163" s="29" t="n">
        <v>60</v>
      </c>
      <c r="L1163" s="29" t="n">
        <v>9</v>
      </c>
      <c r="M1163" s="33" t="n">
        <v>1</v>
      </c>
      <c r="N1163" s="27" t="inlineStr">
        <is>
          <t>Yes</t>
        </is>
      </c>
      <c r="O1163" s="29" t="n">
        <v>0</v>
      </c>
      <c r="P1163" s="30" t="n">
        <v>450</v>
      </c>
      <c r="Q1163" s="31" t="inlineStr">
        <is>
          <t>In Stock</t>
        </is>
      </c>
      <c r="R1163" s="27" t="n"/>
      <c r="S1163" s="27" t="n"/>
      <c r="T1163" s="27" t="n"/>
      <c r="U1163" s="27" t="n"/>
      <c r="V1163" s="27" t="n"/>
      <c r="W1163" s="27" t="n"/>
      <c r="X1163" s="27" t="n"/>
      <c r="Y1163" s="27" t="n"/>
      <c r="Z1163" s="27" t="n"/>
    </row>
    <row r="1164" ht="12.5" customHeight="1" s="85">
      <c r="A1164" s="27" t="inlineStr">
        <is>
          <t>TNR PALADA PAYASAM 200GM</t>
        </is>
      </c>
      <c r="B1164" s="27" t="n"/>
      <c r="C1164" s="27" t="inlineStr">
        <is>
          <t>Ready to Eat &amp; Mixes</t>
        </is>
      </c>
      <c r="D1164" s="28" t="inlineStr">
        <is>
          <t>8907093010232</t>
        </is>
      </c>
      <c r="E1164" s="27" t="n"/>
      <c r="F1164" s="29" t="n">
        <v>0</v>
      </c>
      <c r="G1164" s="29" t="n">
        <v>150</v>
      </c>
      <c r="H1164" s="27" t="inlineStr">
        <is>
          <t>Exclusive</t>
        </is>
      </c>
      <c r="I1164" s="29" t="n">
        <v>86</v>
      </c>
      <c r="J1164" s="27" t="inlineStr">
        <is>
          <t>Exclusive</t>
        </is>
      </c>
      <c r="K1164" s="29" t="n">
        <v>150</v>
      </c>
      <c r="L1164" s="29" t="n">
        <v>27</v>
      </c>
      <c r="M1164" s="33" t="n">
        <v>1</v>
      </c>
      <c r="N1164" s="27" t="inlineStr">
        <is>
          <t>Yes</t>
        </is>
      </c>
      <c r="O1164" s="29" t="n">
        <v>0</v>
      </c>
      <c r="P1164" s="30" t="n">
        <v>450</v>
      </c>
      <c r="Q1164" s="31" t="inlineStr">
        <is>
          <t>In Stock</t>
        </is>
      </c>
      <c r="R1164" s="27" t="n"/>
      <c r="S1164" s="27" t="n"/>
      <c r="T1164" s="27" t="n"/>
      <c r="U1164" s="27" t="n"/>
      <c r="V1164" s="27" t="n"/>
      <c r="W1164" s="27" t="n"/>
      <c r="X1164" s="27" t="n"/>
      <c r="Y1164" s="27" t="n"/>
      <c r="Z1164" s="27" t="n"/>
    </row>
    <row r="1165" ht="12.5" customHeight="1" s="85">
      <c r="A1165" s="27" t="inlineStr">
        <is>
          <t>TNR PALPAYASAM</t>
        </is>
      </c>
      <c r="B1165" s="27" t="n"/>
      <c r="C1165" s="27" t="inlineStr">
        <is>
          <t>Ready to Eat &amp; Mixes</t>
        </is>
      </c>
      <c r="D1165" s="28" t="inlineStr">
        <is>
          <t>8907093010218</t>
        </is>
      </c>
      <c r="E1165" s="27" t="n"/>
      <c r="F1165" s="29" t="n">
        <v>0</v>
      </c>
      <c r="G1165" s="29" t="n">
        <v>150</v>
      </c>
      <c r="H1165" s="27" t="inlineStr">
        <is>
          <t>Exclusive</t>
        </is>
      </c>
      <c r="I1165" s="29" t="n">
        <v>115</v>
      </c>
      <c r="J1165" s="27" t="inlineStr">
        <is>
          <t>Exclusive</t>
        </is>
      </c>
      <c r="K1165" s="29" t="n">
        <v>0</v>
      </c>
      <c r="L1165" s="29" t="n">
        <v>0</v>
      </c>
      <c r="M1165" s="33" t="n">
        <v>1</v>
      </c>
      <c r="N1165" s="27" t="inlineStr">
        <is>
          <t>Yes</t>
        </is>
      </c>
      <c r="O1165" s="29" t="n">
        <v>0</v>
      </c>
      <c r="P1165" s="30" t="n">
        <v>450</v>
      </c>
      <c r="Q1165" s="31" t="inlineStr">
        <is>
          <t>In Stock</t>
        </is>
      </c>
      <c r="R1165" s="27" t="n"/>
      <c r="S1165" s="27" t="n"/>
      <c r="T1165" s="27" t="n"/>
      <c r="U1165" s="27" t="n"/>
      <c r="V1165" s="27" t="n"/>
      <c r="W1165" s="27" t="n"/>
      <c r="X1165" s="27" t="n"/>
      <c r="Y1165" s="27" t="n"/>
      <c r="Z1165" s="27" t="n"/>
    </row>
    <row r="1166" ht="12.5" customHeight="1" s="85">
      <c r="A1166" s="27" t="inlineStr">
        <is>
          <t>TNR PRAWN PICKLE 200G</t>
        </is>
      </c>
      <c r="B1166" s="27" t="n"/>
      <c r="C1166" s="27" t="inlineStr">
        <is>
          <t>Pickles</t>
        </is>
      </c>
      <c r="D1166" s="28" t="inlineStr">
        <is>
          <t>8907093003890</t>
        </is>
      </c>
      <c r="E1166" s="27" t="n"/>
      <c r="F1166" s="29" t="n">
        <v>0</v>
      </c>
      <c r="G1166" s="29" t="n">
        <v>135</v>
      </c>
      <c r="H1166" s="27" t="inlineStr">
        <is>
          <t>Exclusive</t>
        </is>
      </c>
      <c r="I1166" s="29" t="n">
        <v>105</v>
      </c>
      <c r="J1166" s="27" t="inlineStr">
        <is>
          <t>Exclusive</t>
        </is>
      </c>
      <c r="K1166" s="29" t="n">
        <v>135</v>
      </c>
      <c r="L1166" s="29" t="n">
        <v>0</v>
      </c>
      <c r="M1166" s="33" t="n">
        <v>1</v>
      </c>
      <c r="N1166" s="27" t="inlineStr">
        <is>
          <t>Yes</t>
        </is>
      </c>
      <c r="O1166" s="29" t="n">
        <v>0</v>
      </c>
      <c r="P1166" s="30" t="n">
        <v>450</v>
      </c>
      <c r="Q1166" s="31" t="inlineStr">
        <is>
          <t>In Stock</t>
        </is>
      </c>
      <c r="R1166" s="27" t="n"/>
      <c r="S1166" s="27" t="n"/>
      <c r="T1166" s="27" t="n"/>
      <c r="U1166" s="27" t="n"/>
      <c r="V1166" s="27" t="n"/>
      <c r="W1166" s="27" t="n"/>
      <c r="X1166" s="27" t="n"/>
      <c r="Y1166" s="27" t="n"/>
      <c r="Z1166" s="27" t="n"/>
    </row>
    <row r="1167" ht="12.5" customHeight="1" s="85">
      <c r="A1167" s="27" t="inlineStr">
        <is>
          <t>TNR PRAWN PICKLE 400GM</t>
        </is>
      </c>
      <c r="B1167" s="27" t="n"/>
      <c r="C1167" s="27" t="inlineStr">
        <is>
          <t>Pickles</t>
        </is>
      </c>
      <c r="D1167" s="28" t="inlineStr">
        <is>
          <t>8907093002947</t>
        </is>
      </c>
      <c r="E1167" s="27" t="n"/>
      <c r="F1167" s="29" t="n">
        <v>0</v>
      </c>
      <c r="G1167" s="29" t="n">
        <v>245</v>
      </c>
      <c r="H1167" s="27" t="inlineStr">
        <is>
          <t>Inclusive</t>
        </is>
      </c>
      <c r="I1167" s="29" t="n">
        <v>208</v>
      </c>
      <c r="J1167" s="27" t="inlineStr">
        <is>
          <t>Inclusive</t>
        </is>
      </c>
      <c r="K1167" s="29" t="n">
        <v>245</v>
      </c>
      <c r="L1167" s="29" t="n">
        <v>0</v>
      </c>
      <c r="M1167" s="33" t="n">
        <v>1</v>
      </c>
      <c r="N1167" s="27" t="inlineStr">
        <is>
          <t>Yes</t>
        </is>
      </c>
      <c r="O1167" s="29" t="n">
        <v>0</v>
      </c>
      <c r="P1167" s="30" t="n">
        <v>450</v>
      </c>
      <c r="Q1167" s="31" t="inlineStr">
        <is>
          <t>In Stock</t>
        </is>
      </c>
      <c r="R1167" s="27" t="n"/>
      <c r="S1167" s="27" t="n"/>
      <c r="T1167" s="27" t="n"/>
      <c r="U1167" s="27" t="n"/>
      <c r="V1167" s="27" t="n"/>
      <c r="W1167" s="27" t="n"/>
      <c r="X1167" s="27" t="n"/>
      <c r="Y1167" s="27" t="n"/>
      <c r="Z1167" s="27" t="n"/>
    </row>
    <row r="1168" ht="12.5" customHeight="1" s="85">
      <c r="A1168" s="27" t="inlineStr">
        <is>
          <t>TNR PULI INCHI ACHAR</t>
        </is>
      </c>
      <c r="B1168" s="27" t="n"/>
      <c r="C1168" s="27" t="inlineStr">
        <is>
          <t>Pickles</t>
        </is>
      </c>
      <c r="D1168" s="28" t="inlineStr">
        <is>
          <t>9902493005078</t>
        </is>
      </c>
      <c r="E1168" s="27" t="n"/>
      <c r="F1168" s="29" t="n">
        <v>0</v>
      </c>
      <c r="G1168" s="29" t="n">
        <v>110</v>
      </c>
      <c r="H1168" s="27" t="inlineStr">
        <is>
          <t>Exclusive</t>
        </is>
      </c>
      <c r="I1168" s="29" t="n">
        <v>95</v>
      </c>
      <c r="J1168" s="27" t="inlineStr">
        <is>
          <t>Exclusive</t>
        </is>
      </c>
      <c r="K1168" s="29" t="n">
        <v>110</v>
      </c>
      <c r="L1168" s="29" t="n">
        <v>0</v>
      </c>
      <c r="M1168" s="33" t="n">
        <v>1</v>
      </c>
      <c r="N1168" s="27" t="inlineStr">
        <is>
          <t>Yes</t>
        </is>
      </c>
      <c r="O1168" s="29" t="n">
        <v>0</v>
      </c>
      <c r="P1168" s="30" t="n">
        <v>450</v>
      </c>
      <c r="Q1168" s="31" t="inlineStr">
        <is>
          <t>In Stock</t>
        </is>
      </c>
      <c r="R1168" s="27" t="n"/>
      <c r="S1168" s="27" t="n"/>
      <c r="T1168" s="27" t="n"/>
      <c r="U1168" s="27" t="n"/>
      <c r="V1168" s="27" t="n"/>
      <c r="W1168" s="27" t="n"/>
      <c r="X1168" s="27" t="n"/>
      <c r="Y1168" s="27" t="n"/>
      <c r="Z1168" s="27" t="n"/>
    </row>
    <row r="1169" ht="12.5" customHeight="1" s="85">
      <c r="A1169" s="27" t="inlineStr">
        <is>
          <t>TNR TENDER MANGO 200GM</t>
        </is>
      </c>
      <c r="B1169" s="27" t="n"/>
      <c r="C1169" s="27" t="inlineStr">
        <is>
          <t>Pickles</t>
        </is>
      </c>
      <c r="D1169" s="32" t="inlineStr">
        <is>
          <t>100444</t>
        </is>
      </c>
      <c r="E1169" s="27" t="n"/>
      <c r="F1169" s="29" t="n">
        <v>0</v>
      </c>
      <c r="G1169" s="29" t="n">
        <v>120</v>
      </c>
      <c r="H1169" s="27" t="inlineStr">
        <is>
          <t>Inclusive</t>
        </is>
      </c>
      <c r="I1169" s="29" t="n">
        <v>97</v>
      </c>
      <c r="J1169" s="27" t="inlineStr">
        <is>
          <t>Inclusive</t>
        </is>
      </c>
      <c r="K1169" s="29" t="n">
        <v>113</v>
      </c>
      <c r="L1169" s="29" t="n">
        <v>1</v>
      </c>
      <c r="M1169" s="33" t="n">
        <v>1</v>
      </c>
      <c r="N1169" s="27" t="inlineStr">
        <is>
          <t>No</t>
        </is>
      </c>
      <c r="O1169" s="29" t="n">
        <v>0</v>
      </c>
      <c r="P1169" s="30" t="n">
        <v>450</v>
      </c>
      <c r="Q1169" s="31" t="inlineStr">
        <is>
          <t>In Stock</t>
        </is>
      </c>
      <c r="R1169" s="27" t="n"/>
      <c r="S1169" s="27" t="n"/>
      <c r="T1169" s="27" t="n"/>
      <c r="U1169" s="27" t="n"/>
      <c r="V1169" s="27" t="n"/>
      <c r="W1169" s="27" t="n"/>
      <c r="X1169" s="27" t="n"/>
      <c r="Y1169" s="27" t="n"/>
      <c r="Z1169" s="27" t="n"/>
    </row>
    <row r="1170" ht="12.5" customHeight="1" s="85">
      <c r="A1170" s="27" t="inlineStr">
        <is>
          <t>TNR TENDER MANGO PICKLE 400GM</t>
        </is>
      </c>
      <c r="B1170" s="27" t="n"/>
      <c r="C1170" s="27" t="inlineStr">
        <is>
          <t>Pickles</t>
        </is>
      </c>
      <c r="D1170" s="28" t="inlineStr">
        <is>
          <t>8907093004934</t>
        </is>
      </c>
      <c r="E1170" s="27" t="n"/>
      <c r="F1170" s="29" t="n">
        <v>0</v>
      </c>
      <c r="G1170" s="29" t="n">
        <v>225</v>
      </c>
      <c r="H1170" s="27" t="inlineStr">
        <is>
          <t>Inclusive</t>
        </is>
      </c>
      <c r="I1170" s="29" t="n">
        <v>191</v>
      </c>
      <c r="J1170" s="27" t="inlineStr">
        <is>
          <t>Inclusive</t>
        </is>
      </c>
      <c r="K1170" s="29" t="n">
        <v>225</v>
      </c>
      <c r="L1170" s="29" t="n">
        <v>0</v>
      </c>
      <c r="M1170" s="33" t="n">
        <v>1</v>
      </c>
      <c r="N1170" s="27" t="inlineStr">
        <is>
          <t>Yes</t>
        </is>
      </c>
      <c r="O1170" s="29" t="n">
        <v>0</v>
      </c>
      <c r="P1170" s="30" t="n">
        <v>450</v>
      </c>
      <c r="Q1170" s="31" t="inlineStr">
        <is>
          <t>In Stock</t>
        </is>
      </c>
      <c r="R1170" s="27" t="n"/>
      <c r="S1170" s="27" t="n"/>
      <c r="T1170" s="27" t="n"/>
      <c r="U1170" s="27" t="n"/>
      <c r="V1170" s="27" t="n"/>
      <c r="W1170" s="27" t="n"/>
      <c r="X1170" s="27" t="n"/>
      <c r="Y1170" s="27" t="n"/>
      <c r="Z1170" s="27" t="n"/>
    </row>
    <row r="1171" ht="12.5" customHeight="1" s="85">
      <c r="A1171" s="27" t="inlineStr">
        <is>
          <t>TN SAMBAR RTE</t>
        </is>
      </c>
      <c r="B1171" s="27" t="n"/>
      <c r="C1171" s="27" t="inlineStr">
        <is>
          <t>Ready to Eat &amp; Mixes</t>
        </is>
      </c>
      <c r="D1171" s="28" t="inlineStr">
        <is>
          <t>8907093040437</t>
        </is>
      </c>
      <c r="E1171" s="27" t="n"/>
      <c r="F1171" s="29" t="n">
        <v>0</v>
      </c>
      <c r="G1171" s="29" t="n">
        <v>140</v>
      </c>
      <c r="H1171" s="27" t="inlineStr">
        <is>
          <t>Exclusive</t>
        </is>
      </c>
      <c r="I1171" s="29" t="n">
        <v>110</v>
      </c>
      <c r="J1171" s="27" t="inlineStr">
        <is>
          <t>Exclusive</t>
        </is>
      </c>
      <c r="K1171" s="29" t="n">
        <v>140</v>
      </c>
      <c r="L1171" s="29" t="n">
        <v>0</v>
      </c>
      <c r="M1171" s="33" t="n">
        <v>1</v>
      </c>
      <c r="N1171" s="27" t="inlineStr">
        <is>
          <t>Yes</t>
        </is>
      </c>
      <c r="O1171" s="29" t="n">
        <v>0</v>
      </c>
      <c r="P1171" s="30" t="n">
        <v>450</v>
      </c>
      <c r="Q1171" s="31" t="inlineStr">
        <is>
          <t>In Stock</t>
        </is>
      </c>
      <c r="R1171" s="27" t="n"/>
      <c r="S1171" s="27" t="n"/>
      <c r="T1171" s="27" t="n"/>
      <c r="U1171" s="27" t="n"/>
      <c r="V1171" s="27" t="n"/>
      <c r="W1171" s="27" t="n"/>
      <c r="X1171" s="27" t="n"/>
      <c r="Y1171" s="27" t="n"/>
      <c r="Z1171" s="27" t="n"/>
    </row>
    <row r="1172" ht="12.5" customHeight="1" s="85">
      <c r="A1172" s="27" t="inlineStr">
        <is>
          <t>TN SARDINE IN OIL</t>
        </is>
      </c>
      <c r="B1172" s="27" t="n"/>
      <c r="C1172" s="27" t="inlineStr">
        <is>
          <t>Fish &amp; Meat</t>
        </is>
      </c>
      <c r="D1172" s="28" t="inlineStr">
        <is>
          <t>8907093003722</t>
        </is>
      </c>
      <c r="E1172" s="27" t="n"/>
      <c r="F1172" s="29" t="n">
        <v>0</v>
      </c>
      <c r="G1172" s="29" t="n">
        <v>115</v>
      </c>
      <c r="H1172" s="27" t="inlineStr">
        <is>
          <t>Exclusive</t>
        </is>
      </c>
      <c r="I1172" s="29" t="n">
        <v>88</v>
      </c>
      <c r="J1172" s="27" t="inlineStr">
        <is>
          <t>Exclusive</t>
        </is>
      </c>
      <c r="K1172" s="29" t="n">
        <v>115</v>
      </c>
      <c r="L1172" s="29" t="n">
        <v>0</v>
      </c>
      <c r="M1172" s="33" t="n">
        <v>1</v>
      </c>
      <c r="N1172" s="27" t="inlineStr">
        <is>
          <t>Yes</t>
        </is>
      </c>
      <c r="O1172" s="29" t="n">
        <v>0</v>
      </c>
      <c r="P1172" s="30" t="n">
        <v>450</v>
      </c>
      <c r="Q1172" s="31" t="inlineStr">
        <is>
          <t>In Stock</t>
        </is>
      </c>
      <c r="R1172" s="27" t="n"/>
      <c r="S1172" s="27" t="n"/>
      <c r="T1172" s="27" t="n"/>
      <c r="U1172" s="27" t="n"/>
      <c r="V1172" s="27" t="n"/>
      <c r="W1172" s="27" t="n"/>
      <c r="X1172" s="27" t="n"/>
      <c r="Y1172" s="27" t="n"/>
      <c r="Z1172" s="27" t="n"/>
    </row>
    <row r="1173" ht="12.5" customHeight="1" s="85">
      <c r="A1173" s="27" t="inlineStr">
        <is>
          <t>TN SQUID (KANAVA) PICKELE 400 GM</t>
        </is>
      </c>
      <c r="B1173" s="27" t="n"/>
      <c r="C1173" s="27" t="inlineStr">
        <is>
          <t>Pickles</t>
        </is>
      </c>
      <c r="D1173" s="28" t="inlineStr">
        <is>
          <t>8907093003135</t>
        </is>
      </c>
      <c r="E1173" s="27" t="n"/>
      <c r="F1173" s="29" t="n">
        <v>0</v>
      </c>
      <c r="G1173" s="29" t="n">
        <v>295</v>
      </c>
      <c r="H1173" s="27" t="inlineStr">
        <is>
          <t>Inclusive</t>
        </is>
      </c>
      <c r="I1173" s="29" t="n">
        <v>250</v>
      </c>
      <c r="J1173" s="27" t="inlineStr">
        <is>
          <t>Inclusive</t>
        </is>
      </c>
      <c r="K1173" s="29" t="n">
        <v>295</v>
      </c>
      <c r="L1173" s="29" t="n">
        <v>0</v>
      </c>
      <c r="M1173" s="33" t="n">
        <v>1</v>
      </c>
      <c r="N1173" s="27" t="inlineStr">
        <is>
          <t>Yes</t>
        </is>
      </c>
      <c r="O1173" s="29" t="n">
        <v>0</v>
      </c>
      <c r="P1173" s="30" t="n">
        <v>450</v>
      </c>
      <c r="Q1173" s="31" t="inlineStr">
        <is>
          <t>In Stock</t>
        </is>
      </c>
      <c r="R1173" s="27" t="n"/>
      <c r="S1173" s="27" t="n"/>
      <c r="T1173" s="27" t="n"/>
      <c r="U1173" s="27" t="n"/>
      <c r="V1173" s="27" t="n"/>
      <c r="W1173" s="27" t="n"/>
      <c r="X1173" s="27" t="n"/>
      <c r="Y1173" s="27" t="n"/>
      <c r="Z1173" s="27" t="n"/>
    </row>
    <row r="1174" ht="12.5" customHeight="1" s="85">
      <c r="A1174" s="27" t="inlineStr">
        <is>
          <t>TN TAMARIND PULI 200GM</t>
        </is>
      </c>
      <c r="B1174" s="27" t="n"/>
      <c r="C1174" s="27" t="inlineStr">
        <is>
          <t>Masalas &amp; Spices</t>
        </is>
      </c>
      <c r="D1174" s="28" t="inlineStr">
        <is>
          <t>8907093004491</t>
        </is>
      </c>
      <c r="E1174" s="27" t="n"/>
      <c r="F1174" s="29" t="n">
        <v>0</v>
      </c>
      <c r="G1174" s="29" t="n">
        <v>80</v>
      </c>
      <c r="H1174" s="27" t="inlineStr">
        <is>
          <t>Exclusive</t>
        </is>
      </c>
      <c r="I1174" s="29" t="n">
        <v>58</v>
      </c>
      <c r="J1174" s="27" t="inlineStr">
        <is>
          <t>Exclusive</t>
        </is>
      </c>
      <c r="K1174" s="29" t="n">
        <v>75</v>
      </c>
      <c r="L1174" s="29" t="n">
        <v>0</v>
      </c>
      <c r="M1174" s="33" t="n">
        <v>1</v>
      </c>
      <c r="N1174" s="27" t="inlineStr">
        <is>
          <t>Yes</t>
        </is>
      </c>
      <c r="O1174" s="29" t="n">
        <v>0</v>
      </c>
      <c r="P1174" s="30" t="n">
        <v>450</v>
      </c>
      <c r="Q1174" s="31" t="inlineStr">
        <is>
          <t>In Stock</t>
        </is>
      </c>
      <c r="R1174" s="27" t="n"/>
      <c r="S1174" s="27" t="n"/>
      <c r="T1174" s="27" t="n"/>
      <c r="U1174" s="27" t="n"/>
      <c r="V1174" s="27" t="n"/>
      <c r="W1174" s="27" t="n"/>
      <c r="X1174" s="27" t="n"/>
      <c r="Y1174" s="27" t="n"/>
      <c r="Z1174" s="27" t="n"/>
    </row>
    <row r="1175" ht="12.5" customHeight="1" s="85">
      <c r="A1175" s="27" t="inlineStr">
        <is>
          <t>TN TAMARIND PULI 500GM</t>
        </is>
      </c>
      <c r="B1175" s="27" t="n"/>
      <c r="C1175" s="27" t="inlineStr">
        <is>
          <t>Masalas &amp; Spices</t>
        </is>
      </c>
      <c r="D1175" s="28" t="inlineStr">
        <is>
          <t>8907093004507</t>
        </is>
      </c>
      <c r="E1175" s="27" t="n"/>
      <c r="F1175" s="29" t="n">
        <v>0</v>
      </c>
      <c r="G1175" s="29" t="n">
        <v>160</v>
      </c>
      <c r="H1175" s="27" t="inlineStr">
        <is>
          <t>Exclusive</t>
        </is>
      </c>
      <c r="I1175" s="29" t="n">
        <v>135</v>
      </c>
      <c r="J1175" s="27" t="inlineStr">
        <is>
          <t>Exclusive</t>
        </is>
      </c>
      <c r="K1175" s="29" t="n">
        <v>180</v>
      </c>
      <c r="L1175" s="29" t="n">
        <v>0</v>
      </c>
      <c r="M1175" s="33" t="n">
        <v>1</v>
      </c>
      <c r="N1175" s="27" t="inlineStr">
        <is>
          <t>Yes</t>
        </is>
      </c>
      <c r="O1175" s="29" t="n">
        <v>0</v>
      </c>
      <c r="P1175" s="30" t="n">
        <v>450</v>
      </c>
      <c r="Q1175" s="31" t="inlineStr">
        <is>
          <t>In Stock</t>
        </is>
      </c>
      <c r="R1175" s="27" t="n"/>
      <c r="S1175" s="27" t="n"/>
      <c r="T1175" s="27" t="n"/>
      <c r="U1175" s="27" t="n"/>
      <c r="V1175" s="27" t="n"/>
      <c r="W1175" s="27" t="n"/>
      <c r="X1175" s="27" t="n"/>
      <c r="Y1175" s="27" t="n"/>
      <c r="Z1175" s="27" t="n"/>
    </row>
    <row r="1176" ht="12.5" customHeight="1" s="85">
      <c r="A1176" s="27" t="inlineStr">
        <is>
          <t>TN ULLI THEEYAL 200GM</t>
        </is>
      </c>
      <c r="B1176" s="27" t="n"/>
      <c r="C1176" s="27" t="inlineStr">
        <is>
          <t>Ready to Eat &amp; Mixes</t>
        </is>
      </c>
      <c r="D1176" s="32" t="inlineStr">
        <is>
          <t>100445</t>
        </is>
      </c>
      <c r="E1176" s="27" t="n"/>
      <c r="F1176" s="29" t="n">
        <v>0</v>
      </c>
      <c r="G1176" s="29" t="n">
        <v>150</v>
      </c>
      <c r="H1176" s="27" t="inlineStr">
        <is>
          <t>Inclusive</t>
        </is>
      </c>
      <c r="I1176" s="29" t="n">
        <v>128</v>
      </c>
      <c r="J1176" s="27" t="inlineStr">
        <is>
          <t>Inclusive</t>
        </is>
      </c>
      <c r="K1176" s="29" t="n">
        <v>150</v>
      </c>
      <c r="L1176" s="29" t="n">
        <v>0</v>
      </c>
      <c r="M1176" s="33" t="n">
        <v>1</v>
      </c>
      <c r="N1176" s="27" t="inlineStr">
        <is>
          <t>Yes</t>
        </is>
      </c>
      <c r="O1176" s="29" t="n">
        <v>0</v>
      </c>
      <c r="P1176" s="30" t="n">
        <v>450</v>
      </c>
      <c r="Q1176" s="31" t="inlineStr">
        <is>
          <t>In Stock</t>
        </is>
      </c>
      <c r="R1176" s="27" t="n"/>
      <c r="S1176" s="27" t="n"/>
      <c r="T1176" s="27" t="n"/>
      <c r="U1176" s="27" t="n"/>
      <c r="V1176" s="27" t="n"/>
      <c r="W1176" s="27" t="n"/>
      <c r="X1176" s="27" t="n"/>
      <c r="Y1176" s="27" t="n"/>
      <c r="Z1176" s="27" t="n"/>
    </row>
    <row r="1177" ht="12.5" customHeight="1" s="85">
      <c r="A1177" s="27" t="inlineStr">
        <is>
          <t>TN VINAGER</t>
        </is>
      </c>
      <c r="B1177" s="27" t="n"/>
      <c r="C1177" s="27" t="inlineStr">
        <is>
          <t>Ready to Eat &amp; Mixes</t>
        </is>
      </c>
      <c r="D1177" s="28" t="inlineStr">
        <is>
          <t>8907093004569</t>
        </is>
      </c>
      <c r="E1177" s="27" t="n"/>
      <c r="F1177" s="29" t="n">
        <v>0</v>
      </c>
      <c r="G1177" s="29" t="n">
        <v>45</v>
      </c>
      <c r="H1177" s="27" t="inlineStr">
        <is>
          <t>Inclusive</t>
        </is>
      </c>
      <c r="I1177" s="29" t="n">
        <v>44</v>
      </c>
      <c r="J1177" s="27" t="inlineStr">
        <is>
          <t>Inclusive</t>
        </is>
      </c>
      <c r="K1177" s="29" t="n">
        <v>45</v>
      </c>
      <c r="L1177" s="29" t="n">
        <v>0</v>
      </c>
      <c r="M1177" s="33" t="n">
        <v>1</v>
      </c>
      <c r="N1177" s="27" t="inlineStr">
        <is>
          <t>Yes</t>
        </is>
      </c>
      <c r="O1177" s="29" t="n">
        <v>0</v>
      </c>
      <c r="P1177" s="30" t="n">
        <v>450</v>
      </c>
      <c r="Q1177" s="31" t="inlineStr">
        <is>
          <t>In Stock</t>
        </is>
      </c>
      <c r="R1177" s="27" t="n"/>
      <c r="S1177" s="27" t="n"/>
      <c r="T1177" s="27" t="n"/>
      <c r="U1177" s="27" t="n"/>
      <c r="V1177" s="27" t="n"/>
      <c r="W1177" s="27" t="n"/>
      <c r="X1177" s="27" t="n"/>
      <c r="Y1177" s="27" t="n"/>
      <c r="Z1177" s="27" t="n"/>
    </row>
    <row r="1178" ht="12.5" customHeight="1" s="85">
      <c r="A1178" s="27" t="inlineStr">
        <is>
          <t>TN VINAGER 1LTR</t>
        </is>
      </c>
      <c r="B1178" s="27" t="n"/>
      <c r="C1178" s="27" t="inlineStr">
        <is>
          <t>Ready to Eat &amp; Mixes</t>
        </is>
      </c>
      <c r="D1178" s="28" t="inlineStr">
        <is>
          <t>8907093004576</t>
        </is>
      </c>
      <c r="E1178" s="27" t="n"/>
      <c r="F1178" s="29" t="n">
        <v>0</v>
      </c>
      <c r="G1178" s="29" t="n">
        <v>70</v>
      </c>
      <c r="H1178" s="27" t="inlineStr">
        <is>
          <t>Exclusive</t>
        </is>
      </c>
      <c r="I1178" s="29" t="n">
        <v>65</v>
      </c>
      <c r="J1178" s="27" t="inlineStr">
        <is>
          <t>Exclusive</t>
        </is>
      </c>
      <c r="K1178" s="29" t="n">
        <v>70</v>
      </c>
      <c r="L1178" s="29" t="n">
        <v>0</v>
      </c>
      <c r="M1178" s="27" t="n"/>
      <c r="N1178" s="27" t="inlineStr">
        <is>
          <t>Yes</t>
        </is>
      </c>
      <c r="O1178" s="29" t="n">
        <v>0</v>
      </c>
      <c r="P1178" s="30" t="n">
        <v>450</v>
      </c>
      <c r="Q1178" s="31" t="inlineStr">
        <is>
          <t>In Stock</t>
        </is>
      </c>
      <c r="R1178" s="27" t="n"/>
      <c r="S1178" s="27" t="n"/>
      <c r="T1178" s="27" t="n"/>
      <c r="U1178" s="27" t="n"/>
      <c r="V1178" s="27" t="n"/>
      <c r="W1178" s="27" t="n"/>
      <c r="X1178" s="27" t="n"/>
      <c r="Y1178" s="27" t="n"/>
      <c r="Z1178" s="27" t="n"/>
    </row>
    <row r="1179" ht="12.5" customHeight="1" s="85">
      <c r="A1179" s="27" t="inlineStr">
        <is>
          <t>TN WHITE PUTTU PODI 1KG</t>
        </is>
      </c>
      <c r="B1179" s="27" t="n"/>
      <c r="C1179" s="27" t="inlineStr">
        <is>
          <t>Grains &amp; Flours</t>
        </is>
      </c>
      <c r="D1179" s="28" t="inlineStr">
        <is>
          <t>8907093006150</t>
        </is>
      </c>
      <c r="E1179" s="27" t="n"/>
      <c r="F1179" s="29" t="n">
        <v>0</v>
      </c>
      <c r="G1179" s="29" t="n">
        <v>135</v>
      </c>
      <c r="H1179" s="27" t="inlineStr">
        <is>
          <t>Exclusive</t>
        </is>
      </c>
      <c r="I1179" s="29" t="n">
        <v>99</v>
      </c>
      <c r="J1179" s="27" t="inlineStr">
        <is>
          <t>Exclusive</t>
        </is>
      </c>
      <c r="K1179" s="29" t="n">
        <v>0</v>
      </c>
      <c r="L1179" s="29" t="n">
        <v>0</v>
      </c>
      <c r="M1179" s="27" t="n"/>
      <c r="N1179" s="27" t="inlineStr">
        <is>
          <t>Yes</t>
        </is>
      </c>
      <c r="O1179" s="29" t="n">
        <v>0</v>
      </c>
      <c r="P1179" s="30" t="n">
        <v>450</v>
      </c>
      <c r="Q1179" s="31" t="inlineStr">
        <is>
          <t>In Stock</t>
        </is>
      </c>
      <c r="R1179" s="27" t="n"/>
      <c r="S1179" s="27" t="n"/>
      <c r="T1179" s="27" t="n"/>
      <c r="U1179" s="27" t="n"/>
      <c r="V1179" s="27" t="n"/>
      <c r="W1179" s="27" t="n"/>
      <c r="X1179" s="27" t="n"/>
      <c r="Y1179" s="27" t="n"/>
      <c r="Z1179" s="27" t="n"/>
    </row>
    <row r="1180" ht="12.5" customHeight="1" s="85">
      <c r="A1180" s="27" t="inlineStr">
        <is>
          <t>TORCH LIGHT 1010</t>
        </is>
      </c>
      <c r="B1180" s="27" t="n"/>
      <c r="C1180" s="27" t="inlineStr">
        <is>
          <t>Electronics</t>
        </is>
      </c>
      <c r="D1180" s="32" t="inlineStr">
        <is>
          <t>100446</t>
        </is>
      </c>
      <c r="E1180" s="27" t="n"/>
      <c r="F1180" s="29" t="n">
        <v>0</v>
      </c>
      <c r="G1180" s="29" t="n">
        <v>35</v>
      </c>
      <c r="H1180" s="27" t="inlineStr">
        <is>
          <t>Inclusive</t>
        </is>
      </c>
      <c r="I1180" s="29" t="n">
        <v>15</v>
      </c>
      <c r="J1180" s="27" t="inlineStr">
        <is>
          <t>Inclusive</t>
        </is>
      </c>
      <c r="K1180" s="29" t="n">
        <v>55</v>
      </c>
      <c r="L1180" s="29" t="n">
        <v>23</v>
      </c>
      <c r="M1180" s="33" t="n">
        <v>1</v>
      </c>
      <c r="N1180" s="27" t="inlineStr">
        <is>
          <t>No</t>
        </is>
      </c>
      <c r="O1180" s="29" t="n">
        <v>0</v>
      </c>
      <c r="P1180" s="30" t="n">
        <v>450</v>
      </c>
      <c r="Q1180" s="31" t="inlineStr">
        <is>
          <t>In Stock</t>
        </is>
      </c>
      <c r="R1180" s="27" t="n"/>
      <c r="S1180" s="27" t="n"/>
      <c r="T1180" s="27" t="n"/>
      <c r="U1180" s="27" t="n"/>
      <c r="V1180" s="27" t="n"/>
      <c r="W1180" s="27" t="n"/>
      <c r="X1180" s="27" t="n"/>
      <c r="Y1180" s="27" t="n"/>
      <c r="Z1180" s="27" t="n"/>
    </row>
    <row r="1181" ht="12.5" customHeight="1" s="85">
      <c r="A1181" s="27" t="inlineStr">
        <is>
          <t>TORCH LIGHT 570</t>
        </is>
      </c>
      <c r="B1181" s="27" t="n"/>
      <c r="C1181" s="27" t="inlineStr">
        <is>
          <t>Electronics</t>
        </is>
      </c>
      <c r="D1181" s="32" t="inlineStr">
        <is>
          <t>100447</t>
        </is>
      </c>
      <c r="E1181" s="27" t="n"/>
      <c r="F1181" s="29" t="n">
        <v>0</v>
      </c>
      <c r="G1181" s="29" t="n">
        <v>25</v>
      </c>
      <c r="H1181" s="27" t="inlineStr">
        <is>
          <t>Inclusive</t>
        </is>
      </c>
      <c r="I1181" s="29" t="n">
        <v>9</v>
      </c>
      <c r="J1181" s="27" t="inlineStr">
        <is>
          <t>Inclusive</t>
        </is>
      </c>
      <c r="K1181" s="29" t="n">
        <v>30</v>
      </c>
      <c r="L1181" s="29" t="n">
        <v>18</v>
      </c>
      <c r="M1181" s="33" t="n">
        <v>1</v>
      </c>
      <c r="N1181" s="27" t="inlineStr">
        <is>
          <t>No</t>
        </is>
      </c>
      <c r="O1181" s="29" t="n">
        <v>0</v>
      </c>
      <c r="P1181" s="30" t="n">
        <v>450</v>
      </c>
      <c r="Q1181" s="31" t="inlineStr">
        <is>
          <t>In Stock</t>
        </is>
      </c>
      <c r="R1181" s="27" t="n"/>
      <c r="S1181" s="27" t="n"/>
      <c r="T1181" s="27" t="n"/>
      <c r="U1181" s="27" t="n"/>
      <c r="V1181" s="27" t="n"/>
      <c r="W1181" s="27" t="n"/>
      <c r="X1181" s="27" t="n"/>
      <c r="Y1181" s="27" t="n"/>
      <c r="Z1181" s="27" t="n"/>
    </row>
    <row r="1182" ht="12.5" customHeight="1" s="85">
      <c r="A1182" s="27" t="inlineStr">
        <is>
          <t>TOWER FAN</t>
        </is>
      </c>
      <c r="B1182" s="27" t="n"/>
      <c r="C1182" s="27" t="inlineStr">
        <is>
          <t>Fixed Assets</t>
        </is>
      </c>
      <c r="D1182" s="32" t="inlineStr">
        <is>
          <t>100448</t>
        </is>
      </c>
      <c r="E1182" s="27" t="n"/>
      <c r="F1182" s="29" t="n">
        <v>0</v>
      </c>
      <c r="G1182" s="29" t="n">
        <v>3500</v>
      </c>
      <c r="H1182" s="27" t="inlineStr">
        <is>
          <t>Exclusive</t>
        </is>
      </c>
      <c r="I1182" s="29" t="n">
        <v>3100</v>
      </c>
      <c r="J1182" s="27" t="inlineStr">
        <is>
          <t>Exclusive</t>
        </is>
      </c>
      <c r="K1182" s="29" t="n">
        <v>3100</v>
      </c>
      <c r="L1182" s="29" t="n">
        <v>1</v>
      </c>
      <c r="M1182" s="33" t="n">
        <v>1</v>
      </c>
      <c r="N1182" s="27" t="inlineStr">
        <is>
          <t>No</t>
        </is>
      </c>
      <c r="O1182" s="29" t="n">
        <v>0</v>
      </c>
      <c r="P1182" s="30" t="n">
        <v>450</v>
      </c>
      <c r="Q1182" s="31" t="inlineStr">
        <is>
          <t>In Stock</t>
        </is>
      </c>
      <c r="R1182" s="27" t="n"/>
      <c r="S1182" s="27" t="n"/>
      <c r="T1182" s="27" t="n"/>
      <c r="U1182" s="27" t="n"/>
      <c r="V1182" s="27" t="n"/>
      <c r="W1182" s="27" t="n"/>
      <c r="X1182" s="27" t="n"/>
      <c r="Y1182" s="27" t="n"/>
      <c r="Z1182" s="27" t="n"/>
    </row>
    <row r="1183" ht="12.5" customHeight="1" s="85">
      <c r="A1183" s="27" t="inlineStr">
        <is>
          <t>TRANSPARENT COVER</t>
        </is>
      </c>
      <c r="B1183" s="27" t="n"/>
      <c r="C1183" s="27" t="inlineStr">
        <is>
          <t>Stationery</t>
        </is>
      </c>
      <c r="D1183" s="32" t="inlineStr">
        <is>
          <t>100449</t>
        </is>
      </c>
      <c r="E1183" s="27" t="n"/>
      <c r="F1183" s="29" t="n">
        <v>0</v>
      </c>
      <c r="G1183" s="29" t="n">
        <v>20</v>
      </c>
      <c r="H1183" s="27" t="inlineStr">
        <is>
          <t>Exclusive</t>
        </is>
      </c>
      <c r="I1183" s="29" t="n">
        <v>15</v>
      </c>
      <c r="J1183" s="27" t="inlineStr">
        <is>
          <t>Exclusive</t>
        </is>
      </c>
      <c r="K1183" s="29" t="n">
        <v>20</v>
      </c>
      <c r="L1183" s="29" t="n">
        <v>9</v>
      </c>
      <c r="M1183" s="33" t="n">
        <v>1</v>
      </c>
      <c r="N1183" s="27" t="inlineStr">
        <is>
          <t>No</t>
        </is>
      </c>
      <c r="O1183" s="29" t="n">
        <v>0</v>
      </c>
      <c r="P1183" s="30" t="n">
        <v>450</v>
      </c>
      <c r="Q1183" s="31" t="inlineStr">
        <is>
          <t>In Stock</t>
        </is>
      </c>
      <c r="R1183" s="27" t="n"/>
      <c r="S1183" s="27" t="n"/>
      <c r="T1183" s="27" t="n"/>
      <c r="U1183" s="27" t="n"/>
      <c r="V1183" s="27" t="n"/>
      <c r="W1183" s="27" t="n"/>
      <c r="X1183" s="27" t="n"/>
      <c r="Y1183" s="27" t="n"/>
      <c r="Z1183" s="27" t="n"/>
    </row>
    <row r="1184" ht="12.5" customHeight="1" s="85">
      <c r="A1184" s="27" t="inlineStr">
        <is>
          <t>TRANSPARENT FOLDER BAG</t>
        </is>
      </c>
      <c r="B1184" s="27" t="n"/>
      <c r="C1184" s="27" t="inlineStr">
        <is>
          <t>Stationery</t>
        </is>
      </c>
      <c r="D1184" s="32" t="inlineStr">
        <is>
          <t>100450</t>
        </is>
      </c>
      <c r="E1184" s="27" t="n"/>
      <c r="F1184" s="29" t="n">
        <v>0</v>
      </c>
      <c r="G1184" s="29" t="n">
        <v>10</v>
      </c>
      <c r="H1184" s="27" t="inlineStr">
        <is>
          <t>Exclusive</t>
        </is>
      </c>
      <c r="I1184" s="29" t="n">
        <v>4</v>
      </c>
      <c r="J1184" s="27" t="inlineStr">
        <is>
          <t>Exclusive</t>
        </is>
      </c>
      <c r="K1184" s="29" t="n">
        <v>12</v>
      </c>
      <c r="L1184" s="29" t="n">
        <v>60</v>
      </c>
      <c r="M1184" s="33" t="n">
        <v>1</v>
      </c>
      <c r="N1184" s="27" t="inlineStr">
        <is>
          <t>No</t>
        </is>
      </c>
      <c r="O1184" s="29" t="n">
        <v>0</v>
      </c>
      <c r="P1184" s="30" t="n">
        <v>450</v>
      </c>
      <c r="Q1184" s="31" t="inlineStr">
        <is>
          <t>In Stock</t>
        </is>
      </c>
      <c r="R1184" s="27" t="n"/>
      <c r="S1184" s="27" t="n"/>
      <c r="T1184" s="27" t="n"/>
      <c r="U1184" s="27" t="n"/>
      <c r="V1184" s="27" t="n"/>
      <c r="W1184" s="27" t="n"/>
      <c r="X1184" s="27" t="n"/>
      <c r="Y1184" s="27" t="n"/>
      <c r="Z1184" s="27" t="n"/>
    </row>
    <row r="1185" ht="12.5" customHeight="1" s="85">
      <c r="A1185" s="27" t="inlineStr">
        <is>
          <t>TYPE C CONNECTOR</t>
        </is>
      </c>
      <c r="B1185" s="27" t="n"/>
      <c r="C1185" s="27" t="inlineStr">
        <is>
          <t>Electronics</t>
        </is>
      </c>
      <c r="D1185" s="28" t="inlineStr">
        <is>
          <t>352568763088</t>
        </is>
      </c>
      <c r="E1185" s="27" t="n"/>
      <c r="F1185" s="29" t="n">
        <v>0</v>
      </c>
      <c r="G1185" s="29" t="n">
        <v>30</v>
      </c>
      <c r="H1185" s="27" t="inlineStr">
        <is>
          <t>Exclusive</t>
        </is>
      </c>
      <c r="I1185" s="29" t="n">
        <v>15</v>
      </c>
      <c r="J1185" s="27" t="inlineStr">
        <is>
          <t>Exclusive</t>
        </is>
      </c>
      <c r="K1185" s="29" t="n">
        <v>60</v>
      </c>
      <c r="L1185" s="29" t="n">
        <v>20</v>
      </c>
      <c r="M1185" s="27" t="n"/>
      <c r="N1185" s="27" t="inlineStr">
        <is>
          <t>Yes</t>
        </is>
      </c>
      <c r="O1185" s="29" t="n">
        <v>0</v>
      </c>
      <c r="P1185" s="30" t="n">
        <v>450</v>
      </c>
      <c r="Q1185" s="31" t="inlineStr">
        <is>
          <t>In Stock</t>
        </is>
      </c>
      <c r="R1185" s="27" t="n"/>
      <c r="S1185" s="27" t="n"/>
      <c r="T1185" s="27" t="n"/>
      <c r="U1185" s="27" t="n"/>
      <c r="V1185" s="27" t="n"/>
      <c r="W1185" s="27" t="n"/>
      <c r="X1185" s="27" t="n"/>
      <c r="Y1185" s="27" t="n"/>
      <c r="Z1185" s="27" t="n"/>
    </row>
    <row r="1186" ht="12.5" customHeight="1" s="85">
      <c r="A1186" s="27" t="inlineStr">
        <is>
          <t>UDAYAM COFFEE 100GM</t>
        </is>
      </c>
      <c r="B1186" s="27" t="n"/>
      <c r="C1186" s="27" t="inlineStr">
        <is>
          <t>Beverages</t>
        </is>
      </c>
      <c r="D1186" s="28" t="inlineStr">
        <is>
          <t>8906005666079</t>
        </is>
      </c>
      <c r="E1186" s="27" t="n"/>
      <c r="F1186" s="29" t="n">
        <v>0</v>
      </c>
      <c r="G1186" s="29" t="n">
        <v>72</v>
      </c>
      <c r="H1186" s="27" t="inlineStr">
        <is>
          <t>Inclusive</t>
        </is>
      </c>
      <c r="I1186" s="29" t="n">
        <v>68</v>
      </c>
      <c r="J1186" s="27" t="inlineStr">
        <is>
          <t>Inclusive</t>
        </is>
      </c>
      <c r="K1186" s="29" t="n">
        <v>72</v>
      </c>
      <c r="L1186" s="29" t="n">
        <v>1</v>
      </c>
      <c r="M1186" s="33" t="n">
        <v>1</v>
      </c>
      <c r="N1186" s="27" t="inlineStr">
        <is>
          <t>Yes</t>
        </is>
      </c>
      <c r="O1186" s="29" t="n">
        <v>0</v>
      </c>
      <c r="P1186" s="30" t="n">
        <v>450</v>
      </c>
      <c r="Q1186" s="31" t="inlineStr">
        <is>
          <t>In Stock</t>
        </is>
      </c>
      <c r="R1186" s="27" t="n"/>
      <c r="S1186" s="27" t="n"/>
      <c r="T1186" s="27" t="n"/>
      <c r="U1186" s="27" t="n"/>
      <c r="V1186" s="27" t="n"/>
      <c r="W1186" s="27" t="n"/>
      <c r="X1186" s="27" t="n"/>
      <c r="Y1186" s="27" t="n"/>
      <c r="Z1186" s="27" t="n"/>
    </row>
    <row r="1187" ht="12.5" customHeight="1" s="85">
      <c r="A1187" s="27" t="inlineStr">
        <is>
          <t>ULLI THEEYAL</t>
        </is>
      </c>
      <c r="B1187" s="27" t="n"/>
      <c r="C1187" s="27" t="inlineStr">
        <is>
          <t>Ready to Eat &amp; Mixes</t>
        </is>
      </c>
      <c r="D1187" s="28" t="inlineStr">
        <is>
          <t>8907093010010</t>
        </is>
      </c>
      <c r="E1187" s="27" t="n"/>
      <c r="F1187" s="29" t="n">
        <v>0</v>
      </c>
      <c r="G1187" s="29" t="n">
        <v>150</v>
      </c>
      <c r="H1187" s="27" t="inlineStr">
        <is>
          <t>Exclusive</t>
        </is>
      </c>
      <c r="I1187" s="29" t="n">
        <v>120</v>
      </c>
      <c r="J1187" s="27" t="inlineStr">
        <is>
          <t>Exclusive</t>
        </is>
      </c>
      <c r="K1187" s="29" t="n">
        <v>150</v>
      </c>
      <c r="L1187" s="29" t="n">
        <v>0</v>
      </c>
      <c r="M1187" s="27" t="n"/>
      <c r="N1187" s="27" t="inlineStr">
        <is>
          <t>Yes</t>
        </is>
      </c>
      <c r="O1187" s="29" t="n">
        <v>0</v>
      </c>
      <c r="P1187" s="30" t="n">
        <v>450</v>
      </c>
      <c r="Q1187" s="31" t="inlineStr">
        <is>
          <t>In Stock</t>
        </is>
      </c>
      <c r="R1187" s="27" t="n"/>
      <c r="S1187" s="27" t="n"/>
      <c r="T1187" s="27" t="n"/>
      <c r="U1187" s="27" t="n"/>
      <c r="V1187" s="27" t="n"/>
      <c r="W1187" s="27" t="n"/>
      <c r="X1187" s="27" t="n"/>
      <c r="Y1187" s="27" t="n"/>
      <c r="Z1187" s="27" t="n"/>
    </row>
    <row r="1188" ht="12.5" customHeight="1" s="85">
      <c r="A1188" s="27" t="inlineStr">
        <is>
          <t>UMBRELLA BLACK</t>
        </is>
      </c>
      <c r="B1188" s="27" t="n"/>
      <c r="C1188" s="27" t="inlineStr">
        <is>
          <t>Household &amp; Cleaning</t>
        </is>
      </c>
      <c r="D1188" s="28" t="inlineStr">
        <is>
          <t>750776875517</t>
        </is>
      </c>
      <c r="E1188" s="27" t="n"/>
      <c r="F1188" s="29" t="n">
        <v>0</v>
      </c>
      <c r="G1188" s="29" t="n">
        <v>490</v>
      </c>
      <c r="H1188" s="27" t="inlineStr">
        <is>
          <t>Inclusive</t>
        </is>
      </c>
      <c r="I1188" s="29" t="n">
        <v>440</v>
      </c>
      <c r="J1188" s="27" t="inlineStr">
        <is>
          <t>Inclusive</t>
        </is>
      </c>
      <c r="K1188" s="29" t="n">
        <v>530</v>
      </c>
      <c r="L1188" s="29" t="n">
        <v>2</v>
      </c>
      <c r="M1188" s="33" t="n">
        <v>1</v>
      </c>
      <c r="N1188" s="27" t="inlineStr">
        <is>
          <t>No</t>
        </is>
      </c>
      <c r="O1188" s="29" t="n">
        <v>0</v>
      </c>
      <c r="P1188" s="30" t="n">
        <v>450</v>
      </c>
      <c r="Q1188" s="31" t="inlineStr">
        <is>
          <t>In Stock</t>
        </is>
      </c>
      <c r="R1188" s="27" t="n"/>
      <c r="S1188" s="27" t="n"/>
      <c r="T1188" s="27" t="n"/>
      <c r="U1188" s="27" t="n"/>
      <c r="V1188" s="27" t="n"/>
      <c r="W1188" s="27" t="n"/>
      <c r="X1188" s="27" t="n"/>
      <c r="Y1188" s="27" t="n"/>
      <c r="Z1188" s="27" t="n"/>
    </row>
    <row r="1189" ht="12.5" customHeight="1" s="85">
      <c r="A1189" s="27" t="inlineStr">
        <is>
          <t>UMBRELLA MULTI COLOR</t>
        </is>
      </c>
      <c r="B1189" s="27" t="n"/>
      <c r="C1189" s="27" t="inlineStr">
        <is>
          <t>Household &amp; Cleaning</t>
        </is>
      </c>
      <c r="D1189" s="28" t="inlineStr">
        <is>
          <t>545949987495</t>
        </is>
      </c>
      <c r="E1189" s="27" t="n"/>
      <c r="F1189" s="29" t="n">
        <v>0</v>
      </c>
      <c r="G1189" s="29" t="n">
        <v>490</v>
      </c>
      <c r="H1189" s="27" t="inlineStr">
        <is>
          <t>Inclusive</t>
        </is>
      </c>
      <c r="I1189" s="29" t="n">
        <v>440</v>
      </c>
      <c r="J1189" s="27" t="inlineStr">
        <is>
          <t>Inclusive</t>
        </is>
      </c>
      <c r="K1189" s="29" t="n">
        <v>490</v>
      </c>
      <c r="L1189" s="29" t="n">
        <v>2</v>
      </c>
      <c r="M1189" s="33" t="n">
        <v>1</v>
      </c>
      <c r="N1189" s="27" t="inlineStr">
        <is>
          <t>No</t>
        </is>
      </c>
      <c r="O1189" s="29" t="n">
        <v>0</v>
      </c>
      <c r="P1189" s="30" t="n">
        <v>450</v>
      </c>
      <c r="Q1189" s="31" t="inlineStr">
        <is>
          <t>In Stock</t>
        </is>
      </c>
      <c r="R1189" s="27" t="n"/>
      <c r="S1189" s="27" t="n"/>
      <c r="T1189" s="27" t="n"/>
      <c r="U1189" s="27" t="n"/>
      <c r="V1189" s="27" t="n"/>
      <c r="W1189" s="27" t="n"/>
      <c r="X1189" s="27" t="n"/>
      <c r="Y1189" s="27" t="n"/>
      <c r="Z1189" s="27" t="n"/>
    </row>
    <row r="1190" ht="12.5" customHeight="1" s="85">
      <c r="A1190" s="27" t="inlineStr">
        <is>
          <t>UNITASTE CHEMBA PUTTU PODI 1KG</t>
        </is>
      </c>
      <c r="B1190" s="27" t="n"/>
      <c r="C1190" s="27" t="inlineStr">
        <is>
          <t>Grains &amp; Flours</t>
        </is>
      </c>
      <c r="D1190" s="28" t="inlineStr">
        <is>
          <t>8903666000068</t>
        </is>
      </c>
      <c r="E1190" s="27" t="n"/>
      <c r="F1190" s="29" t="n">
        <v>0</v>
      </c>
      <c r="G1190" s="29" t="n">
        <v>132</v>
      </c>
      <c r="H1190" s="27" t="inlineStr">
        <is>
          <t>Exclusive</t>
        </is>
      </c>
      <c r="I1190" s="29" t="n">
        <v>115</v>
      </c>
      <c r="J1190" s="27" t="inlineStr">
        <is>
          <t>Exclusive</t>
        </is>
      </c>
      <c r="K1190" s="29" t="n">
        <v>0</v>
      </c>
      <c r="L1190" s="29" t="n">
        <v>3</v>
      </c>
      <c r="M1190" s="33" t="n">
        <v>1</v>
      </c>
      <c r="N1190" s="27" t="inlineStr">
        <is>
          <t>Yes</t>
        </is>
      </c>
      <c r="O1190" s="29" t="n">
        <v>0</v>
      </c>
      <c r="P1190" s="30" t="n">
        <v>450</v>
      </c>
      <c r="Q1190" s="31" t="inlineStr">
        <is>
          <t>In Stock</t>
        </is>
      </c>
      <c r="R1190" s="27" t="n"/>
      <c r="S1190" s="27" t="n"/>
      <c r="T1190" s="27" t="n"/>
      <c r="U1190" s="27" t="n"/>
      <c r="V1190" s="27" t="n"/>
      <c r="W1190" s="27" t="n"/>
      <c r="X1190" s="27" t="n"/>
      <c r="Y1190" s="27" t="n"/>
      <c r="Z1190" s="27" t="n"/>
    </row>
    <row r="1191" ht="12.5" customHeight="1" s="85">
      <c r="A1191" s="27" t="inlineStr">
        <is>
          <t>UNITASTE CHEMBA PUTTU PODI 500GM</t>
        </is>
      </c>
      <c r="B1191" s="27" t="n"/>
      <c r="C1191" s="27" t="inlineStr">
        <is>
          <t>Grains &amp; Flours</t>
        </is>
      </c>
      <c r="D1191" s="28" t="inlineStr">
        <is>
          <t>8903666000051</t>
        </is>
      </c>
      <c r="E1191" s="27" t="n"/>
      <c r="F1191" s="29" t="n">
        <v>0</v>
      </c>
      <c r="G1191" s="29" t="n">
        <v>70</v>
      </c>
      <c r="H1191" s="27" t="inlineStr">
        <is>
          <t>Exclusive</t>
        </is>
      </c>
      <c r="I1191" s="29" t="n">
        <v>60</v>
      </c>
      <c r="J1191" s="27" t="inlineStr">
        <is>
          <t>Exclusive</t>
        </is>
      </c>
      <c r="K1191" s="29" t="n">
        <v>0</v>
      </c>
      <c r="L1191" s="29" t="n">
        <v>0</v>
      </c>
      <c r="M1191" s="33" t="n">
        <v>1</v>
      </c>
      <c r="N1191" s="27" t="inlineStr">
        <is>
          <t>Yes</t>
        </is>
      </c>
      <c r="O1191" s="29" t="n">
        <v>0</v>
      </c>
      <c r="P1191" s="30" t="n">
        <v>450</v>
      </c>
      <c r="Q1191" s="31" t="inlineStr">
        <is>
          <t>In Stock</t>
        </is>
      </c>
      <c r="R1191" s="27" t="n"/>
      <c r="S1191" s="27" t="n"/>
      <c r="T1191" s="27" t="n"/>
      <c r="U1191" s="27" t="n"/>
      <c r="V1191" s="27" t="n"/>
      <c r="W1191" s="27" t="n"/>
      <c r="X1191" s="27" t="n"/>
      <c r="Y1191" s="27" t="n"/>
      <c r="Z1191" s="27" t="n"/>
    </row>
    <row r="1192" ht="12.5" customHeight="1" s="85">
      <c r="A1192" s="27" t="inlineStr">
        <is>
          <t>UNITASTE PALAPPAM PODI 500GM</t>
        </is>
      </c>
      <c r="B1192" s="27" t="n"/>
      <c r="C1192" s="27" t="inlineStr">
        <is>
          <t>Grains &amp; Flours</t>
        </is>
      </c>
      <c r="D1192" s="28" t="inlineStr">
        <is>
          <t>8903666000297</t>
        </is>
      </c>
      <c r="E1192" s="27" t="n"/>
      <c r="F1192" s="29" t="n">
        <v>0</v>
      </c>
      <c r="G1192" s="29" t="n">
        <v>69</v>
      </c>
      <c r="H1192" s="27" t="inlineStr">
        <is>
          <t>Exclusive</t>
        </is>
      </c>
      <c r="I1192" s="29" t="n">
        <v>58</v>
      </c>
      <c r="J1192" s="27" t="inlineStr">
        <is>
          <t>Exclusive</t>
        </is>
      </c>
      <c r="K1192" s="29" t="n">
        <v>69</v>
      </c>
      <c r="L1192" s="29" t="n">
        <v>1</v>
      </c>
      <c r="M1192" s="33" t="n">
        <v>1</v>
      </c>
      <c r="N1192" s="27" t="inlineStr">
        <is>
          <t>Yes</t>
        </is>
      </c>
      <c r="O1192" s="29" t="n">
        <v>0</v>
      </c>
      <c r="P1192" s="30" t="n">
        <v>450</v>
      </c>
      <c r="Q1192" s="31" t="inlineStr">
        <is>
          <t>In Stock</t>
        </is>
      </c>
      <c r="R1192" s="27" t="n"/>
      <c r="S1192" s="27" t="n"/>
      <c r="T1192" s="27" t="n"/>
      <c r="U1192" s="27" t="n"/>
      <c r="V1192" s="27" t="n"/>
      <c r="W1192" s="27" t="n"/>
      <c r="X1192" s="27" t="n"/>
      <c r="Y1192" s="27" t="n"/>
      <c r="Z1192" s="27" t="n"/>
    </row>
    <row r="1193" ht="12.5" customHeight="1" s="85">
      <c r="A1193" s="27" t="inlineStr">
        <is>
          <t>UNITASTE PERUM JEERAKAM FENNEL</t>
        </is>
      </c>
      <c r="B1193" s="27" t="n"/>
      <c r="C1193" s="27" t="inlineStr">
        <is>
          <t>Masalas &amp; Spices</t>
        </is>
      </c>
      <c r="D1193" s="32" t="inlineStr">
        <is>
          <t>100451</t>
        </is>
      </c>
      <c r="E1193" s="27" t="n"/>
      <c r="F1193" s="29" t="n">
        <v>0</v>
      </c>
      <c r="G1193" s="29" t="n">
        <v>60</v>
      </c>
      <c r="H1193" s="27" t="inlineStr">
        <is>
          <t>Exclusive</t>
        </is>
      </c>
      <c r="I1193" s="29" t="n">
        <v>34</v>
      </c>
      <c r="J1193" s="27" t="inlineStr">
        <is>
          <t>Exclusive</t>
        </is>
      </c>
      <c r="K1193" s="29" t="n">
        <v>60</v>
      </c>
      <c r="L1193" s="29" t="n">
        <v>12</v>
      </c>
      <c r="M1193" s="33" t="n">
        <v>1</v>
      </c>
      <c r="N1193" s="27" t="inlineStr">
        <is>
          <t>Yes</t>
        </is>
      </c>
      <c r="O1193" s="29" t="n">
        <v>0</v>
      </c>
      <c r="P1193" s="30" t="n">
        <v>450</v>
      </c>
      <c r="Q1193" s="31" t="inlineStr">
        <is>
          <t>In Stock</t>
        </is>
      </c>
      <c r="R1193" s="27" t="n"/>
      <c r="S1193" s="27" t="n"/>
      <c r="T1193" s="27" t="n"/>
      <c r="U1193" s="27" t="n"/>
      <c r="V1193" s="27" t="n"/>
      <c r="W1193" s="27" t="n"/>
      <c r="X1193" s="27" t="n"/>
      <c r="Y1193" s="27" t="n"/>
      <c r="Z1193" s="27" t="n"/>
    </row>
    <row r="1194" ht="12.5" customHeight="1" s="85">
      <c r="A1194" s="27" t="inlineStr">
        <is>
          <t>UNITASTE PICKLE POWDER 100GM</t>
        </is>
      </c>
      <c r="B1194" s="27" t="n"/>
      <c r="C1194" s="27" t="inlineStr">
        <is>
          <t>Masalas &amp; Spices</t>
        </is>
      </c>
      <c r="D1194" s="28" t="inlineStr">
        <is>
          <t>8903666000570</t>
        </is>
      </c>
      <c r="E1194" s="27" t="n"/>
      <c r="F1194" s="29" t="n">
        <v>0</v>
      </c>
      <c r="G1194" s="29" t="n">
        <v>55</v>
      </c>
      <c r="H1194" s="27" t="inlineStr">
        <is>
          <t>Inclusive</t>
        </is>
      </c>
      <c r="I1194" s="29" t="n">
        <v>40</v>
      </c>
      <c r="J1194" s="27" t="inlineStr">
        <is>
          <t>Inclusive</t>
        </is>
      </c>
      <c r="K1194" s="29" t="n">
        <v>0</v>
      </c>
      <c r="L1194" s="29" t="n">
        <v>0</v>
      </c>
      <c r="M1194" s="33" t="n">
        <v>1</v>
      </c>
      <c r="N1194" s="27" t="inlineStr">
        <is>
          <t>Yes</t>
        </is>
      </c>
      <c r="O1194" s="29" t="n">
        <v>0</v>
      </c>
      <c r="P1194" s="30" t="n">
        <v>450</v>
      </c>
      <c r="Q1194" s="31" t="inlineStr">
        <is>
          <t>In Stock</t>
        </is>
      </c>
      <c r="R1194" s="27" t="n"/>
      <c r="S1194" s="27" t="n"/>
      <c r="T1194" s="27" t="n"/>
      <c r="U1194" s="27" t="n"/>
      <c r="V1194" s="27" t="n"/>
      <c r="W1194" s="27" t="n"/>
      <c r="X1194" s="27" t="n"/>
      <c r="Y1194" s="27" t="n"/>
      <c r="Z1194" s="27" t="n"/>
    </row>
    <row r="1195" ht="12.5" customHeight="1" s="85">
      <c r="A1195" s="27" t="inlineStr">
        <is>
          <t>UNITASTE WHITE PUTTU PODI 1KG</t>
        </is>
      </c>
      <c r="B1195" s="27" t="n"/>
      <c r="C1195" s="27" t="inlineStr">
        <is>
          <t>Grains &amp; Flours</t>
        </is>
      </c>
      <c r="D1195" s="28" t="inlineStr">
        <is>
          <t>8903666000020</t>
        </is>
      </c>
      <c r="E1195" s="27" t="n"/>
      <c r="F1195" s="29" t="n">
        <v>0</v>
      </c>
      <c r="G1195" s="29" t="n">
        <v>126</v>
      </c>
      <c r="H1195" s="27" t="inlineStr">
        <is>
          <t>Exclusive</t>
        </is>
      </c>
      <c r="I1195" s="29" t="n">
        <v>108</v>
      </c>
      <c r="J1195" s="27" t="inlineStr">
        <is>
          <t>Exclusive</t>
        </is>
      </c>
      <c r="K1195" s="29" t="n">
        <v>0</v>
      </c>
      <c r="L1195" s="29" t="n">
        <v>0</v>
      </c>
      <c r="M1195" s="33" t="n">
        <v>1</v>
      </c>
      <c r="N1195" s="27" t="inlineStr">
        <is>
          <t>Yes</t>
        </is>
      </c>
      <c r="O1195" s="29" t="n">
        <v>0</v>
      </c>
      <c r="P1195" s="30" t="n">
        <v>450</v>
      </c>
      <c r="Q1195" s="31" t="inlineStr">
        <is>
          <t>In Stock</t>
        </is>
      </c>
      <c r="R1195" s="27" t="n"/>
      <c r="S1195" s="27" t="n"/>
      <c r="T1195" s="27" t="n"/>
      <c r="U1195" s="27" t="n"/>
      <c r="V1195" s="27" t="n"/>
      <c r="W1195" s="27" t="n"/>
      <c r="X1195" s="27" t="n"/>
      <c r="Y1195" s="27" t="n"/>
      <c r="Z1195" s="27" t="n"/>
    </row>
    <row r="1196" ht="12.5" customHeight="1" s="85">
      <c r="A1196" s="27" t="inlineStr">
        <is>
          <t>UNITASTE WHITE PUTTU PODI 500GM</t>
        </is>
      </c>
      <c r="B1196" s="27" t="n"/>
      <c r="C1196" s="27" t="inlineStr">
        <is>
          <t>Grains &amp; Flours</t>
        </is>
      </c>
      <c r="D1196" s="32" t="inlineStr">
        <is>
          <t>100452</t>
        </is>
      </c>
      <c r="E1196" s="27" t="n"/>
      <c r="F1196" s="29" t="n">
        <v>0</v>
      </c>
      <c r="G1196" s="29" t="n">
        <v>64</v>
      </c>
      <c r="H1196" s="27" t="inlineStr">
        <is>
          <t>Exclusive</t>
        </is>
      </c>
      <c r="I1196" s="29" t="n">
        <v>55</v>
      </c>
      <c r="J1196" s="27" t="inlineStr">
        <is>
          <t>Exclusive</t>
        </is>
      </c>
      <c r="K1196" s="29" t="n">
        <v>64</v>
      </c>
      <c r="L1196" s="29" t="n">
        <v>0</v>
      </c>
      <c r="M1196" s="33" t="n">
        <v>1</v>
      </c>
      <c r="N1196" s="27" t="inlineStr">
        <is>
          <t>Yes</t>
        </is>
      </c>
      <c r="O1196" s="29" t="n">
        <v>0</v>
      </c>
      <c r="P1196" s="30" t="n">
        <v>450</v>
      </c>
      <c r="Q1196" s="31" t="inlineStr">
        <is>
          <t>In Stock</t>
        </is>
      </c>
      <c r="R1196" s="27" t="n"/>
      <c r="S1196" s="27" t="n"/>
      <c r="T1196" s="27" t="n"/>
      <c r="U1196" s="27" t="n"/>
      <c r="V1196" s="27" t="n"/>
      <c r="W1196" s="27" t="n"/>
      <c r="X1196" s="27" t="n"/>
      <c r="Y1196" s="27" t="n"/>
      <c r="Z1196" s="27" t="n"/>
    </row>
    <row r="1197" ht="12.5" customHeight="1" s="85">
      <c r="A1197" s="27" t="inlineStr">
        <is>
          <t>URAD DAAL 1KG</t>
        </is>
      </c>
      <c r="B1197" s="27" t="n"/>
      <c r="C1197" s="27" t="inlineStr">
        <is>
          <t>Grains &amp; Flours</t>
        </is>
      </c>
      <c r="D1197" s="28" t="inlineStr">
        <is>
          <t>443211571685</t>
        </is>
      </c>
      <c r="E1197" s="27" t="n"/>
      <c r="F1197" s="29" t="n">
        <v>0</v>
      </c>
      <c r="G1197" s="29" t="n">
        <v>190</v>
      </c>
      <c r="H1197" s="27" t="inlineStr">
        <is>
          <t>Inclusive</t>
        </is>
      </c>
      <c r="I1197" s="29" t="n">
        <v>154</v>
      </c>
      <c r="J1197" s="27" t="inlineStr">
        <is>
          <t>Inclusive</t>
        </is>
      </c>
      <c r="K1197" s="29" t="n">
        <v>190</v>
      </c>
      <c r="L1197" s="29" t="n">
        <v>0</v>
      </c>
      <c r="M1197" s="33" t="n">
        <v>1</v>
      </c>
      <c r="N1197" s="27" t="inlineStr">
        <is>
          <t>Yes</t>
        </is>
      </c>
      <c r="O1197" s="29" t="n">
        <v>0</v>
      </c>
      <c r="P1197" s="30" t="n">
        <v>450</v>
      </c>
      <c r="Q1197" s="31" t="inlineStr">
        <is>
          <t>In Stock</t>
        </is>
      </c>
      <c r="R1197" s="27" t="n"/>
      <c r="S1197" s="27" t="n"/>
      <c r="T1197" s="27" t="n"/>
      <c r="U1197" s="27" t="n"/>
      <c r="V1197" s="27" t="n"/>
      <c r="W1197" s="27" t="n"/>
      <c r="X1197" s="27" t="n"/>
      <c r="Y1197" s="27" t="n"/>
      <c r="Z1197" s="27" t="n"/>
    </row>
    <row r="1198" ht="12.5" customHeight="1" s="85">
      <c r="A1198" s="27" t="inlineStr">
        <is>
          <t>URAD DAAL WHOLE 500GM</t>
        </is>
      </c>
      <c r="B1198" s="27" t="n"/>
      <c r="C1198" s="27" t="inlineStr">
        <is>
          <t>Grains &amp; Flours</t>
        </is>
      </c>
      <c r="D1198" s="28" t="inlineStr">
        <is>
          <t>288107103449</t>
        </is>
      </c>
      <c r="E1198" s="27" t="n"/>
      <c r="F1198" s="29" t="n">
        <v>0</v>
      </c>
      <c r="G1198" s="29" t="n">
        <v>88</v>
      </c>
      <c r="H1198" s="27" t="inlineStr">
        <is>
          <t>Exclusive</t>
        </is>
      </c>
      <c r="I1198" s="29" t="n">
        <v>70</v>
      </c>
      <c r="J1198" s="27" t="inlineStr">
        <is>
          <t>Exclusive</t>
        </is>
      </c>
      <c r="K1198" s="29" t="n">
        <v>95</v>
      </c>
      <c r="L1198" s="29" t="n">
        <v>0</v>
      </c>
      <c r="M1198" s="33" t="n">
        <v>1</v>
      </c>
      <c r="N1198" s="27" t="inlineStr">
        <is>
          <t>Yes</t>
        </is>
      </c>
      <c r="O1198" s="29" t="n">
        <v>0</v>
      </c>
      <c r="P1198" s="30" t="n">
        <v>450</v>
      </c>
      <c r="Q1198" s="31" t="inlineStr">
        <is>
          <t>In Stock</t>
        </is>
      </c>
      <c r="R1198" s="27" t="n"/>
      <c r="S1198" s="27" t="n"/>
      <c r="T1198" s="27" t="n"/>
      <c r="U1198" s="27" t="n"/>
      <c r="V1198" s="27" t="n"/>
      <c r="W1198" s="27" t="n"/>
      <c r="X1198" s="27" t="n"/>
      <c r="Y1198" s="27" t="n"/>
      <c r="Z1198" s="27" t="n"/>
    </row>
    <row r="1199" ht="12.5" customHeight="1" s="85">
      <c r="A1199" s="27" t="inlineStr">
        <is>
          <t>URDU BIBLE ROMAN</t>
        </is>
      </c>
      <c r="B1199" s="27" t="n"/>
      <c r="C1199" s="27" t="inlineStr">
        <is>
          <t>Books &amp; Bibles</t>
        </is>
      </c>
      <c r="D1199" s="32" t="inlineStr">
        <is>
          <t>100453</t>
        </is>
      </c>
      <c r="E1199" s="27" t="n"/>
      <c r="F1199" s="29" t="n">
        <v>0</v>
      </c>
      <c r="G1199" s="29" t="n">
        <v>350</v>
      </c>
      <c r="H1199" s="27" t="inlineStr">
        <is>
          <t>Exclusive</t>
        </is>
      </c>
      <c r="I1199" s="29" t="n">
        <v>150</v>
      </c>
      <c r="J1199" s="27" t="inlineStr">
        <is>
          <t>Exclusive</t>
        </is>
      </c>
      <c r="K1199" s="29" t="n">
        <v>350</v>
      </c>
      <c r="L1199" s="29" t="n">
        <v>0</v>
      </c>
      <c r="M1199" s="33" t="n">
        <v>1</v>
      </c>
      <c r="N1199" s="27" t="inlineStr">
        <is>
          <t>Yes</t>
        </is>
      </c>
      <c r="O1199" s="29" t="n">
        <v>0</v>
      </c>
      <c r="P1199" s="30" t="n">
        <v>450</v>
      </c>
      <c r="Q1199" s="31" t="inlineStr">
        <is>
          <t>In Stock</t>
        </is>
      </c>
      <c r="R1199" s="27" t="n"/>
      <c r="S1199" s="27" t="n"/>
      <c r="T1199" s="27" t="n"/>
      <c r="U1199" s="27" t="n"/>
      <c r="V1199" s="27" t="n"/>
      <c r="W1199" s="27" t="n"/>
      <c r="X1199" s="27" t="n"/>
      <c r="Y1199" s="27" t="n"/>
      <c r="Z1199" s="27" t="n"/>
    </row>
    <row r="1200" ht="12.5" customHeight="1" s="85">
      <c r="A1200" s="27" t="inlineStr">
        <is>
          <t>USB LED LIGHT</t>
        </is>
      </c>
      <c r="B1200" s="27" t="n"/>
      <c r="C1200" s="27" t="inlineStr">
        <is>
          <t>Electronics</t>
        </is>
      </c>
      <c r="D1200" s="28" t="inlineStr">
        <is>
          <t>599953373216</t>
        </is>
      </c>
      <c r="E1200" s="27" t="n"/>
      <c r="F1200" s="29" t="n">
        <v>0</v>
      </c>
      <c r="G1200" s="29" t="n">
        <v>30</v>
      </c>
      <c r="H1200" s="27" t="inlineStr">
        <is>
          <t>Exclusive</t>
        </is>
      </c>
      <c r="I1200" s="29" t="n">
        <v>10</v>
      </c>
      <c r="J1200" s="27" t="inlineStr">
        <is>
          <t>Exclusive</t>
        </is>
      </c>
      <c r="K1200" s="29" t="n">
        <v>50</v>
      </c>
      <c r="L1200" s="29" t="n">
        <v>48</v>
      </c>
      <c r="M1200" s="27" t="n"/>
      <c r="N1200" s="27" t="inlineStr">
        <is>
          <t>Yes</t>
        </is>
      </c>
      <c r="O1200" s="29" t="n">
        <v>0</v>
      </c>
      <c r="P1200" s="30" t="n">
        <v>450</v>
      </c>
      <c r="Q1200" s="31" t="inlineStr">
        <is>
          <t>In Stock</t>
        </is>
      </c>
      <c r="R1200" s="27" t="n"/>
      <c r="S1200" s="27" t="n"/>
      <c r="T1200" s="27" t="n"/>
      <c r="U1200" s="27" t="n"/>
      <c r="V1200" s="27" t="n"/>
      <c r="W1200" s="27" t="n"/>
      <c r="X1200" s="27" t="n"/>
      <c r="Y1200" s="27" t="n"/>
      <c r="Z1200" s="27" t="n"/>
    </row>
    <row r="1201" ht="12.5" customHeight="1" s="85">
      <c r="A1201" s="27" t="inlineStr">
        <is>
          <t>VANILLA ESSENCE 20ML</t>
        </is>
      </c>
      <c r="B1201" s="27" t="n"/>
      <c r="C1201" s="27" t="inlineStr">
        <is>
          <t>Ready to Eat &amp; Mixes</t>
        </is>
      </c>
      <c r="D1201" s="28" t="inlineStr">
        <is>
          <t>967115001714</t>
        </is>
      </c>
      <c r="E1201" s="27" t="n"/>
      <c r="F1201" s="29" t="n">
        <v>0</v>
      </c>
      <c r="G1201" s="29" t="n">
        <v>29</v>
      </c>
      <c r="H1201" s="27" t="inlineStr">
        <is>
          <t>Exclusive</t>
        </is>
      </c>
      <c r="I1201" s="29" t="n">
        <v>22</v>
      </c>
      <c r="J1201" s="27" t="inlineStr">
        <is>
          <t>Exclusive</t>
        </is>
      </c>
      <c r="K1201" s="29" t="n">
        <v>29</v>
      </c>
      <c r="L1201" s="29" t="n">
        <v>1</v>
      </c>
      <c r="M1201" s="33" t="n">
        <v>1</v>
      </c>
      <c r="N1201" s="27" t="inlineStr">
        <is>
          <t>Yes</t>
        </is>
      </c>
      <c r="O1201" s="29" t="n">
        <v>0</v>
      </c>
      <c r="P1201" s="30" t="n">
        <v>450</v>
      </c>
      <c r="Q1201" s="31" t="inlineStr">
        <is>
          <t>In Stock</t>
        </is>
      </c>
      <c r="R1201" s="27" t="n"/>
      <c r="S1201" s="27" t="n"/>
      <c r="T1201" s="27" t="n"/>
      <c r="U1201" s="27" t="n"/>
      <c r="V1201" s="27" t="n"/>
      <c r="W1201" s="27" t="n"/>
      <c r="X1201" s="27" t="n"/>
      <c r="Y1201" s="27" t="n"/>
      <c r="Z1201" s="27" t="n"/>
    </row>
    <row r="1202" ht="12.5" customHeight="1" s="85">
      <c r="A1202" s="27" t="inlineStr">
        <is>
          <t>VARAPPETTY COCONUT OIL 1LTR</t>
        </is>
      </c>
      <c r="B1202" s="27" t="n"/>
      <c r="C1202" s="27" t="inlineStr">
        <is>
          <t>Edible Oils &amp; Ghee</t>
        </is>
      </c>
      <c r="D1202" s="28" t="inlineStr">
        <is>
          <t>17247648162</t>
        </is>
      </c>
      <c r="E1202" s="27" t="n"/>
      <c r="F1202" s="29" t="n">
        <v>0</v>
      </c>
      <c r="G1202" s="29" t="n">
        <v>670</v>
      </c>
      <c r="H1202" s="27" t="inlineStr">
        <is>
          <t>Exclusive</t>
        </is>
      </c>
      <c r="I1202" s="29" t="n">
        <v>580</v>
      </c>
      <c r="J1202" s="27" t="inlineStr">
        <is>
          <t>Exclusive</t>
        </is>
      </c>
      <c r="K1202" s="29" t="n">
        <v>670</v>
      </c>
      <c r="L1202" s="29" t="n">
        <v>0</v>
      </c>
      <c r="M1202" s="33" t="n">
        <v>1</v>
      </c>
      <c r="N1202" s="27" t="inlineStr">
        <is>
          <t>Yes</t>
        </is>
      </c>
      <c r="O1202" s="29" t="n">
        <v>0</v>
      </c>
      <c r="P1202" s="30" t="n">
        <v>450</v>
      </c>
      <c r="Q1202" s="31" t="inlineStr">
        <is>
          <t>In Stock</t>
        </is>
      </c>
      <c r="R1202" s="27" t="n"/>
      <c r="S1202" s="27" t="n"/>
      <c r="T1202" s="27" t="n"/>
      <c r="U1202" s="27" t="n"/>
      <c r="V1202" s="27" t="n"/>
      <c r="W1202" s="27" t="n"/>
      <c r="X1202" s="27" t="n"/>
      <c r="Y1202" s="27" t="n"/>
      <c r="Z1202" s="27" t="n"/>
    </row>
    <row r="1203" ht="12.5" customHeight="1" s="85">
      <c r="A1203" s="27" t="inlineStr">
        <is>
          <t>VARAPPETTY COCONUT OIL 500GM</t>
        </is>
      </c>
      <c r="B1203" s="27" t="n"/>
      <c r="C1203" s="27" t="inlineStr">
        <is>
          <t>Edible Oils &amp; Ghee</t>
        </is>
      </c>
      <c r="D1203" s="28" t="inlineStr">
        <is>
          <t>17247648179</t>
        </is>
      </c>
      <c r="E1203" s="27" t="n"/>
      <c r="F1203" s="29" t="n">
        <v>0</v>
      </c>
      <c r="G1203" s="29" t="n">
        <v>340</v>
      </c>
      <c r="H1203" s="27" t="inlineStr">
        <is>
          <t>Inclusive</t>
        </is>
      </c>
      <c r="I1203" s="29" t="n">
        <v>278</v>
      </c>
      <c r="J1203" s="27" t="inlineStr">
        <is>
          <t>Inclusive</t>
        </is>
      </c>
      <c r="K1203" s="29" t="n">
        <v>340</v>
      </c>
      <c r="L1203" s="29" t="n">
        <v>4</v>
      </c>
      <c r="M1203" s="33" t="n">
        <v>1</v>
      </c>
      <c r="N1203" s="27" t="inlineStr">
        <is>
          <t>Yes</t>
        </is>
      </c>
      <c r="O1203" s="29" t="n">
        <v>0</v>
      </c>
      <c r="P1203" s="30" t="n">
        <v>450</v>
      </c>
      <c r="Q1203" s="31" t="inlineStr">
        <is>
          <t>In Stock</t>
        </is>
      </c>
      <c r="R1203" s="27" t="n"/>
      <c r="S1203" s="27" t="n"/>
      <c r="T1203" s="27" t="n"/>
      <c r="U1203" s="27" t="n"/>
      <c r="V1203" s="27" t="n"/>
      <c r="W1203" s="27" t="n"/>
      <c r="X1203" s="27" t="n"/>
      <c r="Y1203" s="27" t="n"/>
      <c r="Z1203" s="27" t="n"/>
    </row>
    <row r="1204" ht="12.5" customHeight="1" s="85">
      <c r="A1204" s="27" t="inlineStr">
        <is>
          <t>VAZHAYILA 100PC BUNDLE</t>
        </is>
      </c>
      <c r="B1204" s="27" t="n"/>
      <c r="C1204" s="27" t="inlineStr">
        <is>
          <t>Raw Items &amp; Produce</t>
        </is>
      </c>
      <c r="D1204" s="28" t="inlineStr">
        <is>
          <t>707519073626</t>
        </is>
      </c>
      <c r="E1204" s="27" t="n"/>
      <c r="F1204" s="29" t="n">
        <v>0</v>
      </c>
      <c r="G1204" s="29" t="n">
        <v>350</v>
      </c>
      <c r="H1204" s="27" t="inlineStr">
        <is>
          <t>Exclusive</t>
        </is>
      </c>
      <c r="I1204" s="29" t="n">
        <v>290</v>
      </c>
      <c r="J1204" s="27" t="inlineStr">
        <is>
          <t>Exclusive</t>
        </is>
      </c>
      <c r="K1204" s="29" t="n">
        <v>350</v>
      </c>
      <c r="L1204" s="29" t="n">
        <v>1.5</v>
      </c>
      <c r="M1204" s="33" t="n">
        <v>1</v>
      </c>
      <c r="N1204" s="27" t="inlineStr">
        <is>
          <t>Yes</t>
        </is>
      </c>
      <c r="O1204" s="29" t="n">
        <v>0</v>
      </c>
      <c r="P1204" s="30" t="n">
        <v>450</v>
      </c>
      <c r="Q1204" s="31" t="inlineStr">
        <is>
          <t>In Stock</t>
        </is>
      </c>
      <c r="R1204" s="27" t="n"/>
      <c r="S1204" s="27" t="n"/>
      <c r="T1204" s="27" t="n"/>
      <c r="U1204" s="27" t="n"/>
      <c r="V1204" s="27" t="n"/>
      <c r="W1204" s="27" t="n"/>
      <c r="X1204" s="27" t="n"/>
      <c r="Y1204" s="27" t="n"/>
      <c r="Z1204" s="27" t="n"/>
    </row>
    <row r="1205" ht="12.5" customHeight="1" s="85">
      <c r="A1205" s="27" t="inlineStr">
        <is>
          <t>VAZHAYILA 1 PIECE</t>
        </is>
      </c>
      <c r="B1205" s="27" t="n"/>
      <c r="C1205" s="27" t="inlineStr">
        <is>
          <t>Raw Items &amp; Produce</t>
        </is>
      </c>
      <c r="D1205" s="28" t="inlineStr">
        <is>
          <t>814851037029</t>
        </is>
      </c>
      <c r="E1205" s="27" t="n"/>
      <c r="F1205" s="29" t="n">
        <v>0</v>
      </c>
      <c r="G1205" s="29" t="n">
        <v>5</v>
      </c>
      <c r="H1205" s="27" t="inlineStr">
        <is>
          <t>Exclusive</t>
        </is>
      </c>
      <c r="I1205" s="29" t="n">
        <v>2.8</v>
      </c>
      <c r="J1205" s="27" t="inlineStr">
        <is>
          <t>Exclusive</t>
        </is>
      </c>
      <c r="K1205" s="29" t="n">
        <v>6</v>
      </c>
      <c r="L1205" s="29" t="n">
        <v>0</v>
      </c>
      <c r="M1205" s="33" t="n">
        <v>1</v>
      </c>
      <c r="N1205" s="27" t="inlineStr">
        <is>
          <t>Yes</t>
        </is>
      </c>
      <c r="O1205" s="29" t="n">
        <v>0</v>
      </c>
      <c r="P1205" s="30" t="n">
        <v>450</v>
      </c>
      <c r="Q1205" s="31" t="inlineStr">
        <is>
          <t>In Stock</t>
        </is>
      </c>
      <c r="R1205" s="27" t="n"/>
      <c r="S1205" s="27" t="n"/>
      <c r="T1205" s="27" t="n"/>
      <c r="U1205" s="27" t="n"/>
      <c r="V1205" s="27" t="n"/>
      <c r="W1205" s="27" t="n"/>
      <c r="X1205" s="27" t="n"/>
      <c r="Y1205" s="27" t="n"/>
      <c r="Z1205" s="27" t="n"/>
    </row>
    <row r="1206" ht="12.5" customHeight="1" s="85">
      <c r="A1206" s="27" t="inlineStr">
        <is>
          <t>VEETTAMMA COCONUT OIL 1LTR</t>
        </is>
      </c>
      <c r="B1206" s="27" t="n"/>
      <c r="C1206" s="27" t="inlineStr">
        <is>
          <t>Edible Oils &amp; Ghee</t>
        </is>
      </c>
      <c r="D1206" s="32" t="inlineStr">
        <is>
          <t>100454</t>
        </is>
      </c>
      <c r="E1206" s="27" t="n"/>
      <c r="F1206" s="29" t="n">
        <v>0</v>
      </c>
      <c r="G1206" s="29" t="n">
        <v>590</v>
      </c>
      <c r="H1206" s="27" t="inlineStr">
        <is>
          <t>Exclusive</t>
        </is>
      </c>
      <c r="I1206" s="29" t="n">
        <v>398</v>
      </c>
      <c r="J1206" s="27" t="inlineStr">
        <is>
          <t>Exclusive</t>
        </is>
      </c>
      <c r="K1206" s="29" t="n">
        <v>600</v>
      </c>
      <c r="L1206" s="29" t="n">
        <v>0</v>
      </c>
      <c r="M1206" s="33" t="n">
        <v>1</v>
      </c>
      <c r="N1206" s="27" t="inlineStr">
        <is>
          <t>Yes</t>
        </is>
      </c>
      <c r="O1206" s="29" t="n">
        <v>0</v>
      </c>
      <c r="P1206" s="30" t="n">
        <v>450</v>
      </c>
      <c r="Q1206" s="31" t="inlineStr">
        <is>
          <t>In Stock</t>
        </is>
      </c>
      <c r="R1206" s="27" t="n"/>
      <c r="S1206" s="27" t="n"/>
      <c r="T1206" s="27" t="n"/>
      <c r="U1206" s="27" t="n"/>
      <c r="V1206" s="27" t="n"/>
      <c r="W1206" s="27" t="n"/>
      <c r="X1206" s="27" t="n"/>
      <c r="Y1206" s="27" t="n"/>
      <c r="Z1206" s="27" t="n"/>
    </row>
    <row r="1207" ht="12.5" customHeight="1" s="85">
      <c r="A1207" s="27" t="inlineStr">
        <is>
          <t>VEETTAMMA COCONUT OIL 500GM</t>
        </is>
      </c>
      <c r="B1207" s="27" t="n"/>
      <c r="C1207" s="27" t="inlineStr">
        <is>
          <t>Edible Oils &amp; Ghee</t>
        </is>
      </c>
      <c r="D1207" s="28" t="inlineStr">
        <is>
          <t>669568116648</t>
        </is>
      </c>
      <c r="E1207" s="27" t="n"/>
      <c r="F1207" s="29" t="n">
        <v>0</v>
      </c>
      <c r="G1207" s="29" t="n">
        <v>360</v>
      </c>
      <c r="H1207" s="27" t="inlineStr">
        <is>
          <t>Exclusive</t>
        </is>
      </c>
      <c r="I1207" s="29" t="n">
        <v>272</v>
      </c>
      <c r="J1207" s="27" t="inlineStr">
        <is>
          <t>Exclusive</t>
        </is>
      </c>
      <c r="K1207" s="29" t="n">
        <v>0</v>
      </c>
      <c r="L1207" s="29" t="n">
        <v>2</v>
      </c>
      <c r="M1207" s="33" t="n">
        <v>1</v>
      </c>
      <c r="N1207" s="27" t="inlineStr">
        <is>
          <t>Yes</t>
        </is>
      </c>
      <c r="O1207" s="29" t="n">
        <v>0</v>
      </c>
      <c r="P1207" s="30" t="n">
        <v>450</v>
      </c>
      <c r="Q1207" s="31" t="inlineStr">
        <is>
          <t>In Stock</t>
        </is>
      </c>
      <c r="R1207" s="27" t="n"/>
      <c r="S1207" s="27" t="n"/>
      <c r="T1207" s="27" t="n"/>
      <c r="U1207" s="27" t="n"/>
      <c r="V1207" s="27" t="n"/>
      <c r="W1207" s="27" t="n"/>
      <c r="X1207" s="27" t="n"/>
      <c r="Y1207" s="27" t="n"/>
      <c r="Z1207" s="27" t="n"/>
    </row>
    <row r="1208" ht="12.5" customHeight="1" s="85">
      <c r="A1208" s="27" t="inlineStr">
        <is>
          <t>VEETTAMMA RICE POWDER -APPAMPODI 500GM</t>
        </is>
      </c>
      <c r="B1208" s="27" t="n"/>
      <c r="C1208" s="27" t="inlineStr">
        <is>
          <t>Grains &amp; Flours</t>
        </is>
      </c>
      <c r="D1208" s="28" t="inlineStr">
        <is>
          <t>669568116150</t>
        </is>
      </c>
      <c r="E1208" s="27" t="n"/>
      <c r="F1208" s="29" t="n">
        <v>0</v>
      </c>
      <c r="G1208" s="29" t="n">
        <v>63</v>
      </c>
      <c r="H1208" s="27" t="inlineStr">
        <is>
          <t>Exclusive</t>
        </is>
      </c>
      <c r="I1208" s="29" t="n">
        <v>57</v>
      </c>
      <c r="J1208" s="27" t="inlineStr">
        <is>
          <t>Exclusive</t>
        </is>
      </c>
      <c r="K1208" s="29" t="n">
        <v>63</v>
      </c>
      <c r="L1208" s="29" t="n">
        <v>0</v>
      </c>
      <c r="M1208" s="33" t="n">
        <v>1</v>
      </c>
      <c r="N1208" s="27" t="inlineStr">
        <is>
          <t>Yes</t>
        </is>
      </c>
      <c r="O1208" s="29" t="n">
        <v>0</v>
      </c>
      <c r="P1208" s="30" t="n">
        <v>450</v>
      </c>
      <c r="Q1208" s="31" t="inlineStr">
        <is>
          <t>In Stock</t>
        </is>
      </c>
      <c r="R1208" s="27" t="n"/>
      <c r="S1208" s="27" t="n"/>
      <c r="T1208" s="27" t="n"/>
      <c r="U1208" s="27" t="n"/>
      <c r="V1208" s="27" t="n"/>
      <c r="W1208" s="27" t="n"/>
      <c r="X1208" s="27" t="n"/>
      <c r="Y1208" s="27" t="n"/>
      <c r="Z1208" s="27" t="n"/>
    </row>
    <row r="1209" ht="12.5" customHeight="1" s="85">
      <c r="A1209" s="27" t="inlineStr">
        <is>
          <t>VEETTAMMA VINAGER 500ML</t>
        </is>
      </c>
      <c r="B1209" s="27" t="n"/>
      <c r="C1209" s="27" t="inlineStr">
        <is>
          <t>Ready to Eat &amp; Mixes</t>
        </is>
      </c>
      <c r="D1209" s="28" t="inlineStr">
        <is>
          <t>669568093321</t>
        </is>
      </c>
      <c r="E1209" s="27" t="n"/>
      <c r="F1209" s="29" t="n">
        <v>0</v>
      </c>
      <c r="G1209" s="29" t="n">
        <v>45</v>
      </c>
      <c r="H1209" s="27" t="inlineStr">
        <is>
          <t>Exclusive</t>
        </is>
      </c>
      <c r="I1209" s="29" t="n">
        <v>35</v>
      </c>
      <c r="J1209" s="27" t="inlineStr">
        <is>
          <t>Exclusive</t>
        </is>
      </c>
      <c r="K1209" s="29" t="n">
        <v>45</v>
      </c>
      <c r="L1209" s="29" t="n">
        <v>1</v>
      </c>
      <c r="M1209" s="33" t="n">
        <v>1</v>
      </c>
      <c r="N1209" s="27" t="inlineStr">
        <is>
          <t>Yes</t>
        </is>
      </c>
      <c r="O1209" s="29" t="n">
        <v>0</v>
      </c>
      <c r="P1209" s="30" t="n">
        <v>450</v>
      </c>
      <c r="Q1209" s="31" t="inlineStr">
        <is>
          <t>In Stock</t>
        </is>
      </c>
      <c r="R1209" s="27" t="n"/>
      <c r="S1209" s="27" t="n"/>
      <c r="T1209" s="27" t="n"/>
      <c r="U1209" s="27" t="n"/>
      <c r="V1209" s="27" t="n"/>
      <c r="W1209" s="27" t="n"/>
      <c r="X1209" s="27" t="n"/>
      <c r="Y1209" s="27" t="n"/>
      <c r="Z1209" s="27" t="n"/>
    </row>
    <row r="1210" ht="12.5" customHeight="1" s="85">
      <c r="A1210" s="27" t="inlineStr">
        <is>
          <t>VEGETABLE CARRY BAG</t>
        </is>
      </c>
      <c r="B1210" s="27" t="n"/>
      <c r="C1210" s="27" t="inlineStr">
        <is>
          <t>Household &amp; Cleaning</t>
        </is>
      </c>
      <c r="D1210" s="32" t="inlineStr">
        <is>
          <t>100455</t>
        </is>
      </c>
      <c r="E1210" s="27" t="n"/>
      <c r="F1210" s="29" t="n">
        <v>0</v>
      </c>
      <c r="G1210" s="29" t="n">
        <v>15</v>
      </c>
      <c r="H1210" s="27" t="inlineStr">
        <is>
          <t>Inclusive</t>
        </is>
      </c>
      <c r="I1210" s="29" t="n">
        <v>10</v>
      </c>
      <c r="J1210" s="27" t="inlineStr">
        <is>
          <t>Inclusive</t>
        </is>
      </c>
      <c r="K1210" s="29" t="n">
        <v>20</v>
      </c>
      <c r="L1210" s="29" t="n">
        <v>0</v>
      </c>
      <c r="M1210" s="33" t="n">
        <v>1</v>
      </c>
      <c r="N1210" s="27" t="inlineStr">
        <is>
          <t>Yes</t>
        </is>
      </c>
      <c r="O1210" s="29" t="n">
        <v>0</v>
      </c>
      <c r="P1210" s="30" t="n">
        <v>450</v>
      </c>
      <c r="Q1210" s="31" t="inlineStr">
        <is>
          <t>In Stock</t>
        </is>
      </c>
      <c r="R1210" s="27" t="n"/>
      <c r="S1210" s="27" t="n"/>
      <c r="T1210" s="27" t="n"/>
      <c r="U1210" s="27" t="n"/>
      <c r="V1210" s="27" t="n"/>
      <c r="W1210" s="27" t="n"/>
      <c r="X1210" s="27" t="n"/>
      <c r="Y1210" s="27" t="n"/>
      <c r="Z1210" s="27" t="n"/>
    </row>
    <row r="1211" ht="12.5" customHeight="1" s="85">
      <c r="A1211" s="27" t="inlineStr">
        <is>
          <t>VELLARI KHEERA</t>
        </is>
      </c>
      <c r="B1211" s="27" t="n"/>
      <c r="C1211" s="27" t="inlineStr">
        <is>
          <t>Raw Items &amp; Produce</t>
        </is>
      </c>
      <c r="D1211" s="32" t="inlineStr">
        <is>
          <t>100456</t>
        </is>
      </c>
      <c r="E1211" s="27" t="n"/>
      <c r="F1211" s="29" t="n">
        <v>0</v>
      </c>
      <c r="G1211" s="29" t="n">
        <v>110</v>
      </c>
      <c r="H1211" s="27" t="inlineStr">
        <is>
          <t>Exclusive</t>
        </is>
      </c>
      <c r="I1211" s="29" t="n">
        <v>65</v>
      </c>
      <c r="J1211" s="27" t="inlineStr">
        <is>
          <t>Exclusive</t>
        </is>
      </c>
      <c r="K1211" s="29" t="n">
        <v>65</v>
      </c>
      <c r="L1211" s="29" t="n">
        <v>13.67</v>
      </c>
      <c r="M1211" s="33" t="n">
        <v>1</v>
      </c>
      <c r="N1211" s="27" t="inlineStr">
        <is>
          <t>Yes</t>
        </is>
      </c>
      <c r="O1211" s="29" t="n">
        <v>0</v>
      </c>
      <c r="P1211" s="30" t="n">
        <v>450</v>
      </c>
      <c r="Q1211" s="31" t="inlineStr">
        <is>
          <t>In Stock</t>
        </is>
      </c>
      <c r="R1211" s="27" t="n"/>
      <c r="S1211" s="27" t="n"/>
      <c r="T1211" s="27" t="n"/>
      <c r="U1211" s="27" t="n"/>
      <c r="V1211" s="27" t="n"/>
      <c r="W1211" s="27" t="n"/>
      <c r="X1211" s="27" t="n"/>
      <c r="Y1211" s="27" t="n"/>
      <c r="Z1211" s="27" t="n"/>
    </row>
    <row r="1212" ht="12.5" customHeight="1" s="85">
      <c r="A1212" s="27" t="inlineStr">
        <is>
          <t>VIJAY PONNI RICE 2KG</t>
        </is>
      </c>
      <c r="B1212" s="27" t="n"/>
      <c r="C1212" s="27" t="inlineStr">
        <is>
          <t>Rice Items</t>
        </is>
      </c>
      <c r="D1212" s="28" t="inlineStr">
        <is>
          <t>360956361908</t>
        </is>
      </c>
      <c r="E1212" s="27" t="n"/>
      <c r="F1212" s="29" t="n">
        <v>0</v>
      </c>
      <c r="G1212" s="29" t="n">
        <v>176</v>
      </c>
      <c r="H1212" s="27" t="inlineStr">
        <is>
          <t>Exclusive</t>
        </is>
      </c>
      <c r="I1212" s="29" t="n">
        <v>142</v>
      </c>
      <c r="J1212" s="27" t="inlineStr">
        <is>
          <t>Exclusive</t>
        </is>
      </c>
      <c r="K1212" s="29" t="n">
        <v>182</v>
      </c>
      <c r="L1212" s="29" t="n">
        <v>0</v>
      </c>
      <c r="M1212" s="33" t="n">
        <v>1</v>
      </c>
      <c r="N1212" s="27" t="inlineStr">
        <is>
          <t>Yes</t>
        </is>
      </c>
      <c r="O1212" s="29" t="n">
        <v>0</v>
      </c>
      <c r="P1212" s="30" t="n">
        <v>450</v>
      </c>
      <c r="Q1212" s="31" t="inlineStr">
        <is>
          <t>In Stock</t>
        </is>
      </c>
      <c r="R1212" s="27" t="n"/>
      <c r="S1212" s="27" t="n"/>
      <c r="T1212" s="27" t="n"/>
      <c r="U1212" s="27" t="n"/>
      <c r="V1212" s="27" t="n"/>
      <c r="W1212" s="27" t="n"/>
      <c r="X1212" s="27" t="n"/>
      <c r="Y1212" s="27" t="n"/>
      <c r="Z1212" s="27" t="n"/>
    </row>
    <row r="1213" ht="12.5" customHeight="1" s="85">
      <c r="A1213" s="27" t="inlineStr">
        <is>
          <t>VIJAY RAGI POWDER 1KG</t>
        </is>
      </c>
      <c r="B1213" s="27" t="n"/>
      <c r="C1213" s="27" t="inlineStr">
        <is>
          <t>Grains &amp; Flours</t>
        </is>
      </c>
      <c r="D1213" s="28" t="inlineStr">
        <is>
          <t>8906012230409</t>
        </is>
      </c>
      <c r="E1213" s="27" t="n"/>
      <c r="F1213" s="29" t="n">
        <v>0</v>
      </c>
      <c r="G1213" s="29" t="n">
        <v>80</v>
      </c>
      <c r="H1213" s="27" t="inlineStr">
        <is>
          <t>Exclusive</t>
        </is>
      </c>
      <c r="I1213" s="29" t="n">
        <v>76</v>
      </c>
      <c r="J1213" s="27" t="inlineStr">
        <is>
          <t>Exclusive</t>
        </is>
      </c>
      <c r="K1213" s="29" t="n">
        <v>80</v>
      </c>
      <c r="L1213" s="29" t="n">
        <v>1</v>
      </c>
      <c r="M1213" s="33" t="n">
        <v>1</v>
      </c>
      <c r="N1213" s="27" t="inlineStr">
        <is>
          <t>Yes</t>
        </is>
      </c>
      <c r="O1213" s="29" t="n">
        <v>0</v>
      </c>
      <c r="P1213" s="30" t="n">
        <v>450</v>
      </c>
      <c r="Q1213" s="31" t="inlineStr">
        <is>
          <t>In Stock</t>
        </is>
      </c>
      <c r="R1213" s="27" t="n"/>
      <c r="S1213" s="27" t="n"/>
      <c r="T1213" s="27" t="n"/>
      <c r="U1213" s="27" t="n"/>
      <c r="V1213" s="27" t="n"/>
      <c r="W1213" s="27" t="n"/>
      <c r="X1213" s="27" t="n"/>
      <c r="Y1213" s="27" t="n"/>
      <c r="Z1213" s="27" t="n"/>
    </row>
    <row r="1214" ht="12.5" customHeight="1" s="85">
      <c r="A1214" s="27" t="inlineStr">
        <is>
          <t>VIP GOLD MUNDU</t>
        </is>
      </c>
      <c r="B1214" s="27" t="n"/>
      <c r="C1214" s="27" t="inlineStr">
        <is>
          <t>Kerala Clothing</t>
        </is>
      </c>
      <c r="D1214" s="34" t="inlineStr">
        <is>
          <t>S000178706</t>
        </is>
      </c>
      <c r="E1214" s="27" t="n"/>
      <c r="F1214" s="29" t="n">
        <v>0</v>
      </c>
      <c r="G1214" s="29" t="n">
        <v>420</v>
      </c>
      <c r="H1214" s="27" t="inlineStr">
        <is>
          <t>Exclusive</t>
        </is>
      </c>
      <c r="I1214" s="29" t="n">
        <v>350</v>
      </c>
      <c r="J1214" s="27" t="inlineStr">
        <is>
          <t>Exclusive</t>
        </is>
      </c>
      <c r="K1214" s="29" t="n">
        <v>480</v>
      </c>
      <c r="L1214" s="29" t="n">
        <v>0</v>
      </c>
      <c r="M1214" s="27" t="n"/>
      <c r="N1214" s="27" t="inlineStr">
        <is>
          <t>Yes</t>
        </is>
      </c>
      <c r="O1214" s="29" t="n">
        <v>0</v>
      </c>
      <c r="P1214" s="30" t="n">
        <v>450</v>
      </c>
      <c r="Q1214" s="31" t="inlineStr">
        <is>
          <t>In Stock</t>
        </is>
      </c>
      <c r="R1214" s="27" t="n"/>
      <c r="S1214" s="27" t="n"/>
      <c r="T1214" s="27" t="n"/>
      <c r="U1214" s="27" t="n"/>
      <c r="V1214" s="27" t="n"/>
      <c r="W1214" s="27" t="n"/>
      <c r="X1214" s="27" t="n"/>
      <c r="Y1214" s="27" t="n"/>
      <c r="Z1214" s="27" t="n"/>
    </row>
    <row r="1215" ht="12.5" customHeight="1" s="85">
      <c r="A1215" s="27" t="inlineStr">
        <is>
          <t>VP DRIED TAPIOCA 1KG PACK</t>
        </is>
      </c>
      <c r="B1215" s="27" t="n"/>
      <c r="C1215" s="27" t="inlineStr">
        <is>
          <t>Grains &amp; Flours</t>
        </is>
      </c>
      <c r="D1215" s="28" t="inlineStr">
        <is>
          <t>8939112300444</t>
        </is>
      </c>
      <c r="E1215" s="27" t="n"/>
      <c r="F1215" s="29" t="n">
        <v>0</v>
      </c>
      <c r="G1215" s="29" t="n">
        <v>210</v>
      </c>
      <c r="H1215" s="27" t="inlineStr">
        <is>
          <t>Exclusive</t>
        </is>
      </c>
      <c r="I1215" s="29" t="n">
        <v>177</v>
      </c>
      <c r="J1215" s="27" t="inlineStr">
        <is>
          <t>Exclusive</t>
        </is>
      </c>
      <c r="K1215" s="29" t="n">
        <v>210</v>
      </c>
      <c r="L1215" s="29" t="n">
        <v>0</v>
      </c>
      <c r="M1215" s="33" t="n">
        <v>1</v>
      </c>
      <c r="N1215" s="27" t="inlineStr">
        <is>
          <t>Yes</t>
        </is>
      </c>
      <c r="O1215" s="29" t="n">
        <v>0</v>
      </c>
      <c r="P1215" s="30" t="n">
        <v>450</v>
      </c>
      <c r="Q1215" s="31" t="inlineStr">
        <is>
          <t>In Stock</t>
        </is>
      </c>
      <c r="R1215" s="27" t="n"/>
      <c r="S1215" s="27" t="n"/>
      <c r="T1215" s="27" t="n"/>
      <c r="U1215" s="27" t="n"/>
      <c r="V1215" s="27" t="n"/>
      <c r="W1215" s="27" t="n"/>
      <c r="X1215" s="27" t="n"/>
      <c r="Y1215" s="27" t="n"/>
      <c r="Z1215" s="27" t="n"/>
    </row>
    <row r="1216" ht="12.5" customHeight="1" s="85">
      <c r="A1216" s="27" t="inlineStr">
        <is>
          <t>WAAH BASIN</t>
        </is>
      </c>
      <c r="B1216" s="27" t="n"/>
      <c r="C1216" s="27" t="inlineStr">
        <is>
          <t>Fixed Assets</t>
        </is>
      </c>
      <c r="D1216" s="32" t="inlineStr">
        <is>
          <t>100457</t>
        </is>
      </c>
      <c r="E1216" s="27" t="n"/>
      <c r="F1216" s="29" t="n">
        <v>0</v>
      </c>
      <c r="G1216" s="29" t="n">
        <v>500</v>
      </c>
      <c r="H1216" s="27" t="inlineStr">
        <is>
          <t>Exclusive</t>
        </is>
      </c>
      <c r="I1216" s="29" t="n">
        <v>500</v>
      </c>
      <c r="J1216" s="27" t="inlineStr">
        <is>
          <t>Exclusive</t>
        </is>
      </c>
      <c r="K1216" s="29" t="n">
        <v>500</v>
      </c>
      <c r="L1216" s="29" t="n">
        <v>0</v>
      </c>
      <c r="M1216" s="27" t="n"/>
      <c r="N1216" s="27" t="inlineStr">
        <is>
          <t>Yes</t>
        </is>
      </c>
      <c r="O1216" s="29" t="n">
        <v>0</v>
      </c>
      <c r="P1216" s="30" t="n">
        <v>450</v>
      </c>
      <c r="Q1216" s="31" t="inlineStr">
        <is>
          <t>In Stock</t>
        </is>
      </c>
      <c r="R1216" s="27" t="n"/>
      <c r="S1216" s="27" t="n"/>
      <c r="T1216" s="27" t="n"/>
      <c r="U1216" s="27" t="n"/>
      <c r="V1216" s="27" t="n"/>
      <c r="W1216" s="27" t="n"/>
      <c r="X1216" s="27" t="n"/>
      <c r="Y1216" s="27" t="n"/>
      <c r="Z1216" s="27" t="n"/>
    </row>
    <row r="1217" ht="12.5" customHeight="1" s="85">
      <c r="A1217" s="27" t="inlineStr">
        <is>
          <t>WALL STICKERS BIG 35</t>
        </is>
      </c>
      <c r="B1217" s="27" t="n"/>
      <c r="C1217" s="27" t="inlineStr">
        <is>
          <t>Church Articles</t>
        </is>
      </c>
      <c r="D1217" s="32" t="inlineStr">
        <is>
          <t>100458</t>
        </is>
      </c>
      <c r="E1217" s="27" t="n"/>
      <c r="F1217" s="29" t="n">
        <v>0</v>
      </c>
      <c r="G1217" s="29" t="n">
        <v>35</v>
      </c>
      <c r="H1217" s="27" t="inlineStr">
        <is>
          <t>Exclusive</t>
        </is>
      </c>
      <c r="I1217" s="29" t="n">
        <v>25</v>
      </c>
      <c r="J1217" s="27" t="inlineStr">
        <is>
          <t>Exclusive</t>
        </is>
      </c>
      <c r="K1217" s="29" t="n">
        <v>40</v>
      </c>
      <c r="L1217" s="29" t="n">
        <v>7</v>
      </c>
      <c r="M1217" s="33" t="n">
        <v>1</v>
      </c>
      <c r="N1217" s="27" t="inlineStr">
        <is>
          <t>Yes</t>
        </is>
      </c>
      <c r="O1217" s="29" t="n">
        <v>0</v>
      </c>
      <c r="P1217" s="30" t="n">
        <v>450</v>
      </c>
      <c r="Q1217" s="31" t="inlineStr">
        <is>
          <t>In Stock</t>
        </is>
      </c>
      <c r="R1217" s="27" t="n"/>
      <c r="S1217" s="27" t="n"/>
      <c r="T1217" s="27" t="n"/>
      <c r="U1217" s="27" t="n"/>
      <c r="V1217" s="27" t="n"/>
      <c r="W1217" s="27" t="n"/>
      <c r="X1217" s="27" t="n"/>
      <c r="Y1217" s="27" t="n"/>
      <c r="Z1217" s="27" t="n"/>
    </row>
    <row r="1218" ht="12.5" customHeight="1" s="85">
      <c r="A1218" s="27" t="inlineStr">
        <is>
          <t>WALL TEXT BIG A3</t>
        </is>
      </c>
      <c r="B1218" s="27" t="n"/>
      <c r="C1218" s="27" t="inlineStr">
        <is>
          <t>Church Articles</t>
        </is>
      </c>
      <c r="D1218" s="32" t="inlineStr">
        <is>
          <t>100459</t>
        </is>
      </c>
      <c r="E1218" s="27" t="n"/>
      <c r="F1218" s="29" t="n">
        <v>0</v>
      </c>
      <c r="G1218" s="29" t="n">
        <v>70</v>
      </c>
      <c r="H1218" s="27" t="inlineStr">
        <is>
          <t>Inclusive</t>
        </is>
      </c>
      <c r="I1218" s="29" t="n">
        <v>24</v>
      </c>
      <c r="J1218" s="27" t="inlineStr">
        <is>
          <t>Inclusive</t>
        </is>
      </c>
      <c r="K1218" s="29" t="n">
        <v>80</v>
      </c>
      <c r="L1218" s="29" t="n">
        <v>195</v>
      </c>
      <c r="M1218" s="33" t="n">
        <v>1</v>
      </c>
      <c r="N1218" s="27" t="inlineStr">
        <is>
          <t>Yes</t>
        </is>
      </c>
      <c r="O1218" s="29" t="n">
        <v>0</v>
      </c>
      <c r="P1218" s="30" t="n">
        <v>450</v>
      </c>
      <c r="Q1218" s="31" t="inlineStr">
        <is>
          <t>In Stock</t>
        </is>
      </c>
      <c r="R1218" s="27" t="n"/>
      <c r="S1218" s="27" t="n"/>
      <c r="T1218" s="27" t="n"/>
      <c r="U1218" s="27" t="n"/>
      <c r="V1218" s="27" t="n"/>
      <c r="W1218" s="27" t="n"/>
      <c r="X1218" s="27" t="n"/>
      <c r="Y1218" s="27" t="n"/>
      <c r="Z1218" s="27" t="n"/>
    </row>
    <row r="1219" ht="12.5" customHeight="1" s="85">
      <c r="A1219" s="27" t="inlineStr">
        <is>
          <t>WALL TEXT SMALL A4</t>
        </is>
      </c>
      <c r="B1219" s="27" t="n"/>
      <c r="C1219" s="27" t="inlineStr">
        <is>
          <t>Church Articles</t>
        </is>
      </c>
      <c r="D1219" s="32" t="inlineStr">
        <is>
          <t>100460</t>
        </is>
      </c>
      <c r="E1219" s="27" t="n"/>
      <c r="F1219" s="29" t="n">
        <v>0</v>
      </c>
      <c r="G1219" s="29" t="n">
        <v>50</v>
      </c>
      <c r="H1219" s="27" t="inlineStr">
        <is>
          <t>Inclusive</t>
        </is>
      </c>
      <c r="I1219" s="29" t="n">
        <v>15</v>
      </c>
      <c r="J1219" s="27" t="inlineStr">
        <is>
          <t>Inclusive</t>
        </is>
      </c>
      <c r="K1219" s="29" t="n">
        <v>60</v>
      </c>
      <c r="L1219" s="29" t="n">
        <v>0</v>
      </c>
      <c r="M1219" s="33" t="n">
        <v>1</v>
      </c>
      <c r="N1219" s="27" t="inlineStr">
        <is>
          <t>Yes</t>
        </is>
      </c>
      <c r="O1219" s="29" t="n">
        <v>0</v>
      </c>
      <c r="P1219" s="30" t="n">
        <v>450</v>
      </c>
      <c r="Q1219" s="31" t="inlineStr">
        <is>
          <t>In Stock</t>
        </is>
      </c>
      <c r="R1219" s="27" t="n"/>
      <c r="S1219" s="27" t="n"/>
      <c r="T1219" s="27" t="n"/>
      <c r="U1219" s="27" t="n"/>
      <c r="V1219" s="27" t="n"/>
      <c r="W1219" s="27" t="n"/>
      <c r="X1219" s="27" t="n"/>
      <c r="Y1219" s="27" t="n"/>
      <c r="Z1219" s="27" t="n"/>
    </row>
    <row r="1220" ht="12.5" customHeight="1" s="85">
      <c r="A1220" s="27" t="inlineStr">
        <is>
          <t>WATER BOTTLE 1LTR</t>
        </is>
      </c>
      <c r="B1220" s="27" t="n"/>
      <c r="C1220" s="27" t="inlineStr">
        <is>
          <t>Household &amp; Cleaning</t>
        </is>
      </c>
      <c r="D1220" s="28" t="inlineStr">
        <is>
          <t>8901764082405</t>
        </is>
      </c>
      <c r="E1220" s="27" t="n"/>
      <c r="F1220" s="29" t="n">
        <v>0</v>
      </c>
      <c r="G1220" s="29" t="n">
        <v>20</v>
      </c>
      <c r="H1220" s="27" t="inlineStr">
        <is>
          <t>Exclusive</t>
        </is>
      </c>
      <c r="I1220" s="29" t="n">
        <v>13</v>
      </c>
      <c r="J1220" s="27" t="inlineStr">
        <is>
          <t>Exclusive</t>
        </is>
      </c>
      <c r="K1220" s="29" t="n">
        <v>20</v>
      </c>
      <c r="L1220" s="29" t="n">
        <v>6</v>
      </c>
      <c r="M1220" s="33" t="n">
        <v>1</v>
      </c>
      <c r="N1220" s="27" t="inlineStr">
        <is>
          <t>Yes</t>
        </is>
      </c>
      <c r="O1220" s="29" t="n">
        <v>0</v>
      </c>
      <c r="P1220" s="30" t="n">
        <v>450</v>
      </c>
      <c r="Q1220" s="31" t="inlineStr">
        <is>
          <t>In Stock</t>
        </is>
      </c>
      <c r="R1220" s="27" t="n"/>
      <c r="S1220" s="27" t="n"/>
      <c r="T1220" s="27" t="n"/>
      <c r="U1220" s="27" t="n"/>
      <c r="V1220" s="27" t="n"/>
      <c r="W1220" s="27" t="n"/>
      <c r="X1220" s="27" t="n"/>
      <c r="Y1220" s="27" t="n"/>
      <c r="Z1220" s="27" t="n"/>
    </row>
    <row r="1221" ht="12.5" customHeight="1" s="85">
      <c r="A1221" s="27" t="inlineStr">
        <is>
          <t>WATER COLOUR</t>
        </is>
      </c>
      <c r="B1221" s="27" t="n"/>
      <c r="C1221" s="27" t="inlineStr">
        <is>
          <t>Stationery</t>
        </is>
      </c>
      <c r="D1221" s="32" t="inlineStr">
        <is>
          <t>100461</t>
        </is>
      </c>
      <c r="E1221" s="27" t="n"/>
      <c r="F1221" s="29" t="n">
        <v>0</v>
      </c>
      <c r="G1221" s="29" t="n">
        <v>10</v>
      </c>
      <c r="H1221" s="27" t="inlineStr">
        <is>
          <t>Exclusive</t>
        </is>
      </c>
      <c r="I1221" s="29" t="n">
        <v>8</v>
      </c>
      <c r="J1221" s="27" t="inlineStr">
        <is>
          <t>Exclusive</t>
        </is>
      </c>
      <c r="K1221" s="29" t="n">
        <v>10</v>
      </c>
      <c r="L1221" s="29" t="n">
        <v>15</v>
      </c>
      <c r="M1221" s="33" t="n">
        <v>1</v>
      </c>
      <c r="N1221" s="27" t="inlineStr">
        <is>
          <t>No</t>
        </is>
      </c>
      <c r="O1221" s="29" t="n">
        <v>0</v>
      </c>
      <c r="P1221" s="30" t="n">
        <v>450</v>
      </c>
      <c r="Q1221" s="31" t="inlineStr">
        <is>
          <t>In Stock</t>
        </is>
      </c>
      <c r="R1221" s="27" t="n"/>
      <c r="S1221" s="27" t="n"/>
      <c r="T1221" s="27" t="n"/>
      <c r="U1221" s="27" t="n"/>
      <c r="V1221" s="27" t="n"/>
      <c r="W1221" s="27" t="n"/>
      <c r="X1221" s="27" t="n"/>
      <c r="Y1221" s="27" t="n"/>
      <c r="Z1221" s="27" t="n"/>
    </row>
    <row r="1222" ht="12.5" customHeight="1" s="85">
      <c r="A1222" s="27" t="inlineStr">
        <is>
          <t>WATER PUMP</t>
        </is>
      </c>
      <c r="B1222" s="27" t="n"/>
      <c r="C1222" s="27" t="inlineStr">
        <is>
          <t>Electronics</t>
        </is>
      </c>
      <c r="D1222" s="28" t="inlineStr">
        <is>
          <t>6050870255875</t>
        </is>
      </c>
      <c r="E1222" s="27" t="n"/>
      <c r="F1222" s="29" t="n">
        <v>0</v>
      </c>
      <c r="G1222" s="29" t="n">
        <v>275</v>
      </c>
      <c r="H1222" s="27" t="inlineStr">
        <is>
          <t>Inclusive</t>
        </is>
      </c>
      <c r="I1222" s="29" t="n">
        <v>150</v>
      </c>
      <c r="J1222" s="27" t="inlineStr">
        <is>
          <t>Inclusive</t>
        </is>
      </c>
      <c r="K1222" s="29" t="n">
        <v>290</v>
      </c>
      <c r="L1222" s="29" t="n">
        <v>6</v>
      </c>
      <c r="M1222" s="33" t="n">
        <v>1</v>
      </c>
      <c r="N1222" s="27" t="inlineStr">
        <is>
          <t>No</t>
        </is>
      </c>
      <c r="O1222" s="29" t="n">
        <v>0</v>
      </c>
      <c r="P1222" s="30" t="n">
        <v>450</v>
      </c>
      <c r="Q1222" s="31" t="inlineStr">
        <is>
          <t>In Stock</t>
        </is>
      </c>
      <c r="R1222" s="27" t="n"/>
      <c r="S1222" s="27" t="n"/>
      <c r="T1222" s="27" t="n"/>
      <c r="U1222" s="27" t="n"/>
      <c r="V1222" s="27" t="n"/>
      <c r="W1222" s="27" t="n"/>
      <c r="X1222" s="27" t="n"/>
      <c r="Y1222" s="27" t="n"/>
      <c r="Z1222" s="27" t="n"/>
    </row>
    <row r="1223" ht="12.5" customHeight="1" s="85">
      <c r="A1223" s="27" t="inlineStr">
        <is>
          <t>WAX COLOR</t>
        </is>
      </c>
      <c r="B1223" s="27" t="n"/>
      <c r="C1223" s="27" t="inlineStr">
        <is>
          <t>Stationery</t>
        </is>
      </c>
      <c r="D1223" s="32" t="inlineStr">
        <is>
          <t>100462</t>
        </is>
      </c>
      <c r="E1223" s="27" t="n"/>
      <c r="F1223" s="29" t="n">
        <v>0</v>
      </c>
      <c r="G1223" s="29" t="n">
        <v>12</v>
      </c>
      <c r="H1223" s="27" t="inlineStr">
        <is>
          <t>Exclusive</t>
        </is>
      </c>
      <c r="I1223" s="29" t="n">
        <v>10</v>
      </c>
      <c r="J1223" s="27" t="inlineStr">
        <is>
          <t>Exclusive</t>
        </is>
      </c>
      <c r="K1223" s="29" t="n">
        <v>12</v>
      </c>
      <c r="L1223" s="29" t="n">
        <v>9</v>
      </c>
      <c r="M1223" s="33" t="n">
        <v>1</v>
      </c>
      <c r="N1223" s="27" t="inlineStr">
        <is>
          <t>No</t>
        </is>
      </c>
      <c r="O1223" s="29" t="n">
        <v>0</v>
      </c>
      <c r="P1223" s="30" t="n">
        <v>450</v>
      </c>
      <c r="Q1223" s="31" t="inlineStr">
        <is>
          <t>In Stock</t>
        </is>
      </c>
      <c r="R1223" s="27" t="n"/>
      <c r="S1223" s="27" t="n"/>
      <c r="T1223" s="27" t="n"/>
      <c r="U1223" s="27" t="n"/>
      <c r="V1223" s="27" t="n"/>
      <c r="W1223" s="27" t="n"/>
      <c r="X1223" s="27" t="n"/>
      <c r="Y1223" s="27" t="n"/>
      <c r="Z1223" s="27" t="n"/>
    </row>
    <row r="1224" ht="12.5" customHeight="1" s="85">
      <c r="A1224" s="27" t="inlineStr">
        <is>
          <t>WEIKFIELD CUSTARD POWDER 100GM</t>
        </is>
      </c>
      <c r="B1224" s="27" t="n"/>
      <c r="C1224" s="27" t="inlineStr">
        <is>
          <t>Ready to Eat &amp; Mixes</t>
        </is>
      </c>
      <c r="D1224" s="28" t="inlineStr">
        <is>
          <t>8901808000068</t>
        </is>
      </c>
      <c r="E1224" s="27" t="n"/>
      <c r="F1224" s="29" t="n">
        <v>0</v>
      </c>
      <c r="G1224" s="29" t="n">
        <v>43</v>
      </c>
      <c r="H1224" s="27" t="inlineStr">
        <is>
          <t>Exclusive</t>
        </is>
      </c>
      <c r="I1224" s="29" t="n">
        <v>40</v>
      </c>
      <c r="J1224" s="27" t="inlineStr">
        <is>
          <t>Exclusive</t>
        </is>
      </c>
      <c r="K1224" s="29" t="n">
        <v>43</v>
      </c>
      <c r="L1224" s="29" t="n">
        <v>0</v>
      </c>
      <c r="M1224" s="33" t="n">
        <v>1</v>
      </c>
      <c r="N1224" s="27" t="inlineStr">
        <is>
          <t>Yes</t>
        </is>
      </c>
      <c r="O1224" s="29" t="n">
        <v>0</v>
      </c>
      <c r="P1224" s="30" t="n">
        <v>450</v>
      </c>
      <c r="Q1224" s="31" t="inlineStr">
        <is>
          <t>In Stock</t>
        </is>
      </c>
      <c r="R1224" s="27" t="n"/>
      <c r="S1224" s="27" t="n"/>
      <c r="T1224" s="27" t="n"/>
      <c r="U1224" s="27" t="n"/>
      <c r="V1224" s="27" t="n"/>
      <c r="W1224" s="27" t="n"/>
      <c r="X1224" s="27" t="n"/>
      <c r="Y1224" s="27" t="n"/>
      <c r="Z1224" s="27" t="n"/>
    </row>
    <row r="1225" ht="12.5" customHeight="1" s="85">
      <c r="A1225" s="27" t="inlineStr">
        <is>
          <t>WHERE IS THE BEAR</t>
        </is>
      </c>
      <c r="B1225" s="27" t="n"/>
      <c r="C1225" s="27" t="inlineStr">
        <is>
          <t>Books &amp; Bibles</t>
        </is>
      </c>
      <c r="D1225" s="32" t="inlineStr">
        <is>
          <t>100463</t>
        </is>
      </c>
      <c r="E1225" s="27" t="n"/>
      <c r="F1225" s="29" t="n">
        <v>0</v>
      </c>
      <c r="G1225" s="29" t="n">
        <v>200</v>
      </c>
      <c r="H1225" s="27" t="inlineStr">
        <is>
          <t>Exclusive</t>
        </is>
      </c>
      <c r="I1225" s="29" t="n">
        <v>100</v>
      </c>
      <c r="J1225" s="27" t="inlineStr">
        <is>
          <t>Exclusive</t>
        </is>
      </c>
      <c r="K1225" s="29" t="n">
        <v>200</v>
      </c>
      <c r="L1225" s="29" t="n">
        <v>5</v>
      </c>
      <c r="M1225" s="33" t="n">
        <v>1</v>
      </c>
      <c r="N1225" s="27" t="inlineStr">
        <is>
          <t>Yes</t>
        </is>
      </c>
      <c r="O1225" s="29" t="n">
        <v>0</v>
      </c>
      <c r="P1225" s="30" t="n">
        <v>450</v>
      </c>
      <c r="Q1225" s="31" t="inlineStr">
        <is>
          <t>In Stock</t>
        </is>
      </c>
      <c r="R1225" s="27" t="n"/>
      <c r="S1225" s="27" t="n"/>
      <c r="T1225" s="27" t="n"/>
      <c r="U1225" s="27" t="n"/>
      <c r="V1225" s="27" t="n"/>
      <c r="W1225" s="27" t="n"/>
      <c r="X1225" s="27" t="n"/>
      <c r="Y1225" s="27" t="n"/>
      <c r="Z1225" s="27" t="n"/>
    </row>
    <row r="1226" ht="12.5" customHeight="1" s="85">
      <c r="A1226" s="27" t="inlineStr">
        <is>
          <t>WHERE IS THE COIN CHILDREN BOOK</t>
        </is>
      </c>
      <c r="B1226" s="27" t="n"/>
      <c r="C1226" s="27" t="inlineStr">
        <is>
          <t>Books &amp; Bibles</t>
        </is>
      </c>
      <c r="D1226" s="32" t="inlineStr">
        <is>
          <t>100464</t>
        </is>
      </c>
      <c r="E1226" s="27" t="n"/>
      <c r="F1226" s="29" t="n">
        <v>0</v>
      </c>
      <c r="G1226" s="29" t="n">
        <v>200</v>
      </c>
      <c r="H1226" s="27" t="inlineStr">
        <is>
          <t>Exclusive</t>
        </is>
      </c>
      <c r="I1226" s="29" t="n">
        <v>100</v>
      </c>
      <c r="J1226" s="27" t="inlineStr">
        <is>
          <t>Exclusive</t>
        </is>
      </c>
      <c r="K1226" s="29" t="n">
        <v>200</v>
      </c>
      <c r="L1226" s="29" t="n">
        <v>3</v>
      </c>
      <c r="M1226" s="33" t="n">
        <v>1</v>
      </c>
      <c r="N1226" s="27" t="inlineStr">
        <is>
          <t>Yes</t>
        </is>
      </c>
      <c r="O1226" s="29" t="n">
        <v>0</v>
      </c>
      <c r="P1226" s="30" t="n">
        <v>450</v>
      </c>
      <c r="Q1226" s="31" t="inlineStr">
        <is>
          <t>In Stock</t>
        </is>
      </c>
      <c r="R1226" s="27" t="n"/>
      <c r="S1226" s="27" t="n"/>
      <c r="T1226" s="27" t="n"/>
      <c r="U1226" s="27" t="n"/>
      <c r="V1226" s="27" t="n"/>
      <c r="W1226" s="27" t="n"/>
      <c r="X1226" s="27" t="n"/>
      <c r="Y1226" s="27" t="n"/>
      <c r="Z1226" s="27" t="n"/>
    </row>
    <row r="1227" ht="12.5" customHeight="1" s="85">
      <c r="A1227" s="27" t="inlineStr">
        <is>
          <t>WHERE IS THE SHEEP CHILDREN BOOK</t>
        </is>
      </c>
      <c r="B1227" s="27" t="n"/>
      <c r="C1227" s="27" t="inlineStr">
        <is>
          <t>Books &amp; Bibles</t>
        </is>
      </c>
      <c r="D1227" s="32" t="inlineStr">
        <is>
          <t>100465</t>
        </is>
      </c>
      <c r="E1227" s="27" t="n"/>
      <c r="F1227" s="29" t="n">
        <v>0</v>
      </c>
      <c r="G1227" s="29" t="n">
        <v>200</v>
      </c>
      <c r="H1227" s="27" t="inlineStr">
        <is>
          <t>Exclusive</t>
        </is>
      </c>
      <c r="I1227" s="29" t="n">
        <v>100</v>
      </c>
      <c r="J1227" s="27" t="inlineStr">
        <is>
          <t>Exclusive</t>
        </is>
      </c>
      <c r="K1227" s="29" t="n">
        <v>200</v>
      </c>
      <c r="L1227" s="29" t="n">
        <v>4</v>
      </c>
      <c r="M1227" s="33" t="n">
        <v>1</v>
      </c>
      <c r="N1227" s="27" t="inlineStr">
        <is>
          <t>Yes</t>
        </is>
      </c>
      <c r="O1227" s="29" t="n">
        <v>0</v>
      </c>
      <c r="P1227" s="30" t="n">
        <v>450</v>
      </c>
      <c r="Q1227" s="31" t="inlineStr">
        <is>
          <t>In Stock</t>
        </is>
      </c>
      <c r="R1227" s="27" t="n"/>
      <c r="S1227" s="27" t="n"/>
      <c r="T1227" s="27" t="n"/>
      <c r="U1227" s="27" t="n"/>
      <c r="V1227" s="27" t="n"/>
      <c r="W1227" s="27" t="n"/>
      <c r="X1227" s="27" t="n"/>
      <c r="Y1227" s="27" t="n"/>
      <c r="Z1227" s="27" t="n"/>
    </row>
    <row r="1228" ht="12.5" customHeight="1" s="85">
      <c r="A1228" s="27" t="inlineStr">
        <is>
          <t>WHITENER</t>
        </is>
      </c>
      <c r="B1228" s="27" t="n"/>
      <c r="C1228" s="27" t="inlineStr">
        <is>
          <t>Stationery</t>
        </is>
      </c>
      <c r="D1228" s="32" t="inlineStr">
        <is>
          <t>100466</t>
        </is>
      </c>
      <c r="E1228" s="27" t="n"/>
      <c r="F1228" s="29" t="n">
        <v>0</v>
      </c>
      <c r="G1228" s="29" t="n">
        <v>15</v>
      </c>
      <c r="H1228" s="27" t="inlineStr">
        <is>
          <t>Exclusive</t>
        </is>
      </c>
      <c r="I1228" s="29" t="n">
        <v>12</v>
      </c>
      <c r="J1228" s="27" t="inlineStr">
        <is>
          <t>Exclusive</t>
        </is>
      </c>
      <c r="K1228" s="29" t="n">
        <v>15</v>
      </c>
      <c r="L1228" s="29" t="n">
        <v>9</v>
      </c>
      <c r="M1228" s="33" t="n">
        <v>1</v>
      </c>
      <c r="N1228" s="27" t="inlineStr">
        <is>
          <t>No</t>
        </is>
      </c>
      <c r="O1228" s="29" t="n">
        <v>0</v>
      </c>
      <c r="P1228" s="30" t="n">
        <v>450</v>
      </c>
      <c r="Q1228" s="31" t="inlineStr">
        <is>
          <t>In Stock</t>
        </is>
      </c>
      <c r="R1228" s="27" t="n"/>
      <c r="S1228" s="27" t="n"/>
      <c r="T1228" s="27" t="n"/>
      <c r="U1228" s="27" t="n"/>
      <c r="V1228" s="27" t="n"/>
      <c r="W1228" s="27" t="n"/>
      <c r="X1228" s="27" t="n"/>
      <c r="Y1228" s="27" t="n"/>
      <c r="Z1228" s="27" t="n"/>
    </row>
    <row r="1229" ht="12.5" customHeight="1" s="85">
      <c r="A1229" s="27" t="inlineStr">
        <is>
          <t>WINKIN COW COLD COFFEE</t>
        </is>
      </c>
      <c r="B1229" s="27" t="n"/>
      <c r="C1229" s="27" t="inlineStr">
        <is>
          <t>Beverages</t>
        </is>
      </c>
      <c r="D1229" s="32" t="inlineStr">
        <is>
          <t>100467</t>
        </is>
      </c>
      <c r="E1229" s="27" t="n"/>
      <c r="F1229" s="29" t="n">
        <v>0</v>
      </c>
      <c r="G1229" s="29" t="n">
        <v>40</v>
      </c>
      <c r="H1229" s="27" t="inlineStr">
        <is>
          <t>Exclusive</t>
        </is>
      </c>
      <c r="I1229" s="29" t="n">
        <v>37</v>
      </c>
      <c r="J1229" s="27" t="inlineStr">
        <is>
          <t>Exclusive</t>
        </is>
      </c>
      <c r="K1229" s="29" t="n">
        <v>40</v>
      </c>
      <c r="L1229" s="29" t="n">
        <v>1</v>
      </c>
      <c r="M1229" s="33" t="n">
        <v>1</v>
      </c>
      <c r="N1229" s="27" t="inlineStr">
        <is>
          <t>Yes</t>
        </is>
      </c>
      <c r="O1229" s="29" t="n">
        <v>0</v>
      </c>
      <c r="P1229" s="30" t="n">
        <v>450</v>
      </c>
      <c r="Q1229" s="31" t="inlineStr">
        <is>
          <t>In Stock</t>
        </is>
      </c>
      <c r="R1229" s="27" t="n"/>
      <c r="S1229" s="27" t="n"/>
      <c r="T1229" s="27" t="n"/>
      <c r="U1229" s="27" t="n"/>
      <c r="V1229" s="27" t="n"/>
      <c r="W1229" s="27" t="n"/>
      <c r="X1229" s="27" t="n"/>
      <c r="Y1229" s="27" t="n"/>
      <c r="Z1229" s="27" t="n"/>
    </row>
    <row r="1230" ht="12.5" customHeight="1" s="85">
      <c r="A1230" s="27" t="inlineStr">
        <is>
          <t>WIN KINDLY COW BOURBON SHAKE</t>
        </is>
      </c>
      <c r="B1230" s="27" t="n"/>
      <c r="C1230" s="27" t="inlineStr">
        <is>
          <t>Beverages</t>
        </is>
      </c>
      <c r="D1230" s="28" t="inlineStr">
        <is>
          <t>8901063146709</t>
        </is>
      </c>
      <c r="E1230" s="27" t="n"/>
      <c r="F1230" s="29" t="n">
        <v>0</v>
      </c>
      <c r="G1230" s="29" t="n">
        <v>40</v>
      </c>
      <c r="H1230" s="27" t="inlineStr">
        <is>
          <t>Exclusive</t>
        </is>
      </c>
      <c r="I1230" s="29" t="n">
        <v>37</v>
      </c>
      <c r="J1230" s="27" t="inlineStr">
        <is>
          <t>Exclusive</t>
        </is>
      </c>
      <c r="K1230" s="29" t="n">
        <v>40</v>
      </c>
      <c r="L1230" s="29" t="n">
        <v>3</v>
      </c>
      <c r="M1230" s="33" t="n">
        <v>1</v>
      </c>
      <c r="N1230" s="27" t="inlineStr">
        <is>
          <t>Yes</t>
        </is>
      </c>
      <c r="O1230" s="29" t="n">
        <v>0</v>
      </c>
      <c r="P1230" s="30" t="n">
        <v>450</v>
      </c>
      <c r="Q1230" s="31" t="inlineStr">
        <is>
          <t>In Stock</t>
        </is>
      </c>
      <c r="R1230" s="27" t="n"/>
      <c r="S1230" s="27" t="n"/>
      <c r="T1230" s="27" t="n"/>
      <c r="U1230" s="27" t="n"/>
      <c r="V1230" s="27" t="n"/>
      <c r="W1230" s="27" t="n"/>
      <c r="X1230" s="27" t="n"/>
      <c r="Y1230" s="27" t="n"/>
      <c r="Z1230" s="27" t="n"/>
    </row>
    <row r="1231" ht="12.5" customHeight="1" s="85">
      <c r="A1231" s="27" t="inlineStr">
        <is>
          <t>WM TUNA CHUNKS IN WATER</t>
        </is>
      </c>
      <c r="B1231" s="27" t="n"/>
      <c r="C1231" s="27" t="inlineStr">
        <is>
          <t>Fish &amp; Meat</t>
        </is>
      </c>
      <c r="D1231" s="28" t="inlineStr">
        <is>
          <t>8907093002688</t>
        </is>
      </c>
      <c r="E1231" s="27" t="n"/>
      <c r="F1231" s="29" t="n">
        <v>0</v>
      </c>
      <c r="G1231" s="29" t="n">
        <v>210</v>
      </c>
      <c r="H1231" s="27" t="inlineStr">
        <is>
          <t>Exclusive</t>
        </is>
      </c>
      <c r="I1231" s="29" t="n">
        <v>160</v>
      </c>
      <c r="J1231" s="27" t="inlineStr">
        <is>
          <t>Exclusive</t>
        </is>
      </c>
      <c r="K1231" s="29" t="n">
        <v>210</v>
      </c>
      <c r="L1231" s="29" t="n">
        <v>0</v>
      </c>
      <c r="M1231" s="33" t="n">
        <v>1</v>
      </c>
      <c r="N1231" s="27" t="inlineStr">
        <is>
          <t>Yes</t>
        </is>
      </c>
      <c r="O1231" s="29" t="n">
        <v>0</v>
      </c>
      <c r="P1231" s="30" t="n">
        <v>450</v>
      </c>
      <c r="Q1231" s="31" t="inlineStr">
        <is>
          <t>In Stock</t>
        </is>
      </c>
      <c r="R1231" s="27" t="n"/>
      <c r="S1231" s="27" t="n"/>
      <c r="T1231" s="27" t="n"/>
      <c r="U1231" s="27" t="n"/>
      <c r="V1231" s="27" t="n"/>
      <c r="W1231" s="27" t="n"/>
      <c r="X1231" s="27" t="n"/>
      <c r="Y1231" s="27" t="n"/>
      <c r="Z1231" s="27" t="n"/>
    </row>
    <row r="1232" ht="12.5" customHeight="1" s="85">
      <c r="A1232" s="27" t="inlineStr">
        <is>
          <t>WM TUNA FLAKES IN WATER</t>
        </is>
      </c>
      <c r="B1232" s="27" t="n"/>
      <c r="C1232" s="27" t="inlineStr">
        <is>
          <t>Fish &amp; Meat</t>
        </is>
      </c>
      <c r="D1232" s="28" t="inlineStr">
        <is>
          <t>8907093002718</t>
        </is>
      </c>
      <c r="E1232" s="27" t="n"/>
      <c r="F1232" s="29" t="n">
        <v>0</v>
      </c>
      <c r="G1232" s="29" t="n">
        <v>200</v>
      </c>
      <c r="H1232" s="27" t="inlineStr">
        <is>
          <t>Exclusive</t>
        </is>
      </c>
      <c r="I1232" s="29" t="n">
        <v>155</v>
      </c>
      <c r="J1232" s="27" t="inlineStr">
        <is>
          <t>Exclusive</t>
        </is>
      </c>
      <c r="K1232" s="29" t="n">
        <v>200</v>
      </c>
      <c r="L1232" s="29" t="n">
        <v>0</v>
      </c>
      <c r="M1232" s="33" t="n">
        <v>1</v>
      </c>
      <c r="N1232" s="27" t="inlineStr">
        <is>
          <t>Yes</t>
        </is>
      </c>
      <c r="O1232" s="29" t="n">
        <v>0</v>
      </c>
      <c r="P1232" s="30" t="n">
        <v>450</v>
      </c>
      <c r="Q1232" s="31" t="inlineStr">
        <is>
          <t>In Stock</t>
        </is>
      </c>
      <c r="R1232" s="27" t="n"/>
      <c r="S1232" s="27" t="n"/>
      <c r="T1232" s="27" t="n"/>
      <c r="U1232" s="27" t="n"/>
      <c r="V1232" s="27" t="n"/>
      <c r="W1232" s="27" t="n"/>
      <c r="X1232" s="27" t="n"/>
      <c r="Y1232" s="27" t="n"/>
      <c r="Z1232" s="27" t="n"/>
    </row>
    <row r="1233" ht="12.5" customHeight="1" s="85">
      <c r="A1233" s="27" t="inlineStr">
        <is>
          <t>WONDERFUL ENGLISH BIBLE</t>
        </is>
      </c>
      <c r="B1233" s="27" t="n"/>
      <c r="C1233" s="27" t="inlineStr">
        <is>
          <t>Books &amp; Bibles</t>
        </is>
      </c>
      <c r="D1233" s="28" t="inlineStr">
        <is>
          <t>778417483187</t>
        </is>
      </c>
      <c r="E1233" s="27" t="n"/>
      <c r="F1233" s="29" t="n">
        <v>0</v>
      </c>
      <c r="G1233" s="29" t="n">
        <v>400</v>
      </c>
      <c r="H1233" s="27" t="inlineStr">
        <is>
          <t>Exclusive</t>
        </is>
      </c>
      <c r="I1233" s="29" t="n">
        <v>210</v>
      </c>
      <c r="J1233" s="27" t="inlineStr">
        <is>
          <t>Exclusive</t>
        </is>
      </c>
      <c r="K1233" s="29" t="n">
        <v>400</v>
      </c>
      <c r="L1233" s="29" t="n">
        <v>33</v>
      </c>
      <c r="M1233" s="33" t="n">
        <v>1</v>
      </c>
      <c r="N1233" s="27" t="inlineStr">
        <is>
          <t>Yes</t>
        </is>
      </c>
      <c r="O1233" s="29" t="n">
        <v>0</v>
      </c>
      <c r="P1233" s="30" t="n">
        <v>450</v>
      </c>
      <c r="Q1233" s="31" t="inlineStr">
        <is>
          <t>In Stock</t>
        </is>
      </c>
      <c r="R1233" s="27" t="n"/>
      <c r="S1233" s="27" t="n"/>
      <c r="T1233" s="27" t="n"/>
      <c r="U1233" s="27" t="n"/>
      <c r="V1233" s="27" t="n"/>
      <c r="W1233" s="27" t="n"/>
      <c r="X1233" s="27" t="n"/>
      <c r="Y1233" s="27" t="n"/>
      <c r="Z1233" s="27" t="n"/>
    </row>
    <row r="1234" ht="12.5" customHeight="1" s="85">
      <c r="A1234" s="27" t="inlineStr">
        <is>
          <t>WOOD CROSS BIG</t>
        </is>
      </c>
      <c r="B1234" s="27" t="n"/>
      <c r="C1234" s="27" t="inlineStr">
        <is>
          <t>Church Articles</t>
        </is>
      </c>
      <c r="D1234" s="32" t="inlineStr">
        <is>
          <t>100468</t>
        </is>
      </c>
      <c r="E1234" s="27" t="n"/>
      <c r="F1234" s="29" t="n">
        <v>0</v>
      </c>
      <c r="G1234" s="29" t="n">
        <v>30</v>
      </c>
      <c r="H1234" s="27" t="inlineStr">
        <is>
          <t>Exclusive</t>
        </is>
      </c>
      <c r="I1234" s="29" t="n">
        <v>15</v>
      </c>
      <c r="J1234" s="27" t="inlineStr">
        <is>
          <t>Exclusive</t>
        </is>
      </c>
      <c r="K1234" s="29" t="n">
        <v>35</v>
      </c>
      <c r="L1234" s="29" t="n">
        <v>5</v>
      </c>
      <c r="M1234" s="33" t="n">
        <v>1</v>
      </c>
      <c r="N1234" s="27" t="inlineStr">
        <is>
          <t>No</t>
        </is>
      </c>
      <c r="O1234" s="29" t="n">
        <v>0</v>
      </c>
      <c r="P1234" s="30" t="n">
        <v>450</v>
      </c>
      <c r="Q1234" s="31" t="inlineStr">
        <is>
          <t>In Stock</t>
        </is>
      </c>
      <c r="R1234" s="27" t="n"/>
      <c r="S1234" s="27" t="n"/>
      <c r="T1234" s="27" t="n"/>
      <c r="U1234" s="27" t="n"/>
      <c r="V1234" s="27" t="n"/>
      <c r="W1234" s="27" t="n"/>
      <c r="X1234" s="27" t="n"/>
      <c r="Y1234" s="27" t="n"/>
      <c r="Z1234" s="27" t="n"/>
    </row>
    <row r="1235" ht="12.5" customHeight="1" s="85">
      <c r="A1235" s="27" t="inlineStr">
        <is>
          <t>XMAS BANNER BIG SIZE</t>
        </is>
      </c>
      <c r="B1235" s="27" t="n"/>
      <c r="C1235" s="27" t="inlineStr">
        <is>
          <t>Church Articles</t>
        </is>
      </c>
      <c r="D1235" s="28" t="inlineStr">
        <is>
          <t>150131875741</t>
        </is>
      </c>
      <c r="E1235" s="27" t="n"/>
      <c r="F1235" s="29" t="n">
        <v>0</v>
      </c>
      <c r="G1235" s="29" t="n">
        <v>120</v>
      </c>
      <c r="H1235" s="27" t="inlineStr">
        <is>
          <t>Exclusive</t>
        </is>
      </c>
      <c r="I1235" s="29" t="n">
        <v>90</v>
      </c>
      <c r="J1235" s="27" t="inlineStr">
        <is>
          <t>Inclusive</t>
        </is>
      </c>
      <c r="K1235" s="29" t="n">
        <v>150</v>
      </c>
      <c r="L1235" s="29" t="n">
        <v>10</v>
      </c>
      <c r="M1235" s="33" t="n">
        <v>1</v>
      </c>
      <c r="N1235" s="27" t="inlineStr">
        <is>
          <t>Yes</t>
        </is>
      </c>
      <c r="O1235" s="29" t="n">
        <v>0</v>
      </c>
      <c r="P1235" s="30" t="n">
        <v>450</v>
      </c>
      <c r="Q1235" s="31" t="inlineStr">
        <is>
          <t>In Stock</t>
        </is>
      </c>
      <c r="R1235" s="27" t="n"/>
      <c r="S1235" s="27" t="n"/>
      <c r="T1235" s="27" t="n"/>
      <c r="U1235" s="27" t="n"/>
      <c r="V1235" s="27" t="n"/>
      <c r="W1235" s="27" t="n"/>
      <c r="X1235" s="27" t="n"/>
      <c r="Y1235" s="27" t="n"/>
      <c r="Z1235" s="27" t="n"/>
    </row>
    <row r="1236" ht="12.5" customHeight="1" s="85">
      <c r="A1236" s="27" t="inlineStr">
        <is>
          <t>XMAS MASK</t>
        </is>
      </c>
      <c r="B1236" s="27" t="n"/>
      <c r="C1236" s="27" t="inlineStr">
        <is>
          <t>Church Articles</t>
        </is>
      </c>
      <c r="D1236" s="28" t="inlineStr">
        <is>
          <t>9158458969</t>
        </is>
      </c>
      <c r="E1236" s="27" t="n"/>
      <c r="F1236" s="29" t="n">
        <v>0</v>
      </c>
      <c r="G1236" s="29" t="n">
        <v>10</v>
      </c>
      <c r="H1236" s="27" t="inlineStr">
        <is>
          <t>Exclusive</t>
        </is>
      </c>
      <c r="I1236" s="29" t="n">
        <v>4</v>
      </c>
      <c r="J1236" s="27" t="inlineStr">
        <is>
          <t>Inclusive</t>
        </is>
      </c>
      <c r="K1236" s="29" t="n">
        <v>10</v>
      </c>
      <c r="L1236" s="29" t="n">
        <v>21</v>
      </c>
      <c r="M1236" s="33" t="n">
        <v>1</v>
      </c>
      <c r="N1236" s="27" t="inlineStr">
        <is>
          <t>Yes</t>
        </is>
      </c>
      <c r="O1236" s="29" t="n">
        <v>0</v>
      </c>
      <c r="P1236" s="30" t="n">
        <v>450</v>
      </c>
      <c r="Q1236" s="31" t="inlineStr">
        <is>
          <t>In Stock</t>
        </is>
      </c>
      <c r="R1236" s="27" t="n"/>
      <c r="S1236" s="27" t="n"/>
      <c r="T1236" s="27" t="n"/>
      <c r="U1236" s="27" t="n"/>
      <c r="V1236" s="27" t="n"/>
      <c r="W1236" s="27" t="n"/>
      <c r="X1236" s="27" t="n"/>
      <c r="Y1236" s="27" t="n"/>
      <c r="Z1236" s="27" t="n"/>
    </row>
    <row r="1237" ht="12.5" customHeight="1" s="85">
      <c r="A1237" s="27" t="inlineStr">
        <is>
          <t>XMAS TREE BIG SIZE</t>
        </is>
      </c>
      <c r="B1237" s="27" t="n"/>
      <c r="C1237" s="27" t="inlineStr">
        <is>
          <t>Church Articles</t>
        </is>
      </c>
      <c r="D1237" s="28" t="inlineStr">
        <is>
          <t>734457088513</t>
        </is>
      </c>
      <c r="E1237" s="27" t="n"/>
      <c r="F1237" s="29" t="n">
        <v>0</v>
      </c>
      <c r="G1237" s="29" t="n">
        <v>200</v>
      </c>
      <c r="H1237" s="27" t="inlineStr">
        <is>
          <t>Exclusive</t>
        </is>
      </c>
      <c r="I1237" s="29" t="n">
        <v>100</v>
      </c>
      <c r="J1237" s="27" t="inlineStr">
        <is>
          <t>Inclusive</t>
        </is>
      </c>
      <c r="K1237" s="29" t="n">
        <v>250</v>
      </c>
      <c r="L1237" s="29" t="n">
        <v>4</v>
      </c>
      <c r="M1237" s="33" t="n">
        <v>1</v>
      </c>
      <c r="N1237" s="27" t="inlineStr">
        <is>
          <t>Yes</t>
        </is>
      </c>
      <c r="O1237" s="29" t="n">
        <v>0</v>
      </c>
      <c r="P1237" s="30" t="n">
        <v>450</v>
      </c>
      <c r="Q1237" s="31" t="inlineStr">
        <is>
          <t>In Stock</t>
        </is>
      </c>
      <c r="R1237" s="27" t="n"/>
      <c r="S1237" s="27" t="n"/>
      <c r="T1237" s="27" t="n"/>
      <c r="U1237" s="27" t="n"/>
      <c r="V1237" s="27" t="n"/>
      <c r="W1237" s="27" t="n"/>
      <c r="X1237" s="27" t="n"/>
      <c r="Y1237" s="27" t="n"/>
      <c r="Z1237" s="27" t="n"/>
    </row>
    <row r="1238" ht="12.5" customHeight="1" s="85">
      <c r="A1238" s="27" t="inlineStr">
        <is>
          <t>YOUTUBE FAMILY SUBSCRIPTION</t>
        </is>
      </c>
      <c r="B1238" s="27" t="n"/>
      <c r="C1238" s="27" t="inlineStr">
        <is>
          <t>Household &amp; Cleaning</t>
        </is>
      </c>
      <c r="D1238" s="32" t="inlineStr">
        <is>
          <t>100469</t>
        </is>
      </c>
      <c r="E1238" s="27" t="n"/>
      <c r="F1238" s="29" t="n">
        <v>0</v>
      </c>
      <c r="G1238" s="29" t="n">
        <v>50</v>
      </c>
      <c r="H1238" s="27" t="inlineStr">
        <is>
          <t>Exclusive</t>
        </is>
      </c>
      <c r="I1238" s="29" t="n">
        <v>40</v>
      </c>
      <c r="J1238" s="27" t="inlineStr">
        <is>
          <t>Exclusive</t>
        </is>
      </c>
      <c r="K1238" s="29" t="n">
        <v>100</v>
      </c>
      <c r="L1238" s="29" t="n">
        <v>0</v>
      </c>
      <c r="M1238" s="33" t="n">
        <v>1</v>
      </c>
      <c r="N1238" s="27" t="inlineStr">
        <is>
          <t>Yes</t>
        </is>
      </c>
      <c r="O1238" s="29" t="n">
        <v>0</v>
      </c>
      <c r="P1238" s="30" t="n">
        <v>450</v>
      </c>
      <c r="Q1238" s="31" t="inlineStr">
        <is>
          <t>In Stock</t>
        </is>
      </c>
      <c r="R1238" s="27" t="n"/>
      <c r="S1238" s="27" t="n"/>
      <c r="T1238" s="27" t="n"/>
      <c r="U1238" s="27" t="n"/>
      <c r="V1238" s="27" t="n"/>
      <c r="W1238" s="27" t="n"/>
      <c r="X1238" s="27" t="n"/>
      <c r="Y1238" s="27" t="n"/>
      <c r="Z1238" s="27" t="n"/>
    </row>
    <row r="1239" ht="12.5" customHeight="1" s="85">
      <c r="A1239" s="27" t="inlineStr">
        <is>
          <t>ZIO FIT ALMONDS BADAAM 200GM</t>
        </is>
      </c>
      <c r="B1239" s="27" t="n"/>
      <c r="C1239" s="27" t="inlineStr">
        <is>
          <t>Snacks</t>
        </is>
      </c>
      <c r="D1239" s="28" t="inlineStr">
        <is>
          <t>8906081122827</t>
        </is>
      </c>
      <c r="E1239" s="27" t="n"/>
      <c r="F1239" s="29" t="n">
        <v>0</v>
      </c>
      <c r="G1239" s="29" t="n">
        <v>335</v>
      </c>
      <c r="H1239" s="27" t="inlineStr">
        <is>
          <t>Exclusive</t>
        </is>
      </c>
      <c r="I1239" s="29" t="n">
        <v>295</v>
      </c>
      <c r="J1239" s="27" t="inlineStr">
        <is>
          <t>Exclusive</t>
        </is>
      </c>
      <c r="K1239" s="29" t="n">
        <v>395</v>
      </c>
      <c r="L1239" s="29" t="n">
        <v>2</v>
      </c>
      <c r="M1239" s="33" t="n">
        <v>1</v>
      </c>
      <c r="N1239" s="27" t="inlineStr">
        <is>
          <t>Yes</t>
        </is>
      </c>
      <c r="O1239" s="29" t="n">
        <v>0</v>
      </c>
      <c r="P1239" s="30" t="n">
        <v>450</v>
      </c>
      <c r="Q1239" s="31" t="inlineStr">
        <is>
          <t>In Stock</t>
        </is>
      </c>
      <c r="R1239" s="27" t="n"/>
      <c r="S1239" s="27" t="n"/>
      <c r="T1239" s="27" t="n"/>
      <c r="U1239" s="27" t="n"/>
      <c r="V1239" s="27" t="n"/>
      <c r="W1239" s="27" t="n"/>
      <c r="X1239" s="27" t="n"/>
      <c r="Y1239" s="27" t="n"/>
      <c r="Z1239" s="27" t="n"/>
    </row>
    <row r="1240" ht="12.5" customHeight="1" s="85"/>
    <row r="1241" ht="12.5" customHeight="1" s="85"/>
    <row r="1242" ht="12.5" customHeight="1" s="85"/>
    <row r="1243" ht="12.5" customHeight="1" s="85"/>
    <row r="1244" ht="12.5" customHeight="1" s="85"/>
    <row r="1245" ht="12.5" customHeight="1" s="85"/>
    <row r="1246" ht="12.5" customHeight="1" s="85"/>
    <row r="1247" ht="12.5" customHeight="1" s="85"/>
    <row r="1248" ht="12.5" customHeight="1" s="85"/>
    <row r="1249" ht="12.5" customHeight="1" s="85"/>
    <row r="1250" ht="12.5" customHeight="1" s="85"/>
    <row r="1251" ht="12.5" customHeight="1" s="85"/>
    <row r="1252" ht="12.5" customHeight="1" s="85"/>
    <row r="1253" ht="12.5" customHeight="1" s="85"/>
    <row r="1254" ht="12.5" customHeight="1" s="85"/>
    <row r="1255" ht="12.5" customHeight="1" s="85"/>
    <row r="1256" ht="12.5" customHeight="1" s="85"/>
    <row r="1257" ht="12.5" customHeight="1" s="85"/>
    <row r="1258" ht="12.5" customHeight="1" s="85"/>
    <row r="1259" ht="12.5" customHeight="1" s="85"/>
    <row r="1260" ht="12.5" customHeight="1" s="85"/>
    <row r="1261" ht="12.5" customHeight="1" s="85"/>
    <row r="1262" ht="12.5" customHeight="1" s="85"/>
    <row r="1263" ht="12.5" customHeight="1" s="85"/>
    <row r="1264" ht="12.5" customHeight="1" s="85"/>
    <row r="1265" ht="12.5" customHeight="1" s="85"/>
    <row r="1266" ht="12.5" customHeight="1" s="85"/>
    <row r="1267" ht="12.5" customHeight="1" s="85"/>
    <row r="1268" ht="12.5" customHeight="1" s="85"/>
    <row r="1269" ht="12.5" customHeight="1" s="85"/>
    <row r="1270" ht="12.5" customHeight="1" s="85"/>
    <row r="1271" ht="12.5" customHeight="1" s="85"/>
    <row r="1272" ht="12.5" customHeight="1" s="85"/>
    <row r="1273" ht="12.5" customHeight="1" s="85"/>
    <row r="1274" ht="12.5" customHeight="1" s="85"/>
    <row r="1275" ht="12.5" customHeight="1" s="85"/>
    <row r="1276" ht="12.5" customHeight="1" s="85"/>
    <row r="1277" ht="12.5" customHeight="1" s="85"/>
    <row r="1278" ht="12.5" customHeight="1" s="85"/>
    <row r="1279" ht="12.5" customHeight="1" s="85"/>
    <row r="1280" ht="12.5" customHeight="1" s="85"/>
    <row r="1281" ht="12.5" customHeight="1" s="85"/>
    <row r="1282" ht="12.5" customHeight="1" s="85"/>
    <row r="1283" ht="12.5" customHeight="1" s="85"/>
    <row r="1284" ht="12.5" customHeight="1" s="85"/>
    <row r="1285" ht="12.5" customHeight="1" s="85"/>
    <row r="1286" ht="12.5" customHeight="1" s="85"/>
    <row r="1287" ht="12.5" customHeight="1" s="85"/>
    <row r="1288" ht="12.5" customHeight="1" s="85"/>
    <row r="1289" ht="12.5" customHeight="1" s="85"/>
    <row r="1290" ht="12.5" customHeight="1" s="85"/>
    <row r="1291" ht="12.5" customHeight="1" s="85"/>
    <row r="1292" ht="12.5" customHeight="1" s="85"/>
    <row r="1293" ht="12.5" customHeight="1" s="8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28125" defaultRowHeight="15.75" customHeight="1"/>
  <cols>
    <col width="17.7265625" customWidth="1" style="85" min="1" max="1"/>
    <col width="12" customWidth="1" style="85" min="2" max="2"/>
    <col width="25.08984375" customWidth="1" style="85" min="3" max="3"/>
    <col width="30.08984375" customWidth="1" style="85" min="4" max="4"/>
    <col width="11.36328125" customWidth="1" style="85" min="5" max="5"/>
    <col width="10.08984375" customWidth="1" style="85" min="6" max="6"/>
    <col width="12" customWidth="1" style="85" min="7" max="7"/>
    <col width="15.08984375" customWidth="1" style="85" min="8" max="8"/>
    <col width="11.36328125" customWidth="1" style="85" min="9" max="11"/>
    <col width="15.7265625" customWidth="1" style="85" min="12" max="12"/>
    <col width="13.90625" customWidth="1" style="85" min="13" max="13"/>
    <col width="22.6328125" customWidth="1" style="85" min="14" max="14"/>
  </cols>
  <sheetData>
    <row r="1" ht="24" customHeight="1" s="85">
      <c r="A1" s="35" t="inlineStr">
        <is>
          <t>Invoice No.</t>
        </is>
      </c>
      <c r="B1" s="35" t="inlineStr">
        <is>
          <t>Date</t>
        </is>
      </c>
      <c r="C1" s="36" t="inlineStr">
        <is>
          <t>Customer Name</t>
        </is>
      </c>
      <c r="D1" s="36" t="inlineStr">
        <is>
          <t>Item Name</t>
        </is>
      </c>
      <c r="E1" s="35" t="inlineStr">
        <is>
          <t>HSN Code</t>
        </is>
      </c>
      <c r="F1" s="37" t="inlineStr">
        <is>
          <t>Quantity</t>
        </is>
      </c>
      <c r="G1" s="37" t="inlineStr">
        <is>
          <t>Rate (₹)</t>
        </is>
      </c>
      <c r="H1" s="37" t="inlineStr">
        <is>
          <t>Taxable Value (₹)</t>
        </is>
      </c>
      <c r="I1" s="37" t="inlineStr">
        <is>
          <t>GST Rate (%)</t>
        </is>
      </c>
      <c r="J1" s="37" t="inlineStr">
        <is>
          <t>CGST (₹)</t>
        </is>
      </c>
      <c r="K1" s="37" t="inlineStr">
        <is>
          <t>SGST (₹)</t>
        </is>
      </c>
      <c r="L1" s="37" t="inlineStr">
        <is>
          <t>Total Amount (₹)</t>
        </is>
      </c>
      <c r="M1" s="35" t="inlineStr">
        <is>
          <t>Payment Status</t>
        </is>
      </c>
      <c r="N1" s="36" t="inlineStr">
        <is>
          <t>Payment Mode / Notes</t>
        </is>
      </c>
      <c r="O1" s="38" t="inlineStr">
        <is>
          <t>Unit Cost (₹)</t>
        </is>
      </c>
      <c r="P1" s="38" t="inlineStr">
        <is>
          <t>COGS (₹)</t>
        </is>
      </c>
      <c r="Q1" s="38" t="inlineStr">
        <is>
          <t>Gross Profit (₹)</t>
        </is>
      </c>
    </row>
    <row r="2" ht="13" customHeight="1" s="85">
      <c r="A2" s="11" t="inlineStr">
        <is>
          <t>INV-20261004-234534</t>
        </is>
      </c>
      <c r="B2" s="39" t="n">
        <v>46299.98997685185</v>
      </c>
      <c r="C2" s="11" t="inlineStr">
        <is>
          <t>John Joy Raj</t>
        </is>
      </c>
      <c r="D2" s="11" t="inlineStr">
        <is>
          <t>KERALA BANANA</t>
        </is>
      </c>
      <c r="F2" s="40" t="n">
        <v>1.5</v>
      </c>
      <c r="G2" s="11" t="n">
        <v>135</v>
      </c>
      <c r="H2" s="11" t="n">
        <v>202.5</v>
      </c>
      <c r="I2" s="11" t="n">
        <v>0</v>
      </c>
      <c r="J2" s="11" t="n">
        <v>0</v>
      </c>
      <c r="K2" s="11" t="n">
        <v>0</v>
      </c>
      <c r="L2" s="11" t="n">
        <v>202.5</v>
      </c>
      <c r="M2" s="11" t="inlineStr">
        <is>
          <t>Paid</t>
        </is>
      </c>
      <c r="N2" s="11" t="inlineStr">
        <is>
          <t>Bank</t>
        </is>
      </c>
      <c r="O2" s="41">
        <f t="array" ref="O2">IF(D2="","", IFERROR(_xlfn.XLOOKUP(D2, Inventory_Master!A:A, Inventory_Master!I:I, 0), 0))</f>
        <v/>
      </c>
      <c r="P2" s="41">
        <f>IF(O2="","", F2 * O2)</f>
        <v/>
      </c>
      <c r="Q2" s="42">
        <f>IF(L2="","", L2 - P2)</f>
        <v/>
      </c>
    </row>
    <row r="3" ht="13" customHeight="1" s="85">
      <c r="A3" s="11" t="inlineStr">
        <is>
          <t>INV-20261004-234534</t>
        </is>
      </c>
      <c r="B3" s="39" t="n">
        <v>46299.98997685185</v>
      </c>
      <c r="C3" s="11" t="inlineStr">
        <is>
          <t>John Joy Raj</t>
        </is>
      </c>
      <c r="D3" s="11" t="inlineStr">
        <is>
          <t>IDAYAM NALLENNA BOTTLE 500GM</t>
        </is>
      </c>
      <c r="F3" s="40" t="n">
        <v>1</v>
      </c>
      <c r="G3" s="11" t="n">
        <v>243</v>
      </c>
      <c r="H3" s="11" t="n">
        <v>243</v>
      </c>
      <c r="I3" s="11" t="n">
        <v>0</v>
      </c>
      <c r="J3" s="11" t="n">
        <v>0</v>
      </c>
      <c r="K3" s="11" t="n">
        <v>0</v>
      </c>
      <c r="L3" s="11" t="n">
        <v>243</v>
      </c>
      <c r="M3" s="11" t="inlineStr">
        <is>
          <t>Paid</t>
        </is>
      </c>
      <c r="N3" s="11" t="inlineStr">
        <is>
          <t>Bank</t>
        </is>
      </c>
      <c r="O3" s="41">
        <f t="array" ref="O3">IF(D3="","", IFERROR(_xlfn.XLOOKUP(D3, Inventory_Master!A:A, Inventory_Master!I:I, 0), 0))</f>
        <v/>
      </c>
      <c r="P3" s="41">
        <f>IF(O3="","", F3 * O3)</f>
        <v/>
      </c>
      <c r="Q3" s="42">
        <f>IF(L3="","", L3 - P3)</f>
        <v/>
      </c>
    </row>
    <row r="4" ht="13" customHeight="1" s="85">
      <c r="A4" s="11" t="inlineStr">
        <is>
          <t>INV-20261004-234534</t>
        </is>
      </c>
      <c r="B4" s="39" t="n">
        <v>46299.98997685185</v>
      </c>
      <c r="C4" s="11" t="inlineStr">
        <is>
          <t>John Joy Raj</t>
        </is>
      </c>
      <c r="D4" s="11" t="inlineStr">
        <is>
          <t>KAPPA TAPIOCA</t>
        </is>
      </c>
      <c r="F4" s="40" t="n">
        <v>5.3</v>
      </c>
      <c r="G4" s="11" t="n">
        <v>90</v>
      </c>
      <c r="H4" s="11" t="n">
        <v>477</v>
      </c>
      <c r="I4" s="11" t="n">
        <v>0</v>
      </c>
      <c r="J4" s="11" t="n">
        <v>0</v>
      </c>
      <c r="K4" s="11" t="n">
        <v>0</v>
      </c>
      <c r="L4" s="11" t="n">
        <v>477</v>
      </c>
      <c r="M4" s="11" t="inlineStr">
        <is>
          <t>Paid</t>
        </is>
      </c>
      <c r="N4" s="11" t="inlineStr">
        <is>
          <t>Bank</t>
        </is>
      </c>
      <c r="O4" s="41">
        <f t="array" ref="O4">IF(D4="","", IFERROR(_xlfn.XLOOKUP(D4, Inventory_Master!A:A, Inventory_Master!I:I, 0), 0))</f>
        <v/>
      </c>
      <c r="P4" s="41">
        <f>IF(O4="","", F4 * O4)</f>
        <v/>
      </c>
      <c r="Q4" s="42">
        <f>IF(L4="","", L4 - P4)</f>
        <v/>
      </c>
    </row>
    <row r="5" ht="13" customHeight="1" s="85">
      <c r="A5" s="11" t="inlineStr">
        <is>
          <t>INV-20261005-000442</t>
        </is>
      </c>
      <c r="B5" s="39" t="n">
        <v>46300.00326388889</v>
      </c>
      <c r="C5" s="11" t="inlineStr">
        <is>
          <t>joy</t>
        </is>
      </c>
      <c r="D5" s="11" t="inlineStr">
        <is>
          <t>HOL CHEELU KAPPA CHIPS</t>
        </is>
      </c>
      <c r="F5" s="40" t="n">
        <v>1</v>
      </c>
      <c r="G5" s="11" t="n">
        <v>92</v>
      </c>
      <c r="H5" s="11" t="n">
        <v>92</v>
      </c>
      <c r="I5" s="11" t="n">
        <v>0</v>
      </c>
      <c r="J5" s="11" t="n">
        <v>0</v>
      </c>
      <c r="K5" s="11" t="n">
        <v>0</v>
      </c>
      <c r="L5" s="11" t="n">
        <v>92</v>
      </c>
      <c r="M5" s="11" t="inlineStr">
        <is>
          <t>Paid</t>
        </is>
      </c>
      <c r="N5" s="11" t="inlineStr">
        <is>
          <t>Bank</t>
        </is>
      </c>
      <c r="O5" s="41">
        <f t="array" ref="O5">IF(D5="","", IFERROR(_xlfn.XLOOKUP(D5, Inventory_Master!A:A, Inventory_Master!I:I, 0), 0))</f>
        <v/>
      </c>
      <c r="P5" s="41">
        <f>IF(O5="","", F5 * O5)</f>
        <v/>
      </c>
      <c r="Q5" s="42">
        <f>IF(L5="","", L5 - P5)</f>
        <v/>
      </c>
    </row>
    <row r="6" ht="13" customHeight="1" s="85">
      <c r="A6" s="11" t="inlineStr">
        <is>
          <t>INV-20261005-001225</t>
        </is>
      </c>
      <c r="B6" s="39" t="n">
        <v>46300.00862268519</v>
      </c>
      <c r="C6" s="11" t="inlineStr">
        <is>
          <t>Joy</t>
        </is>
      </c>
      <c r="D6" s="11" t="inlineStr">
        <is>
          <t>KAPPA TAPIOCA</t>
        </is>
      </c>
      <c r="F6" s="40" t="n">
        <v>1.5</v>
      </c>
      <c r="G6" s="11" t="n">
        <v>90</v>
      </c>
      <c r="H6" s="11" t="n">
        <v>135</v>
      </c>
      <c r="I6" s="11" t="n">
        <v>0</v>
      </c>
      <c r="J6" s="11" t="n">
        <v>0</v>
      </c>
      <c r="K6" s="11" t="n">
        <v>0</v>
      </c>
      <c r="L6" s="11" t="n">
        <v>135</v>
      </c>
      <c r="M6" s="11" t="inlineStr">
        <is>
          <t>Paid</t>
        </is>
      </c>
      <c r="N6" s="11" t="inlineStr">
        <is>
          <t>Bank</t>
        </is>
      </c>
      <c r="O6" s="41">
        <f t="array" ref="O6">IF(D6="","", IFERROR(_xlfn.XLOOKUP(D6, Inventory_Master!A:A, Inventory_Master!I:I, 0), 0))</f>
        <v/>
      </c>
      <c r="P6" s="41">
        <f>IF(O6="","", F6 * O6)</f>
        <v/>
      </c>
      <c r="Q6" s="42">
        <f>IF(L6="","", L6 - P6)</f>
        <v/>
      </c>
    </row>
    <row r="7" ht="13" customHeight="1" s="85">
      <c r="A7" s="11" t="inlineStr">
        <is>
          <t>INV-20261005-001225</t>
        </is>
      </c>
      <c r="B7" s="39" t="n">
        <v>46300.00862268519</v>
      </c>
      <c r="C7" s="11" t="inlineStr">
        <is>
          <t>Joy</t>
        </is>
      </c>
      <c r="D7" s="11" t="inlineStr">
        <is>
          <t>KPL COCONUT OIL 500GM</t>
        </is>
      </c>
      <c r="F7" s="40" t="n">
        <v>1</v>
      </c>
      <c r="G7" s="11" t="n">
        <v>365</v>
      </c>
      <c r="H7" s="11" t="n">
        <v>365</v>
      </c>
      <c r="I7" s="11" t="n">
        <v>0</v>
      </c>
      <c r="J7" s="11" t="n">
        <v>0</v>
      </c>
      <c r="K7" s="11" t="n">
        <v>0</v>
      </c>
      <c r="L7" s="11" t="n">
        <v>365</v>
      </c>
      <c r="M7" s="11" t="inlineStr">
        <is>
          <t>Paid</t>
        </is>
      </c>
      <c r="N7" s="11" t="inlineStr">
        <is>
          <t>Bank</t>
        </is>
      </c>
      <c r="O7" s="41">
        <f t="array" ref="O7">IF(D7="","", IFERROR(_xlfn.XLOOKUP(D7, Inventory_Master!A:A, Inventory_Master!I:I, 0), 0))</f>
        <v/>
      </c>
      <c r="P7" s="41">
        <f>IF(O7="","", F7 * O7)</f>
        <v/>
      </c>
      <c r="Q7" s="42">
        <f>IF(L7="","", L7 - P7)</f>
        <v/>
      </c>
    </row>
    <row r="8" ht="13" customHeight="1" s="85">
      <c r="A8" s="11" t="inlineStr">
        <is>
          <t>INV-20261005-004102</t>
        </is>
      </c>
      <c r="B8" s="39" t="n">
        <v>46300.02849537037</v>
      </c>
      <c r="C8" s="11" t="inlineStr">
        <is>
          <t>Suja</t>
        </is>
      </c>
      <c r="D8" s="11" t="inlineStr">
        <is>
          <t>KAPPA TAPIOCA</t>
        </is>
      </c>
      <c r="F8" s="40" t="n">
        <v>1.5</v>
      </c>
      <c r="G8" s="11" t="n">
        <v>90</v>
      </c>
      <c r="H8" s="11" t="n">
        <v>135</v>
      </c>
      <c r="I8" s="11" t="n">
        <v>0</v>
      </c>
      <c r="J8" s="11" t="n">
        <v>0</v>
      </c>
      <c r="K8" s="11" t="n">
        <v>0</v>
      </c>
      <c r="L8" s="11" t="n">
        <v>135</v>
      </c>
      <c r="M8" s="11" t="inlineStr">
        <is>
          <t>Paid</t>
        </is>
      </c>
      <c r="N8" s="11" t="inlineStr">
        <is>
          <t>Bank</t>
        </is>
      </c>
      <c r="O8" s="41">
        <f t="array" ref="O8">IF(D8="","", IFERROR(_xlfn.XLOOKUP(D8, Inventory_Master!A:A, Inventory_Master!I:I, 0), 0))</f>
        <v/>
      </c>
      <c r="P8" s="41">
        <f>IF(O8="","", F8 * O8)</f>
        <v/>
      </c>
      <c r="Q8" s="42">
        <f>IF(L8="","", L8 - P8)</f>
        <v/>
      </c>
    </row>
    <row r="9" ht="13" customHeight="1" s="85">
      <c r="A9" s="11" t="inlineStr">
        <is>
          <t>INV-20261005-004102</t>
        </is>
      </c>
      <c r="B9" s="43" t="n">
        <v>46300.02849537037</v>
      </c>
      <c r="C9" s="11" t="inlineStr">
        <is>
          <t>Suja</t>
        </is>
      </c>
      <c r="D9" s="11" t="inlineStr">
        <is>
          <t>KERALA BANANA</t>
        </is>
      </c>
      <c r="F9" s="40" t="n">
        <v>3.5</v>
      </c>
      <c r="G9" s="11" t="n">
        <v>135</v>
      </c>
      <c r="H9" s="11" t="n">
        <v>472.5</v>
      </c>
      <c r="I9" s="11" t="n">
        <v>0</v>
      </c>
      <c r="J9" s="11" t="n">
        <v>0</v>
      </c>
      <c r="K9" s="11" t="n">
        <v>0</v>
      </c>
      <c r="L9" s="11" t="n">
        <v>472.5</v>
      </c>
      <c r="M9" s="11" t="inlineStr">
        <is>
          <t>Paid</t>
        </is>
      </c>
      <c r="N9" s="11" t="inlineStr">
        <is>
          <t>Bank</t>
        </is>
      </c>
      <c r="O9" s="41">
        <f t="array" ref="O9">IF(D9="","", IFERROR(_xlfn.XLOOKUP(D9, Inventory_Master!A:A, Inventory_Master!I:I, 0), 0))</f>
        <v/>
      </c>
      <c r="P9" s="41">
        <f>IF(O9="","", F9 * O9)</f>
        <v/>
      </c>
      <c r="Q9" s="42">
        <f>IF(L9="","", L9 - P9)</f>
        <v/>
      </c>
    </row>
    <row r="10" ht="13" customHeight="1" s="85">
      <c r="A10" s="11" t="inlineStr">
        <is>
          <t>INV-20261005-100357</t>
        </is>
      </c>
      <c r="B10" s="43" t="n">
        <v>46300.41940972222</v>
      </c>
      <c r="C10" s="11" t="inlineStr">
        <is>
          <t>Joy Raj</t>
        </is>
      </c>
      <c r="D10" s="11" t="inlineStr">
        <is>
          <t>COOKED RICE</t>
        </is>
      </c>
      <c r="F10" s="40" t="n">
        <v>1</v>
      </c>
      <c r="G10" s="11" t="n">
        <v>80</v>
      </c>
      <c r="H10" s="11" t="n">
        <v>80</v>
      </c>
      <c r="I10" s="11" t="n">
        <v>0</v>
      </c>
      <c r="J10" s="11" t="n">
        <v>0</v>
      </c>
      <c r="K10" s="11" t="n">
        <v>0</v>
      </c>
      <c r="L10" s="11" t="n">
        <v>80</v>
      </c>
      <c r="M10" s="11" t="inlineStr">
        <is>
          <t>Paid</t>
        </is>
      </c>
      <c r="N10" s="11" t="inlineStr">
        <is>
          <t>Bank</t>
        </is>
      </c>
      <c r="O10" s="41">
        <f t="array" ref="O10">IF(D10="","", IFERROR(_xlfn.XLOOKUP(D10, Inventory_Master!A:A, Inventory_Master!I:I, 0), 0))</f>
        <v/>
      </c>
      <c r="P10" s="41">
        <f>IF(O10="","", F10 * O10)</f>
        <v/>
      </c>
      <c r="Q10" s="42">
        <f>IF(L10="","", L10 - P10)</f>
        <v/>
      </c>
    </row>
    <row r="11" ht="13" customHeight="1" s="85">
      <c r="A11" s="11" t="inlineStr">
        <is>
          <t>INV-20261005-100357</t>
        </is>
      </c>
      <c r="B11" s="43" t="n">
        <v>46300.41940972222</v>
      </c>
      <c r="C11" s="11" t="inlineStr">
        <is>
          <t>Joy Raj</t>
        </is>
      </c>
      <c r="D11" s="11" t="inlineStr">
        <is>
          <t>KALAN</t>
        </is>
      </c>
      <c r="F11" s="40" t="n">
        <v>1</v>
      </c>
      <c r="G11" s="11" t="n">
        <v>150</v>
      </c>
      <c r="H11" s="11" t="n">
        <v>150</v>
      </c>
      <c r="I11" s="11" t="n">
        <v>0</v>
      </c>
      <c r="J11" s="11" t="n">
        <v>0</v>
      </c>
      <c r="K11" s="11" t="n">
        <v>0</v>
      </c>
      <c r="L11" s="11" t="n">
        <v>150</v>
      </c>
      <c r="M11" s="11" t="inlineStr">
        <is>
          <t>Paid</t>
        </is>
      </c>
      <c r="N11" s="11" t="inlineStr">
        <is>
          <t>Bank</t>
        </is>
      </c>
      <c r="O11" s="41">
        <f t="array" ref="O11">IF(D11="","", IFERROR(_xlfn.XLOOKUP(D11, Inventory_Master!A:A, Inventory_Master!I:I, 0), 0))</f>
        <v/>
      </c>
      <c r="P11" s="41">
        <f>IF(O11="","", F11 * O11)</f>
        <v/>
      </c>
      <c r="Q11" s="42">
        <f>IF(L11="","", L11 - P11)</f>
        <v/>
      </c>
    </row>
    <row r="12" ht="13" customHeight="1" s="85">
      <c r="A12" s="11" t="inlineStr">
        <is>
          <t>INV-20261005-100357</t>
        </is>
      </c>
      <c r="B12" s="39" t="n">
        <v>46300.41940972222</v>
      </c>
      <c r="C12" s="11" t="inlineStr">
        <is>
          <t>Joy Raj</t>
        </is>
      </c>
      <c r="D12" s="11" t="inlineStr">
        <is>
          <t>TN SAMBAR RTE</t>
        </is>
      </c>
      <c r="F12" s="40" t="n">
        <v>1</v>
      </c>
      <c r="G12" s="11" t="n">
        <v>140</v>
      </c>
      <c r="H12" s="11" t="n">
        <v>140</v>
      </c>
      <c r="I12" s="11" t="n">
        <v>0</v>
      </c>
      <c r="J12" s="11" t="n">
        <v>0</v>
      </c>
      <c r="K12" s="11" t="n">
        <v>0</v>
      </c>
      <c r="L12" s="11" t="n">
        <v>140</v>
      </c>
      <c r="M12" s="11" t="inlineStr">
        <is>
          <t>Paid</t>
        </is>
      </c>
      <c r="N12" s="11" t="inlineStr">
        <is>
          <t>Bank</t>
        </is>
      </c>
      <c r="O12" s="41">
        <f t="array" ref="O12">IF(D12="","", IFERROR(_xlfn.XLOOKUP(D12, Inventory_Master!A:A, Inventory_Master!I:I, 0), 0))</f>
        <v/>
      </c>
      <c r="P12" s="41">
        <f>IF(O12="","", F12 * O12)</f>
        <v/>
      </c>
      <c r="Q12" s="42">
        <f>IF(L12="","", L12 - P12)</f>
        <v/>
      </c>
    </row>
    <row r="13" ht="12.5" customHeight="1" s="85">
      <c r="A13" s="11" t="inlineStr">
        <is>
          <t>INV-20261005-105131</t>
        </is>
      </c>
      <c r="B13" s="39" t="n">
        <v>46300.45244212963</v>
      </c>
      <c r="C13" s="11" t="inlineStr">
        <is>
          <t>joy ktl</t>
        </is>
      </c>
      <c r="D13" s="11" t="inlineStr">
        <is>
          <t>KAPPA TAPIOCA</t>
        </is>
      </c>
      <c r="F13" s="40" t="n">
        <v>3</v>
      </c>
      <c r="G13" s="11" t="n">
        <v>90</v>
      </c>
      <c r="H13" s="11" t="n">
        <v>270</v>
      </c>
      <c r="I13" s="11" t="n">
        <v>0</v>
      </c>
      <c r="J13" s="11" t="n">
        <v>0</v>
      </c>
      <c r="K13" s="11" t="n">
        <v>0</v>
      </c>
      <c r="L13" s="11" t="n">
        <v>270</v>
      </c>
      <c r="M13" s="11" t="inlineStr">
        <is>
          <t>Paid</t>
        </is>
      </c>
      <c r="N13" s="11" t="inlineStr">
        <is>
          <t>Bank</t>
        </is>
      </c>
    </row>
    <row r="14" ht="12.5" customHeight="1" s="85">
      <c r="A14" s="11" t="inlineStr">
        <is>
          <t>INV-20261005-105131</t>
        </is>
      </c>
      <c r="B14" s="39" t="n">
        <v>46300.45244212963</v>
      </c>
      <c r="C14" s="11" t="inlineStr">
        <is>
          <t>joy ktl</t>
        </is>
      </c>
      <c r="D14" s="11" t="inlineStr">
        <is>
          <t>KERALA BANANA</t>
        </is>
      </c>
      <c r="F14" s="40" t="n">
        <v>1</v>
      </c>
      <c r="G14" s="11" t="n">
        <v>135</v>
      </c>
      <c r="H14" s="11" t="n">
        <v>135</v>
      </c>
      <c r="I14" s="11" t="n">
        <v>0</v>
      </c>
      <c r="J14" s="11" t="n">
        <v>0</v>
      </c>
      <c r="K14" s="11" t="n">
        <v>0</v>
      </c>
      <c r="L14" s="11" t="n">
        <v>135</v>
      </c>
      <c r="M14" s="11" t="inlineStr">
        <is>
          <t>Paid</t>
        </is>
      </c>
      <c r="N14" s="11" t="inlineStr">
        <is>
          <t>Bank</t>
        </is>
      </c>
    </row>
    <row r="15" ht="12.5" customHeight="1" s="85">
      <c r="A15" s="11" t="inlineStr">
        <is>
          <t>INV-20261005-105131</t>
        </is>
      </c>
      <c r="B15" s="39" t="n">
        <v>46300.45244212963</v>
      </c>
      <c r="C15" s="11" t="inlineStr">
        <is>
          <t>joy ktl</t>
        </is>
      </c>
      <c r="D15" s="11" t="inlineStr">
        <is>
          <t>SMALL ONION ULLI</t>
        </is>
      </c>
      <c r="F15" s="40" t="n">
        <v>1</v>
      </c>
      <c r="G15" s="11" t="n">
        <v>145</v>
      </c>
      <c r="H15" s="11" t="n">
        <v>145</v>
      </c>
      <c r="I15" s="11" t="n">
        <v>0</v>
      </c>
      <c r="J15" s="11" t="n">
        <v>0</v>
      </c>
      <c r="K15" s="11" t="n">
        <v>0</v>
      </c>
      <c r="L15" s="11" t="n">
        <v>145</v>
      </c>
      <c r="M15" s="11" t="inlineStr">
        <is>
          <t>Paid</t>
        </is>
      </c>
      <c r="N15" s="11" t="inlineStr">
        <is>
          <t>Bank</t>
        </is>
      </c>
    </row>
    <row r="16" ht="12.5" customHeight="1" s="85">
      <c r="A16" s="11" t="inlineStr">
        <is>
          <t>INV-20261005-114137</t>
        </is>
      </c>
      <c r="B16" s="39" t="n">
        <v>46300.4872337963</v>
      </c>
      <c r="C16" s="11" t="inlineStr">
        <is>
          <t>Suja</t>
        </is>
      </c>
      <c r="D16" s="11" t="inlineStr">
        <is>
          <t>CHOICE KERALA MIXTURE 250GM</t>
        </is>
      </c>
      <c r="F16" s="40" t="n">
        <v>1</v>
      </c>
      <c r="G16" s="11" t="n">
        <v>100</v>
      </c>
      <c r="H16" s="11" t="n">
        <v>100</v>
      </c>
      <c r="I16" s="11" t="n">
        <v>0</v>
      </c>
      <c r="J16" s="11" t="n">
        <v>0</v>
      </c>
      <c r="K16" s="11" t="n">
        <v>0</v>
      </c>
      <c r="L16" s="11" t="n">
        <v>100</v>
      </c>
      <c r="M16" s="11" t="inlineStr">
        <is>
          <t>Paid</t>
        </is>
      </c>
      <c r="N16" s="11" t="inlineStr">
        <is>
          <t>Bank</t>
        </is>
      </c>
    </row>
    <row r="17" ht="12.5" customHeight="1" s="85">
      <c r="A17" s="11" t="inlineStr">
        <is>
          <t>INV-20261005-114137</t>
        </is>
      </c>
      <c r="B17" s="39" t="n">
        <v>46300.4872337963</v>
      </c>
      <c r="C17" s="11" t="inlineStr">
        <is>
          <t>Suja</t>
        </is>
      </c>
      <c r="D17" s="11" t="inlineStr">
        <is>
          <t>KUTTAN'S PAYYOLI MIXTURE 500GM</t>
        </is>
      </c>
      <c r="F17" s="40" t="n">
        <v>1</v>
      </c>
      <c r="G17" s="11" t="n">
        <v>150</v>
      </c>
      <c r="H17" s="11" t="n">
        <v>150</v>
      </c>
      <c r="I17" s="11" t="n">
        <v>0</v>
      </c>
      <c r="J17" s="11" t="n">
        <v>0</v>
      </c>
      <c r="K17" s="11" t="n">
        <v>0</v>
      </c>
      <c r="L17" s="11" t="n">
        <v>150</v>
      </c>
      <c r="M17" s="11" t="inlineStr">
        <is>
          <t>Paid</t>
        </is>
      </c>
      <c r="N17" s="11" t="inlineStr">
        <is>
          <t>Bank</t>
        </is>
      </c>
    </row>
    <row r="18" ht="12.5" customHeight="1" s="85">
      <c r="A18" s="11" t="inlineStr">
        <is>
          <t>INV-20261005-114137</t>
        </is>
      </c>
      <c r="B18" s="39" t="n">
        <v>46300.4872337963</v>
      </c>
      <c r="C18" s="11" t="inlineStr">
        <is>
          <t>Suja</t>
        </is>
      </c>
      <c r="D18" s="11" t="inlineStr">
        <is>
          <t>HOL VETTU CAKE 6PC</t>
        </is>
      </c>
      <c r="F18" s="40" t="n">
        <v>1</v>
      </c>
      <c r="G18" s="11" t="n">
        <v>75</v>
      </c>
      <c r="H18" s="11" t="n">
        <v>75</v>
      </c>
      <c r="I18" s="11" t="n">
        <v>0</v>
      </c>
      <c r="J18" s="11" t="n">
        <v>0</v>
      </c>
      <c r="K18" s="11" t="n">
        <v>0</v>
      </c>
      <c r="L18" s="11" t="n">
        <v>75</v>
      </c>
      <c r="M18" s="11" t="inlineStr">
        <is>
          <t>Paid</t>
        </is>
      </c>
      <c r="N18" s="11" t="inlineStr">
        <is>
          <t>Bank</t>
        </is>
      </c>
    </row>
    <row r="19" ht="12.5" customHeight="1" s="85">
      <c r="A19" s="11" t="inlineStr">
        <is>
          <t>INV-20261005-114137</t>
        </is>
      </c>
      <c r="B19" s="39" t="n">
        <v>46300.4872337963</v>
      </c>
      <c r="C19" s="11" t="inlineStr">
        <is>
          <t>Suja</t>
        </is>
      </c>
      <c r="D19" s="11" t="inlineStr">
        <is>
          <t>ELITE BANANA PUDDING 250</t>
        </is>
      </c>
      <c r="F19" s="40" t="n">
        <v>1</v>
      </c>
      <c r="G19" s="11" t="n">
        <v>150</v>
      </c>
      <c r="H19" s="11" t="n">
        <v>150</v>
      </c>
      <c r="I19" s="11" t="n">
        <v>0</v>
      </c>
      <c r="J19" s="11" t="n">
        <v>0</v>
      </c>
      <c r="K19" s="11" t="n">
        <v>0</v>
      </c>
      <c r="L19" s="11" t="n">
        <v>150</v>
      </c>
      <c r="M19" s="11" t="inlineStr">
        <is>
          <t>Paid</t>
        </is>
      </c>
      <c r="N19" s="11" t="inlineStr">
        <is>
          <t>Bank</t>
        </is>
      </c>
    </row>
    <row r="20" ht="12.5" customHeight="1" s="85">
      <c r="C20" s="11" t="n"/>
      <c r="F20" s="40" t="n"/>
    </row>
    <row r="21" ht="12.5" customHeight="1" s="85">
      <c r="C21" s="11" t="n"/>
      <c r="F21" s="40" t="n"/>
    </row>
    <row r="22" ht="12.5" customHeight="1" s="85">
      <c r="C22" s="11" t="n"/>
      <c r="F22" s="40" t="n"/>
    </row>
    <row r="23" ht="12.5" customHeight="1" s="85">
      <c r="C23" s="11" t="n"/>
      <c r="F23" s="40" t="n"/>
    </row>
    <row r="24" ht="12.5" customHeight="1" s="85">
      <c r="C24" s="11" t="n"/>
      <c r="F24" s="40" t="n"/>
    </row>
    <row r="25" ht="12.5" customHeight="1" s="85">
      <c r="C25" s="11" t="n"/>
      <c r="F25" s="40" t="n"/>
    </row>
    <row r="26" ht="12.5" customHeight="1" s="85">
      <c r="C26" s="11" t="n"/>
      <c r="F26" s="40" t="n"/>
    </row>
    <row r="27" ht="12.5" customHeight="1" s="85">
      <c r="C27" s="11" t="n"/>
      <c r="F27" s="40" t="n"/>
    </row>
    <row r="28" ht="12.5" customHeight="1" s="85">
      <c r="C28" s="11" t="n"/>
      <c r="F28" s="40" t="n"/>
    </row>
    <row r="29" ht="12.5" customHeight="1" s="85">
      <c r="C29" s="11" t="n"/>
      <c r="F29" s="40" t="n"/>
    </row>
    <row r="30" ht="12.5" customHeight="1" s="85">
      <c r="C30" s="11" t="n"/>
      <c r="F30" s="40" t="n"/>
    </row>
    <row r="31" ht="12.5" customHeight="1" s="85">
      <c r="C31" s="11" t="n"/>
      <c r="F31" s="40" t="n"/>
    </row>
    <row r="32" ht="12.5" customHeight="1" s="85">
      <c r="C32" s="11" t="n"/>
      <c r="F32" s="40" t="n"/>
    </row>
    <row r="33" ht="12.5" customHeight="1" s="85">
      <c r="C33" s="11" t="n"/>
      <c r="F33" s="40" t="n"/>
    </row>
    <row r="34" ht="12.5" customHeight="1" s="85">
      <c r="C34" s="11" t="n"/>
      <c r="F34" s="40" t="n"/>
    </row>
    <row r="35" ht="12.5" customHeight="1" s="85">
      <c r="C35" s="11" t="n"/>
      <c r="F35" s="40" t="n"/>
    </row>
    <row r="36" ht="12.5" customHeight="1" s="85">
      <c r="C36" s="11" t="n"/>
      <c r="F36" s="40" t="n"/>
    </row>
    <row r="37" ht="12.5" customHeight="1" s="85">
      <c r="C37" s="11" t="n"/>
      <c r="F37" s="40" t="n"/>
    </row>
    <row r="38" ht="12.5" customHeight="1" s="85">
      <c r="C38" s="11" t="n"/>
      <c r="F38" s="40" t="n"/>
    </row>
    <row r="39" ht="12.5" customHeight="1" s="85">
      <c r="C39" s="11" t="n"/>
      <c r="F39" s="40" t="n"/>
    </row>
    <row r="40" ht="12.5" customHeight="1" s="85">
      <c r="C40" s="11" t="n"/>
      <c r="F40" s="40" t="n"/>
    </row>
    <row r="41" ht="12.5" customHeight="1" s="85">
      <c r="C41" s="11" t="n"/>
      <c r="F41" s="40" t="n"/>
    </row>
    <row r="42" ht="12.5" customHeight="1" s="85">
      <c r="C42" s="11" t="n"/>
      <c r="F42" s="40" t="n"/>
    </row>
    <row r="43" ht="12.5" customHeight="1" s="85">
      <c r="C43" s="11" t="n"/>
      <c r="F43" s="40" t="n"/>
    </row>
    <row r="44" ht="12.5" customHeight="1" s="85">
      <c r="C44" s="11" t="n"/>
      <c r="F44" s="40" t="n"/>
    </row>
    <row r="45" ht="12.5" customHeight="1" s="85">
      <c r="C45" s="11" t="n"/>
      <c r="F45" s="40" t="n"/>
    </row>
    <row r="46" ht="12.5" customHeight="1" s="85">
      <c r="C46" s="11" t="n"/>
      <c r="F46" s="40" t="n"/>
    </row>
    <row r="47" ht="12.5" customHeight="1" s="85">
      <c r="C47" s="11" t="n"/>
      <c r="F47" s="40" t="n"/>
    </row>
    <row r="48" ht="12.5" customHeight="1" s="85">
      <c r="C48" s="11" t="n"/>
      <c r="F48" s="40" t="n"/>
    </row>
    <row r="49" ht="12.5" customHeight="1" s="85">
      <c r="C49" s="11" t="n"/>
      <c r="F49" s="40" t="n"/>
    </row>
    <row r="50" ht="12.5" customHeight="1" s="85">
      <c r="C50" s="11" t="n"/>
      <c r="F50" s="40" t="n"/>
    </row>
    <row r="51" ht="12.5" customHeight="1" s="85">
      <c r="C51" s="11" t="n"/>
      <c r="F51" s="40" t="n"/>
    </row>
    <row r="52" ht="12.5" customHeight="1" s="85">
      <c r="C52" s="11" t="n"/>
      <c r="F52" s="40" t="n"/>
    </row>
    <row r="53" ht="12.5" customHeight="1" s="85">
      <c r="C53" s="11" t="n"/>
      <c r="F53" s="40" t="n"/>
    </row>
    <row r="54" ht="12.5" customHeight="1" s="85">
      <c r="C54" s="11" t="n"/>
      <c r="F54" s="40" t="n"/>
    </row>
    <row r="55" ht="12.5" customHeight="1" s="85">
      <c r="C55" s="11" t="n"/>
      <c r="F55" s="40" t="n"/>
    </row>
    <row r="56" ht="12.5" customHeight="1" s="85">
      <c r="C56" s="11" t="n"/>
      <c r="F56" s="40" t="n"/>
    </row>
    <row r="57" ht="12.5" customHeight="1" s="85">
      <c r="C57" s="11" t="n"/>
      <c r="F57" s="40" t="n"/>
    </row>
    <row r="58" ht="12.5" customHeight="1" s="85">
      <c r="C58" s="11" t="n"/>
      <c r="F58" s="40" t="n"/>
    </row>
    <row r="59" ht="12.5" customHeight="1" s="85">
      <c r="C59" s="11" t="n"/>
      <c r="F59" s="40" t="n"/>
    </row>
    <row r="60" ht="12.5" customHeight="1" s="85">
      <c r="C60" s="11" t="n"/>
      <c r="F60" s="40" t="n"/>
    </row>
    <row r="61" ht="12.5" customHeight="1" s="85">
      <c r="C61" s="11" t="n"/>
      <c r="F61" s="40" t="n"/>
    </row>
    <row r="62" ht="12.5" customHeight="1" s="85">
      <c r="C62" s="11" t="n"/>
      <c r="F62" s="40" t="n"/>
    </row>
    <row r="63" ht="12.5" customHeight="1" s="85">
      <c r="C63" s="11" t="n"/>
      <c r="F63" s="40" t="n"/>
    </row>
    <row r="64" ht="12.5" customHeight="1" s="85">
      <c r="C64" s="11" t="n"/>
      <c r="F64" s="40" t="n"/>
    </row>
    <row r="65" ht="12.5" customHeight="1" s="85">
      <c r="C65" s="11" t="n"/>
      <c r="F65" s="40" t="n"/>
    </row>
    <row r="66" ht="12.5" customHeight="1" s="85">
      <c r="C66" s="11" t="n"/>
      <c r="F66" s="40" t="n"/>
    </row>
    <row r="67" ht="12.5" customHeight="1" s="85">
      <c r="C67" s="11" t="n"/>
      <c r="F67" s="40" t="n"/>
    </row>
    <row r="68" ht="12.5" customHeight="1" s="85">
      <c r="C68" s="11" t="n"/>
      <c r="F68" s="40" t="n"/>
    </row>
    <row r="69" ht="12.5" customHeight="1" s="85">
      <c r="C69" s="11" t="n"/>
      <c r="F69" s="40" t="n"/>
    </row>
    <row r="70" ht="12.5" customHeight="1" s="85">
      <c r="C70" s="11" t="n"/>
      <c r="F70" s="40" t="n"/>
    </row>
    <row r="71" ht="12.5" customHeight="1" s="85">
      <c r="C71" s="11" t="n"/>
      <c r="F71" s="40" t="n"/>
    </row>
    <row r="72" ht="12.5" customHeight="1" s="85">
      <c r="C72" s="11" t="n"/>
      <c r="F72" s="40" t="n"/>
    </row>
    <row r="73" ht="12.5" customHeight="1" s="85">
      <c r="C73" s="11" t="n"/>
      <c r="F73" s="40" t="n"/>
    </row>
    <row r="74" ht="12.5" customHeight="1" s="85">
      <c r="C74" s="11" t="n"/>
      <c r="F74" s="40" t="n"/>
    </row>
    <row r="75" ht="12.5" customHeight="1" s="85">
      <c r="C75" s="11" t="n"/>
      <c r="F75" s="40" t="n"/>
    </row>
    <row r="76" ht="12.5" customHeight="1" s="85">
      <c r="C76" s="11" t="n"/>
      <c r="F76" s="40" t="n"/>
    </row>
    <row r="77" ht="12.5" customHeight="1" s="85">
      <c r="C77" s="11" t="n"/>
      <c r="F77" s="40" t="n"/>
    </row>
    <row r="78" ht="12.5" customHeight="1" s="85">
      <c r="C78" s="11" t="n"/>
      <c r="F78" s="40" t="n"/>
    </row>
    <row r="79" ht="12.5" customHeight="1" s="85">
      <c r="C79" s="11" t="n"/>
      <c r="F79" s="40" t="n"/>
    </row>
    <row r="80" ht="12.5" customHeight="1" s="85">
      <c r="C80" s="11" t="n"/>
      <c r="F80" s="40" t="n"/>
    </row>
    <row r="81" ht="12.5" customHeight="1" s="85">
      <c r="C81" s="11" t="n"/>
      <c r="F81" s="40" t="n"/>
    </row>
    <row r="82" ht="12.5" customHeight="1" s="85">
      <c r="C82" s="11" t="n"/>
      <c r="F82" s="40" t="n"/>
    </row>
    <row r="83" ht="12.5" customHeight="1" s="85">
      <c r="C83" s="11" t="n"/>
      <c r="F83" s="40" t="n"/>
    </row>
    <row r="84" ht="12.5" customHeight="1" s="85">
      <c r="C84" s="11" t="n"/>
      <c r="F84" s="40" t="n"/>
    </row>
    <row r="85" ht="12.5" customHeight="1" s="85">
      <c r="C85" s="11" t="n"/>
      <c r="F85" s="40" t="n"/>
    </row>
    <row r="86" ht="12.5" customHeight="1" s="85">
      <c r="C86" s="11" t="n"/>
      <c r="F86" s="40" t="n"/>
    </row>
    <row r="87" ht="12.5" customHeight="1" s="85">
      <c r="C87" s="11" t="n"/>
      <c r="F87" s="40" t="n"/>
    </row>
    <row r="88" ht="12.5" customHeight="1" s="85">
      <c r="C88" s="11" t="n"/>
      <c r="F88" s="40" t="n"/>
    </row>
    <row r="89" ht="12.5" customHeight="1" s="85">
      <c r="C89" s="11" t="n"/>
      <c r="F89" s="40" t="n"/>
    </row>
    <row r="90" ht="12.5" customHeight="1" s="85">
      <c r="C90" s="11" t="n"/>
      <c r="F90" s="40" t="n"/>
    </row>
    <row r="91" ht="12.5" customHeight="1" s="85">
      <c r="C91" s="11" t="n"/>
      <c r="F91" s="40" t="n"/>
    </row>
    <row r="92" ht="12.5" customHeight="1" s="85">
      <c r="C92" s="11" t="n"/>
      <c r="F92" s="40" t="n"/>
    </row>
    <row r="93" ht="12.5" customHeight="1" s="85">
      <c r="C93" s="11" t="n"/>
      <c r="F93" s="40" t="n"/>
    </row>
    <row r="94" ht="12.5" customHeight="1" s="85">
      <c r="C94" s="11" t="n"/>
      <c r="F94" s="40" t="n"/>
    </row>
    <row r="95" ht="12.5" customHeight="1" s="85">
      <c r="C95" s="11" t="n"/>
      <c r="F95" s="40" t="n"/>
    </row>
    <row r="96" ht="12.5" customHeight="1" s="85">
      <c r="C96" s="11" t="n"/>
      <c r="F96" s="40" t="n"/>
    </row>
    <row r="97" ht="12.5" customHeight="1" s="85">
      <c r="C97" s="11" t="n"/>
      <c r="F97" s="40" t="n"/>
    </row>
    <row r="98" ht="12.5" customHeight="1" s="85">
      <c r="C98" s="11" t="n"/>
      <c r="F98" s="40" t="n"/>
    </row>
    <row r="99" ht="12.5" customHeight="1" s="85">
      <c r="C99" s="11" t="n"/>
      <c r="F99" s="40" t="n"/>
    </row>
    <row r="100" ht="12.5" customHeight="1" s="85">
      <c r="C100" s="11" t="n"/>
      <c r="F100" s="40" t="n"/>
    </row>
    <row r="101">
      <c r="A101" t="inlineStr">
        <is>
          <t>INV-TEST-202610100946</t>
        </is>
      </c>
      <c r="B101" s="135" t="n">
        <v>46305.40762109953</v>
      </c>
      <c r="C101" t="inlineStr">
        <is>
          <t>Test Customer (Gorakhpur)</t>
        </is>
      </c>
      <c r="D101" t="inlineStr">
        <is>
          <t>120W TYPE C CABLE</t>
        </is>
      </c>
      <c r="F101" t="n">
        <v>1</v>
      </c>
      <c r="G101" t="n">
        <v>60</v>
      </c>
      <c r="H101" t="n">
        <v>60</v>
      </c>
      <c r="I101" t="n">
        <v>0</v>
      </c>
      <c r="J101" t="n">
        <v>0</v>
      </c>
      <c r="K101" t="n">
        <v>0</v>
      </c>
      <c r="L101" t="n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28125" defaultRowHeight="15.75" customHeight="1"/>
  <cols>
    <col width="15.08984375" customWidth="1" style="85" min="1" max="1"/>
    <col width="12" customWidth="1" style="85" min="2" max="2"/>
    <col width="26.36328125" customWidth="1" style="85" min="3" max="3"/>
    <col width="27.6328125" customWidth="1" style="85" min="4" max="4"/>
    <col width="11.36328125" customWidth="1" style="85" min="5" max="5"/>
    <col width="10.08984375" customWidth="1" style="85" min="6" max="6"/>
    <col width="15.08984375" customWidth="1" style="85" min="7" max="8"/>
    <col width="11.36328125" customWidth="1" style="85" min="9" max="9"/>
    <col width="15.7265625" customWidth="1" style="85" min="10" max="10"/>
    <col width="13.90625" customWidth="1" style="85" min="11" max="11"/>
    <col width="17" customWidth="1" style="85" min="12" max="12"/>
  </cols>
  <sheetData>
    <row r="1" ht="15.75" customHeight="1" s="85">
      <c r="A1" s="35" t="inlineStr">
        <is>
          <t>Bill / PO No.</t>
        </is>
      </c>
      <c r="B1" s="35" t="inlineStr">
        <is>
          <t>Bill Date</t>
        </is>
      </c>
      <c r="C1" s="36" t="inlineStr">
        <is>
          <t>Vendor Name</t>
        </is>
      </c>
      <c r="D1" s="36" t="inlineStr">
        <is>
          <t>Item / Service Description</t>
        </is>
      </c>
      <c r="E1" s="35" t="inlineStr">
        <is>
          <t>HSN / SAC</t>
        </is>
      </c>
      <c r="F1" s="37" t="inlineStr">
        <is>
          <t>Quantity</t>
        </is>
      </c>
      <c r="G1" s="37" t="inlineStr">
        <is>
          <t>Unit Purchase Price (₹)</t>
        </is>
      </c>
      <c r="H1" s="37" t="inlineStr">
        <is>
          <t>Taxable Value (₹)</t>
        </is>
      </c>
      <c r="I1" s="37" t="inlineStr">
        <is>
          <t>GST Rate (%)</t>
        </is>
      </c>
      <c r="J1" s="37" t="inlineStr">
        <is>
          <t>Total Bill Amount (₹)</t>
        </is>
      </c>
      <c r="K1" s="35" t="inlineStr">
        <is>
          <t>Payment Status</t>
        </is>
      </c>
      <c r="L1" s="35" t="inlineStr">
        <is>
          <t>Input Tax Credit (ITC)</t>
        </is>
      </c>
    </row>
    <row r="2" ht="15.75" customHeight="1" s="85">
      <c r="G2" s="14" t="n"/>
      <c r="H2" s="14" t="n"/>
      <c r="I2" s="13" t="n"/>
      <c r="J2" s="14" t="n"/>
      <c r="K2" s="11" t="n"/>
      <c r="L2" s="11" t="n"/>
    </row>
    <row r="3" ht="15.75" customHeight="1" s="85">
      <c r="G3" s="14" t="n"/>
      <c r="H3" s="14" t="n"/>
      <c r="I3" s="13" t="n"/>
      <c r="J3" s="14" t="n"/>
      <c r="K3" s="11" t="n"/>
      <c r="L3" s="11" t="n"/>
    </row>
    <row r="4" ht="15.75" customHeight="1" s="85">
      <c r="G4" s="14" t="n"/>
      <c r="H4" s="14" t="n"/>
      <c r="I4" s="13" t="n"/>
      <c r="J4" s="14" t="n"/>
      <c r="K4" s="11" t="n"/>
      <c r="L4" s="11" t="n"/>
    </row>
    <row r="5" ht="15.75" customHeight="1" s="85">
      <c r="G5" s="14" t="n"/>
      <c r="H5" s="14" t="n"/>
      <c r="I5" s="13" t="n"/>
      <c r="J5" s="14" t="n"/>
      <c r="K5" s="11" t="n"/>
      <c r="L5" s="11" t="n"/>
    </row>
    <row r="6" ht="15.75" customHeight="1" s="85">
      <c r="G6" s="14" t="n"/>
      <c r="H6" s="14" t="n"/>
      <c r="I6" s="13" t="n"/>
      <c r="J6" s="14" t="n"/>
      <c r="K6" s="11" t="n"/>
      <c r="L6" s="11" t="n"/>
    </row>
    <row r="7" ht="15.75" customHeight="1" s="85">
      <c r="G7" s="14" t="n"/>
      <c r="H7" s="14">
        <f>IF(ISBLANK(F7), "", F7*G7)</f>
        <v/>
      </c>
      <c r="I7" s="13" t="n"/>
      <c r="J7" s="14">
        <f>IF(OR(ISBLANK(H7), H7=""), "", H7*(1+N(I7)))</f>
        <v/>
      </c>
      <c r="K7" s="11" t="n"/>
      <c r="L7" s="11" t="n"/>
    </row>
    <row r="8" ht="15.75" customHeight="1" s="85">
      <c r="G8" s="14" t="n"/>
      <c r="H8" s="14">
        <f>IF(ISBLANK(F8), "", F8*G8)</f>
        <v/>
      </c>
      <c r="I8" s="13" t="n"/>
      <c r="J8" s="14">
        <f>IF(OR(ISBLANK(H8), H8=""), "", H8*(1+N(I8)))</f>
        <v/>
      </c>
      <c r="K8" s="11" t="n"/>
      <c r="L8" s="11" t="n"/>
    </row>
    <row r="9" ht="15.75" customHeight="1" s="85">
      <c r="G9" s="14" t="n"/>
      <c r="H9" s="14">
        <f>IF(ISBLANK(F9), "", F9*G9)</f>
        <v/>
      </c>
      <c r="I9" s="13" t="n"/>
      <c r="J9" s="14">
        <f>IF(OR(ISBLANK(H9), H9=""), "", H9*(1+N(I9)))</f>
        <v/>
      </c>
      <c r="K9" s="11" t="n"/>
      <c r="L9" s="11" t="n"/>
    </row>
    <row r="10" ht="15.75" customHeight="1" s="85">
      <c r="G10" s="14" t="n"/>
      <c r="H10" s="14">
        <f>IF(ISBLANK(F10), "", F10*G10)</f>
        <v/>
      </c>
      <c r="I10" s="13" t="n"/>
      <c r="J10" s="14">
        <f>IF(OR(ISBLANK(H10), H10=""), "", H10*(1+N(I10)))</f>
        <v/>
      </c>
      <c r="K10" s="11" t="n"/>
      <c r="L10" s="11" t="n"/>
    </row>
    <row r="11" ht="15.75" customHeight="1" s="85">
      <c r="G11" s="14" t="n"/>
      <c r="H11" s="14">
        <f>IF(ISBLANK(F11), "", F11*G11)</f>
        <v/>
      </c>
      <c r="I11" s="13" t="n"/>
      <c r="J11" s="14">
        <f>IF(OR(ISBLANK(H11), H11=""), "", H11*(1+N(I11)))</f>
        <v/>
      </c>
      <c r="K11" s="11" t="n"/>
      <c r="L11" s="11" t="n"/>
    </row>
    <row r="12" ht="15.75" customHeight="1" s="85">
      <c r="G12" s="14" t="n"/>
      <c r="H12" s="14">
        <f>IF(ISBLANK(F12), "", F12*G12)</f>
        <v/>
      </c>
      <c r="I12" s="13" t="n"/>
      <c r="J12" s="14">
        <f>IF(OR(ISBLANK(H12), H12=""), "", H12*(1+N(I12)))</f>
        <v/>
      </c>
      <c r="K12" s="11" t="n"/>
      <c r="L12" s="11" t="n"/>
    </row>
    <row r="13" ht="15.75" customHeight="1" s="85">
      <c r="G13" s="14" t="n"/>
      <c r="H13" s="14">
        <f>IF(ISBLANK(F13), "", F13*G13)</f>
        <v/>
      </c>
      <c r="I13" s="13" t="n"/>
      <c r="J13" s="14">
        <f>IF(OR(ISBLANK(H13), H13=""), "", H13*(1+N(I13)))</f>
        <v/>
      </c>
      <c r="K13" s="11" t="n"/>
      <c r="L13" s="11" t="n"/>
    </row>
    <row r="14" ht="15.75" customHeight="1" s="85">
      <c r="G14" s="14" t="n"/>
      <c r="H14" s="14">
        <f>IF(ISBLANK(F14), "", F14*G14)</f>
        <v/>
      </c>
      <c r="I14" s="13" t="n"/>
      <c r="J14" s="14">
        <f>IF(OR(ISBLANK(H14), H14=""), "", H14*(1+N(I14)))</f>
        <v/>
      </c>
      <c r="K14" s="11" t="n"/>
      <c r="L14" s="11" t="n"/>
    </row>
    <row r="15" ht="15.75" customHeight="1" s="85">
      <c r="G15" s="14" t="n"/>
      <c r="H15" s="14">
        <f>IF(ISBLANK(F15), "", F15*G15)</f>
        <v/>
      </c>
      <c r="I15" s="13" t="n"/>
      <c r="J15" s="14">
        <f>IF(OR(ISBLANK(H15), H15=""), "", H15*(1+N(I15)))</f>
        <v/>
      </c>
      <c r="K15" s="11" t="n"/>
      <c r="L15" s="11" t="n"/>
    </row>
    <row r="16" ht="15.75" customHeight="1" s="85">
      <c r="G16" s="14" t="n"/>
      <c r="H16" s="14">
        <f>IF(ISBLANK(F16), "", F16*G16)</f>
        <v/>
      </c>
      <c r="I16" s="13" t="n"/>
      <c r="J16" s="14">
        <f>IF(OR(ISBLANK(H16), H16=""), "", H16*(1+N(I16)))</f>
        <v/>
      </c>
      <c r="K16" s="11" t="n"/>
      <c r="L16" s="11" t="n"/>
    </row>
    <row r="17" ht="15.75" customHeight="1" s="85">
      <c r="G17" s="14" t="n"/>
      <c r="H17" s="14">
        <f>IF(ISBLANK(F17), "", F17*G17)</f>
        <v/>
      </c>
      <c r="I17" s="13" t="n"/>
      <c r="J17" s="14">
        <f>IF(OR(ISBLANK(H17), H17=""), "", H17*(1+N(I17)))</f>
        <v/>
      </c>
      <c r="K17" s="11" t="n"/>
      <c r="L17" s="11" t="n"/>
    </row>
    <row r="18" ht="15.75" customHeight="1" s="85">
      <c r="G18" s="14" t="n"/>
      <c r="H18" s="14">
        <f>IF(ISBLANK(F18), "", F18*G18)</f>
        <v/>
      </c>
      <c r="I18" s="13" t="n"/>
      <c r="J18" s="14">
        <f>IF(OR(ISBLANK(H18), H18=""), "", H18*(1+N(I18)))</f>
        <v/>
      </c>
      <c r="K18" s="11" t="n"/>
      <c r="L18" s="11" t="n"/>
    </row>
    <row r="19" ht="15.75" customHeight="1" s="85">
      <c r="G19" s="14" t="n"/>
      <c r="H19" s="14">
        <f>IF(ISBLANK(F19), "", F19*G19)</f>
        <v/>
      </c>
      <c r="I19" s="13" t="n"/>
      <c r="J19" s="14">
        <f>IF(OR(ISBLANK(H19), H19=""), "", H19*(1+N(I19)))</f>
        <v/>
      </c>
      <c r="K19" s="11" t="n"/>
      <c r="L19" s="11" t="n"/>
    </row>
    <row r="20" ht="12.5" customHeight="1" s="85">
      <c r="G20" s="14" t="n"/>
      <c r="H20" s="14">
        <f>IF(ISBLANK(F20), "", F20*G20)</f>
        <v/>
      </c>
      <c r="I20" s="13" t="n"/>
      <c r="J20" s="14">
        <f>IF(OR(ISBLANK(H20), H20=""), "", H20*(1+N(I20)))</f>
        <v/>
      </c>
      <c r="K20" s="11" t="n"/>
      <c r="L20" s="11" t="n"/>
    </row>
    <row r="21" ht="12.5" customHeight="1" s="85">
      <c r="G21" s="14" t="n"/>
      <c r="H21" s="14">
        <f>IF(ISBLANK(F21), "", F21*G21)</f>
        <v/>
      </c>
      <c r="I21" s="13" t="n"/>
      <c r="J21" s="14">
        <f>IF(OR(ISBLANK(H21), H21=""), "", H21*(1+N(I21)))</f>
        <v/>
      </c>
      <c r="K21" s="11" t="n"/>
      <c r="L21" s="11" t="n"/>
    </row>
    <row r="22" ht="12.5" customHeight="1" s="85">
      <c r="G22" s="14" t="n"/>
      <c r="H22" s="14">
        <f>IF(ISBLANK(F22), "", F22*G22)</f>
        <v/>
      </c>
      <c r="I22" s="13" t="n"/>
      <c r="J22" s="14">
        <f>IF(OR(ISBLANK(H22), H22=""), "", H22*(1+N(I22)))</f>
        <v/>
      </c>
      <c r="K22" s="11" t="n"/>
      <c r="L22" s="11" t="n"/>
    </row>
    <row r="23" ht="12.5" customHeight="1" s="85">
      <c r="G23" s="14" t="n"/>
      <c r="H23" s="14">
        <f>IF(ISBLANK(F23), "", F23*G23)</f>
        <v/>
      </c>
      <c r="I23" s="13" t="n"/>
      <c r="J23" s="14">
        <f>IF(OR(ISBLANK(H23), H23=""), "", H23*(1+N(I23)))</f>
        <v/>
      </c>
      <c r="K23" s="11" t="n"/>
      <c r="L23" s="11" t="n"/>
    </row>
    <row r="24" ht="12.5" customHeight="1" s="85">
      <c r="G24" s="14" t="n"/>
      <c r="H24" s="14">
        <f>IF(ISBLANK(F24), "", F24*G24)</f>
        <v/>
      </c>
      <c r="I24" s="13" t="n"/>
      <c r="J24" s="14">
        <f>IF(OR(ISBLANK(H24), H24=""), "", H24*(1+N(I24)))</f>
        <v/>
      </c>
      <c r="K24" s="11" t="n"/>
      <c r="L24" s="11" t="n"/>
    </row>
    <row r="25" ht="12.5" customHeight="1" s="85">
      <c r="G25" s="14" t="n"/>
      <c r="H25" s="14">
        <f>IF(ISBLANK(F25), "", F25*G25)</f>
        <v/>
      </c>
      <c r="I25" s="13" t="n"/>
      <c r="J25" s="14">
        <f>IF(OR(ISBLANK(H25), H25=""), "", H25*(1+N(I25)))</f>
        <v/>
      </c>
      <c r="K25" s="11" t="n"/>
      <c r="L25" s="11" t="n"/>
    </row>
    <row r="26" ht="12.5" customHeight="1" s="85">
      <c r="G26" s="14" t="n"/>
      <c r="H26" s="14">
        <f>IF(ISBLANK(F26), "", F26*G26)</f>
        <v/>
      </c>
      <c r="I26" s="13" t="n"/>
      <c r="J26" s="14">
        <f>IF(OR(ISBLANK(H26), H26=""), "", H26*(1+N(I26)))</f>
        <v/>
      </c>
      <c r="K26" s="11" t="n"/>
      <c r="L26" s="11" t="n"/>
    </row>
    <row r="27" ht="12.5" customHeight="1" s="85">
      <c r="G27" s="14" t="n"/>
      <c r="H27" s="14">
        <f>IF(ISBLANK(F27), "", F27*G27)</f>
        <v/>
      </c>
      <c r="I27" s="13" t="n"/>
      <c r="J27" s="14">
        <f>IF(OR(ISBLANK(H27), H27=""), "", H27*(1+N(I27)))</f>
        <v/>
      </c>
      <c r="K27" s="11" t="n"/>
      <c r="L27" s="11" t="n"/>
    </row>
    <row r="28" ht="12.5" customHeight="1" s="85">
      <c r="G28" s="14" t="n"/>
      <c r="H28" s="14">
        <f>IF(ISBLANK(F28), "", F28*G28)</f>
        <v/>
      </c>
      <c r="I28" s="13" t="n"/>
      <c r="J28" s="14">
        <f>IF(OR(ISBLANK(H28), H28=""), "", H28*(1+N(I28)))</f>
        <v/>
      </c>
      <c r="K28" s="11" t="n"/>
      <c r="L28" s="11" t="n"/>
    </row>
    <row r="29" ht="12.5" customHeight="1" s="85">
      <c r="G29" s="14" t="n"/>
      <c r="H29" s="14">
        <f>IF(ISBLANK(F29), "", F29*G29)</f>
        <v/>
      </c>
      <c r="I29" s="13" t="n"/>
      <c r="J29" s="14">
        <f>IF(OR(ISBLANK(H29), H29=""), "", H29*(1+N(I29)))</f>
        <v/>
      </c>
      <c r="K29" s="11" t="n"/>
      <c r="L29" s="11" t="n"/>
    </row>
    <row r="30" ht="12.5" customHeight="1" s="85">
      <c r="G30" s="14" t="n"/>
      <c r="H30" s="14">
        <f>IF(ISBLANK(F30), "", F30*G30)</f>
        <v/>
      </c>
      <c r="I30" s="13" t="n"/>
      <c r="J30" s="14">
        <f>IF(OR(ISBLANK(H30), H30=""), "", H30*(1+N(I30)))</f>
        <v/>
      </c>
      <c r="K30" s="11" t="n"/>
      <c r="L30" s="11" t="n"/>
    </row>
    <row r="31" ht="12.5" customHeight="1" s="85">
      <c r="G31" s="14" t="n"/>
      <c r="H31" s="14">
        <f>IF(ISBLANK(F31), "", F31*G31)</f>
        <v/>
      </c>
      <c r="I31" s="13" t="n"/>
      <c r="J31" s="14">
        <f>IF(OR(ISBLANK(H31), H31=""), "", H31*(1+N(I31)))</f>
        <v/>
      </c>
      <c r="K31" s="11" t="n"/>
      <c r="L31" s="11" t="n"/>
    </row>
    <row r="32" ht="12.5" customHeight="1" s="85">
      <c r="G32" s="14" t="n"/>
      <c r="H32" s="14">
        <f>IF(ISBLANK(F32), "", F32*G32)</f>
        <v/>
      </c>
      <c r="I32" s="13" t="n"/>
      <c r="J32" s="14">
        <f>IF(OR(ISBLANK(H32), H32=""), "", H32*(1+N(I32)))</f>
        <v/>
      </c>
      <c r="K32" s="11" t="n"/>
      <c r="L32" s="11" t="n"/>
    </row>
    <row r="33" ht="12.5" customHeight="1" s="85">
      <c r="G33" s="14" t="n"/>
      <c r="H33" s="14">
        <f>IF(ISBLANK(F33), "", F33*G33)</f>
        <v/>
      </c>
      <c r="I33" s="13" t="n"/>
      <c r="J33" s="14">
        <f>IF(OR(ISBLANK(H33), H33=""), "", H33*(1+N(I33)))</f>
        <v/>
      </c>
      <c r="K33" s="11" t="n"/>
      <c r="L33" s="11" t="n"/>
    </row>
    <row r="34" ht="12.5" customHeight="1" s="85">
      <c r="G34" s="14" t="n"/>
      <c r="H34" s="14">
        <f>IF(ISBLANK(F34), "", F34*G34)</f>
        <v/>
      </c>
      <c r="I34" s="13" t="n"/>
      <c r="J34" s="14">
        <f>IF(OR(ISBLANK(H34), H34=""), "", H34*(1+N(I34)))</f>
        <v/>
      </c>
      <c r="K34" s="11" t="n"/>
      <c r="L34" s="11" t="n"/>
    </row>
    <row r="35" ht="12.5" customHeight="1" s="85">
      <c r="G35" s="14" t="n"/>
      <c r="H35" s="14">
        <f>IF(ISBLANK(F35), "", F35*G35)</f>
        <v/>
      </c>
      <c r="I35" s="13" t="n"/>
      <c r="J35" s="14">
        <f>IF(OR(ISBLANK(H35), H35=""), "", H35*(1+N(I35)))</f>
        <v/>
      </c>
      <c r="K35" s="11" t="n"/>
      <c r="L35" s="11" t="n"/>
    </row>
    <row r="36" ht="12.5" customHeight="1" s="85">
      <c r="G36" s="14" t="n"/>
      <c r="H36" s="14">
        <f>IF(ISBLANK(F36), "", F36*G36)</f>
        <v/>
      </c>
      <c r="I36" s="13" t="n"/>
      <c r="J36" s="14">
        <f>IF(OR(ISBLANK(H36), H36=""), "", H36*(1+N(I36)))</f>
        <v/>
      </c>
      <c r="K36" s="11" t="n"/>
      <c r="L36" s="11" t="n"/>
    </row>
    <row r="37" ht="12.5" customHeight="1" s="85">
      <c r="G37" s="14" t="n"/>
      <c r="H37" s="14">
        <f>IF(ISBLANK(F37), "", F37*G37)</f>
        <v/>
      </c>
      <c r="I37" s="13" t="n"/>
      <c r="J37" s="14">
        <f>IF(OR(ISBLANK(H37), H37=""), "", H37*(1+N(I37)))</f>
        <v/>
      </c>
      <c r="K37" s="11" t="n"/>
      <c r="L37" s="11" t="n"/>
    </row>
    <row r="38" ht="12.5" customHeight="1" s="85">
      <c r="G38" s="14" t="n"/>
      <c r="H38" s="14">
        <f>IF(ISBLANK(F38), "", F38*G38)</f>
        <v/>
      </c>
      <c r="I38" s="13" t="n"/>
      <c r="J38" s="14">
        <f>IF(OR(ISBLANK(H38), H38=""), "", H38*(1+N(I38)))</f>
        <v/>
      </c>
      <c r="K38" s="11" t="n"/>
      <c r="L38" s="11" t="n"/>
    </row>
    <row r="39" ht="12.5" customHeight="1" s="85">
      <c r="G39" s="14" t="n"/>
      <c r="H39" s="14">
        <f>IF(ISBLANK(F39), "", F39*G39)</f>
        <v/>
      </c>
      <c r="I39" s="13" t="n"/>
      <c r="J39" s="14">
        <f>IF(OR(ISBLANK(H39), H39=""), "", H39*(1+N(I39)))</f>
        <v/>
      </c>
      <c r="K39" s="11" t="n"/>
      <c r="L39" s="11" t="n"/>
    </row>
    <row r="40" ht="12.5" customHeight="1" s="85">
      <c r="G40" s="14" t="n"/>
      <c r="H40" s="14">
        <f>IF(ISBLANK(F40), "", F40*G40)</f>
        <v/>
      </c>
      <c r="I40" s="13" t="n"/>
      <c r="J40" s="14">
        <f>IF(OR(ISBLANK(H40), H40=""), "", H40*(1+N(I40)))</f>
        <v/>
      </c>
      <c r="K40" s="11" t="n"/>
      <c r="L40" s="11" t="n"/>
    </row>
    <row r="41" ht="12.5" customHeight="1" s="85">
      <c r="G41" s="14" t="n"/>
      <c r="H41" s="14">
        <f>IF(ISBLANK(F41), "", F41*G41)</f>
        <v/>
      </c>
      <c r="I41" s="13" t="n"/>
      <c r="J41" s="14">
        <f>IF(OR(ISBLANK(H41), H41=""), "", H41*(1+N(I41)))</f>
        <v/>
      </c>
      <c r="K41" s="11" t="n"/>
      <c r="L41" s="11" t="n"/>
    </row>
    <row r="42" ht="12.5" customHeight="1" s="85">
      <c r="G42" s="14" t="n"/>
      <c r="H42" s="14">
        <f>IF(ISBLANK(F42), "", F42*G42)</f>
        <v/>
      </c>
      <c r="I42" s="13" t="n"/>
      <c r="J42" s="14">
        <f>IF(OR(ISBLANK(H42), H42=""), "", H42*(1+N(I42)))</f>
        <v/>
      </c>
      <c r="K42" s="11" t="n"/>
      <c r="L42" s="11" t="n"/>
    </row>
    <row r="43" ht="12.5" customHeight="1" s="85">
      <c r="G43" s="14" t="n"/>
      <c r="H43" s="14">
        <f>IF(ISBLANK(F43), "", F43*G43)</f>
        <v/>
      </c>
      <c r="I43" s="13" t="n"/>
      <c r="J43" s="14">
        <f>IF(OR(ISBLANK(H43), H43=""), "", H43*(1+N(I43)))</f>
        <v/>
      </c>
      <c r="K43" s="11" t="n"/>
      <c r="L43" s="11" t="n"/>
    </row>
    <row r="44" ht="12.5" customHeight="1" s="85">
      <c r="G44" s="14" t="n"/>
      <c r="H44" s="14">
        <f>IF(ISBLANK(F44), "", F44*G44)</f>
        <v/>
      </c>
      <c r="I44" s="13" t="n"/>
      <c r="J44" s="14">
        <f>IF(OR(ISBLANK(H44), H44=""), "", H44*(1+N(I44)))</f>
        <v/>
      </c>
      <c r="K44" s="11" t="n"/>
      <c r="L44" s="11" t="n"/>
    </row>
    <row r="45" ht="12.5" customHeight="1" s="85">
      <c r="G45" s="14" t="n"/>
      <c r="H45" s="14">
        <f>IF(ISBLANK(F45), "", F45*G45)</f>
        <v/>
      </c>
      <c r="I45" s="13" t="n"/>
      <c r="J45" s="14">
        <f>IF(OR(ISBLANK(H45), H45=""), "", H45*(1+N(I45)))</f>
        <v/>
      </c>
      <c r="K45" s="11" t="n"/>
      <c r="L45" s="11" t="n"/>
    </row>
    <row r="46" ht="12.5" customHeight="1" s="85">
      <c r="G46" s="14" t="n"/>
      <c r="H46" s="14">
        <f>IF(ISBLANK(F46), "", F46*G46)</f>
        <v/>
      </c>
      <c r="I46" s="13" t="n"/>
      <c r="J46" s="14">
        <f>IF(OR(ISBLANK(H46), H46=""), "", H46*(1+N(I46)))</f>
        <v/>
      </c>
      <c r="K46" s="11" t="n"/>
      <c r="L46" s="11" t="n"/>
    </row>
    <row r="47" ht="12.5" customHeight="1" s="85">
      <c r="G47" s="14" t="n"/>
      <c r="H47" s="14">
        <f>IF(ISBLANK(F47), "", F47*G47)</f>
        <v/>
      </c>
      <c r="I47" s="13" t="n"/>
      <c r="J47" s="14">
        <f>IF(OR(ISBLANK(H47), H47=""), "", H47*(1+N(I47)))</f>
        <v/>
      </c>
      <c r="K47" s="11" t="n"/>
      <c r="L47" s="11" t="n"/>
    </row>
    <row r="48" ht="12.5" customHeight="1" s="85">
      <c r="G48" s="14" t="n"/>
      <c r="H48" s="14">
        <f>IF(ISBLANK(F48), "", F48*G48)</f>
        <v/>
      </c>
      <c r="I48" s="13" t="n"/>
      <c r="J48" s="14">
        <f>IF(OR(ISBLANK(H48), H48=""), "", H48*(1+N(I48)))</f>
        <v/>
      </c>
      <c r="K48" s="11" t="n"/>
      <c r="L48" s="11" t="n"/>
    </row>
    <row r="49" ht="12.5" customHeight="1" s="85">
      <c r="G49" s="14" t="n"/>
      <c r="H49" s="14">
        <f>IF(ISBLANK(F49), "", F49*G49)</f>
        <v/>
      </c>
      <c r="I49" s="13" t="n"/>
      <c r="J49" s="14">
        <f>IF(OR(ISBLANK(H49), H49=""), "", H49*(1+N(I49)))</f>
        <v/>
      </c>
      <c r="K49" s="11" t="n"/>
      <c r="L49" s="11" t="n"/>
    </row>
    <row r="50" ht="12.5" customHeight="1" s="85">
      <c r="G50" s="14" t="n"/>
      <c r="H50" s="14">
        <f>IF(ISBLANK(F50), "", F50*G50)</f>
        <v/>
      </c>
      <c r="I50" s="13" t="n"/>
      <c r="J50" s="14">
        <f>IF(OR(ISBLANK(H50), H50=""), "", H50*(1+N(I50)))</f>
        <v/>
      </c>
      <c r="K50" s="11" t="n"/>
      <c r="L50" s="11" t="n"/>
    </row>
    <row r="51" ht="12.5" customHeight="1" s="85">
      <c r="G51" s="14" t="n"/>
      <c r="H51" s="14">
        <f>IF(ISBLANK(F51), "", F51*G51)</f>
        <v/>
      </c>
      <c r="I51" s="13" t="n"/>
      <c r="J51" s="14">
        <f>IF(OR(ISBLANK(H51), H51=""), "", H51*(1+N(I51)))</f>
        <v/>
      </c>
      <c r="K51" s="11" t="n"/>
      <c r="L51" s="11" t="n"/>
    </row>
    <row r="52" ht="12.5" customHeight="1" s="85">
      <c r="G52" s="14" t="n"/>
      <c r="H52" s="14">
        <f>IF(ISBLANK(F52), "", F52*G52)</f>
        <v/>
      </c>
      <c r="I52" s="13" t="n"/>
      <c r="J52" s="14">
        <f>IF(OR(ISBLANK(H52), H52=""), "", H52*(1+N(I52)))</f>
        <v/>
      </c>
      <c r="K52" s="11" t="n"/>
      <c r="L52" s="11" t="n"/>
    </row>
    <row r="53" ht="12.5" customHeight="1" s="85">
      <c r="G53" s="14" t="n"/>
      <c r="H53" s="14">
        <f>IF(ISBLANK(F53), "", F53*G53)</f>
        <v/>
      </c>
      <c r="I53" s="13" t="n"/>
      <c r="J53" s="14">
        <f>IF(OR(ISBLANK(H53), H53=""), "", H53*(1+N(I53)))</f>
        <v/>
      </c>
      <c r="K53" s="11" t="n"/>
      <c r="L53" s="11" t="n"/>
    </row>
    <row r="54" ht="12.5" customHeight="1" s="85">
      <c r="G54" s="14" t="n"/>
      <c r="H54" s="14">
        <f>IF(ISBLANK(F54), "", F54*G54)</f>
        <v/>
      </c>
      <c r="I54" s="13" t="n"/>
      <c r="J54" s="14">
        <f>IF(OR(ISBLANK(H54), H54=""), "", H54*(1+N(I54)))</f>
        <v/>
      </c>
      <c r="K54" s="11" t="n"/>
      <c r="L54" s="11" t="n"/>
    </row>
    <row r="55" ht="12.5" customHeight="1" s="85">
      <c r="G55" s="14" t="n"/>
      <c r="H55" s="14">
        <f>IF(ISBLANK(F55), "", F55*G55)</f>
        <v/>
      </c>
      <c r="I55" s="13" t="n"/>
      <c r="J55" s="14">
        <f>IF(OR(ISBLANK(H55), H55=""), "", H55*(1+N(I55)))</f>
        <v/>
      </c>
      <c r="K55" s="11" t="n"/>
      <c r="L55" s="11" t="n"/>
    </row>
    <row r="56" ht="12.5" customHeight="1" s="85">
      <c r="G56" s="14" t="n"/>
      <c r="H56" s="14">
        <f>IF(ISBLANK(F56), "", F56*G56)</f>
        <v/>
      </c>
      <c r="I56" s="13" t="n"/>
      <c r="J56" s="14">
        <f>IF(OR(ISBLANK(H56), H56=""), "", H56*(1+N(I56)))</f>
        <v/>
      </c>
      <c r="K56" s="11" t="n"/>
      <c r="L56" s="11" t="n"/>
    </row>
    <row r="57" ht="12.5" customHeight="1" s="85">
      <c r="G57" s="14" t="n"/>
      <c r="H57" s="14">
        <f>IF(ISBLANK(F57), "", F57*G57)</f>
        <v/>
      </c>
      <c r="I57" s="13" t="n"/>
      <c r="J57" s="14">
        <f>IF(OR(ISBLANK(H57), H57=""), "", H57*(1+N(I57)))</f>
        <v/>
      </c>
      <c r="K57" s="11" t="n"/>
      <c r="L57" s="11" t="n"/>
    </row>
    <row r="58" ht="12.5" customHeight="1" s="85">
      <c r="G58" s="14" t="n"/>
      <c r="H58" s="14">
        <f>IF(ISBLANK(F58), "", F58*G58)</f>
        <v/>
      </c>
      <c r="I58" s="13" t="n"/>
      <c r="J58" s="14">
        <f>IF(OR(ISBLANK(H58), H58=""), "", H58*(1+N(I58)))</f>
        <v/>
      </c>
      <c r="K58" s="11" t="n"/>
      <c r="L58" s="11" t="n"/>
    </row>
    <row r="59" ht="12.5" customHeight="1" s="85">
      <c r="G59" s="14" t="n"/>
      <c r="H59" s="14">
        <f>IF(ISBLANK(F59), "", F59*G59)</f>
        <v/>
      </c>
      <c r="I59" s="13" t="n"/>
      <c r="J59" s="14">
        <f>IF(OR(ISBLANK(H59), H59=""), "", H59*(1+N(I59)))</f>
        <v/>
      </c>
      <c r="K59" s="11" t="n"/>
      <c r="L59" s="11" t="n"/>
    </row>
    <row r="60" ht="12.5" customHeight="1" s="85">
      <c r="G60" s="14" t="n"/>
      <c r="H60" s="14">
        <f>IF(ISBLANK(F60), "", F60*G60)</f>
        <v/>
      </c>
      <c r="I60" s="13" t="n"/>
      <c r="J60" s="14">
        <f>IF(OR(ISBLANK(H60), H60=""), "", H60*(1+N(I60)))</f>
        <v/>
      </c>
      <c r="K60" s="11" t="n"/>
      <c r="L60" s="11" t="n"/>
    </row>
    <row r="61" ht="12.5" customHeight="1" s="85">
      <c r="G61" s="14" t="n"/>
      <c r="H61" s="14">
        <f>IF(ISBLANK(F61), "", F61*G61)</f>
        <v/>
      </c>
      <c r="I61" s="13" t="n"/>
      <c r="J61" s="14">
        <f>IF(OR(ISBLANK(H61), H61=""), "", H61*(1+N(I61)))</f>
        <v/>
      </c>
      <c r="K61" s="11" t="n"/>
      <c r="L61" s="11" t="n"/>
    </row>
    <row r="62" ht="12.5" customHeight="1" s="85">
      <c r="G62" s="14" t="n"/>
      <c r="H62" s="14">
        <f>IF(ISBLANK(F62), "", F62*G62)</f>
        <v/>
      </c>
      <c r="I62" s="13" t="n"/>
      <c r="J62" s="14">
        <f>IF(OR(ISBLANK(H62), H62=""), "", H62*(1+N(I62)))</f>
        <v/>
      </c>
      <c r="K62" s="11" t="n"/>
      <c r="L62" s="11" t="n"/>
    </row>
    <row r="63" ht="12.5" customHeight="1" s="85">
      <c r="G63" s="14" t="n"/>
      <c r="H63" s="14">
        <f>IF(ISBLANK(F63), "", F63*G63)</f>
        <v/>
      </c>
      <c r="I63" s="13" t="n"/>
      <c r="J63" s="14">
        <f>IF(OR(ISBLANK(H63), H63=""), "", H63*(1+N(I63)))</f>
        <v/>
      </c>
      <c r="K63" s="11" t="n"/>
      <c r="L63" s="11" t="n"/>
    </row>
    <row r="64" ht="12.5" customHeight="1" s="85">
      <c r="G64" s="14" t="n"/>
      <c r="H64" s="14">
        <f>IF(ISBLANK(F64), "", F64*G64)</f>
        <v/>
      </c>
      <c r="I64" s="13" t="n"/>
      <c r="J64" s="14">
        <f>IF(OR(ISBLANK(H64), H64=""), "", H64*(1+N(I64)))</f>
        <v/>
      </c>
      <c r="K64" s="11" t="n"/>
      <c r="L64" s="11" t="n"/>
    </row>
    <row r="65" ht="12.5" customHeight="1" s="85">
      <c r="G65" s="14" t="n"/>
      <c r="H65" s="14">
        <f>IF(ISBLANK(F65), "", F65*G65)</f>
        <v/>
      </c>
      <c r="I65" s="13" t="n"/>
      <c r="J65" s="14">
        <f>IF(OR(ISBLANK(H65), H65=""), "", H65*(1+N(I65)))</f>
        <v/>
      </c>
      <c r="K65" s="11" t="n"/>
      <c r="L65" s="11" t="n"/>
    </row>
    <row r="66" ht="12.5" customHeight="1" s="85">
      <c r="G66" s="14" t="n"/>
      <c r="H66" s="14">
        <f>IF(ISBLANK(F66), "", F66*G66)</f>
        <v/>
      </c>
      <c r="I66" s="13" t="n"/>
      <c r="J66" s="14">
        <f>IF(OR(ISBLANK(H66), H66=""), "", H66*(1+N(I66)))</f>
        <v/>
      </c>
      <c r="K66" s="11" t="n"/>
      <c r="L66" s="11" t="n"/>
    </row>
    <row r="67" ht="12.5" customHeight="1" s="85">
      <c r="G67" s="14" t="n"/>
      <c r="H67" s="14">
        <f>IF(ISBLANK(F67), "", F67*G67)</f>
        <v/>
      </c>
      <c r="I67" s="13" t="n"/>
      <c r="J67" s="14">
        <f>IF(OR(ISBLANK(H67), H67=""), "", H67*(1+N(I67)))</f>
        <v/>
      </c>
      <c r="K67" s="11" t="n"/>
      <c r="L67" s="11" t="n"/>
    </row>
    <row r="68" ht="12.5" customHeight="1" s="85">
      <c r="G68" s="14" t="n"/>
      <c r="H68" s="14">
        <f>IF(ISBLANK(F68), "", F68*G68)</f>
        <v/>
      </c>
      <c r="I68" s="13" t="n"/>
      <c r="J68" s="14">
        <f>IF(OR(ISBLANK(H68), H68=""), "", H68*(1+N(I68)))</f>
        <v/>
      </c>
      <c r="K68" s="11" t="n"/>
      <c r="L68" s="11" t="n"/>
    </row>
    <row r="69" ht="12.5" customHeight="1" s="85">
      <c r="G69" s="14" t="n"/>
      <c r="H69" s="14">
        <f>IF(ISBLANK(F69), "", F69*G69)</f>
        <v/>
      </c>
      <c r="I69" s="13" t="n"/>
      <c r="J69" s="14">
        <f>IF(OR(ISBLANK(H69), H69=""), "", H69*(1+N(I69)))</f>
        <v/>
      </c>
      <c r="K69" s="11" t="n"/>
      <c r="L69" s="11" t="n"/>
    </row>
    <row r="70" ht="12.5" customHeight="1" s="85">
      <c r="G70" s="14" t="n"/>
      <c r="H70" s="14">
        <f>IF(ISBLANK(F70), "", F70*G70)</f>
        <v/>
      </c>
      <c r="I70" s="13" t="n"/>
      <c r="J70" s="14">
        <f>IF(OR(ISBLANK(H70), H70=""), "", H70*(1+N(I70)))</f>
        <v/>
      </c>
      <c r="K70" s="11" t="n"/>
      <c r="L70" s="11" t="n"/>
    </row>
    <row r="71" ht="12.5" customHeight="1" s="85">
      <c r="G71" s="14" t="n"/>
      <c r="H71" s="14">
        <f>IF(ISBLANK(F71), "", F71*G71)</f>
        <v/>
      </c>
      <c r="I71" s="13" t="n"/>
      <c r="J71" s="14">
        <f>IF(OR(ISBLANK(H71), H71=""), "", H71*(1+N(I71)))</f>
        <v/>
      </c>
      <c r="K71" s="11" t="n"/>
      <c r="L71" s="11" t="n"/>
    </row>
    <row r="72" ht="12.5" customHeight="1" s="85">
      <c r="G72" s="14" t="n"/>
      <c r="H72" s="14">
        <f>IF(ISBLANK(F72), "", F72*G72)</f>
        <v/>
      </c>
      <c r="I72" s="13" t="n"/>
      <c r="J72" s="14">
        <f>IF(OR(ISBLANK(H72), H72=""), "", H72*(1+N(I72)))</f>
        <v/>
      </c>
      <c r="K72" s="11" t="n"/>
      <c r="L72" s="11" t="n"/>
    </row>
    <row r="73" ht="12.5" customHeight="1" s="85">
      <c r="G73" s="14" t="n"/>
      <c r="H73" s="14">
        <f>IF(ISBLANK(F73), "", F73*G73)</f>
        <v/>
      </c>
      <c r="I73" s="13" t="n"/>
      <c r="J73" s="14">
        <f>IF(OR(ISBLANK(H73), H73=""), "", H73*(1+N(I73)))</f>
        <v/>
      </c>
      <c r="K73" s="11" t="n"/>
      <c r="L73" s="11" t="n"/>
    </row>
    <row r="74" ht="12.5" customHeight="1" s="85">
      <c r="G74" s="14" t="n"/>
      <c r="H74" s="14">
        <f>IF(ISBLANK(F74), "", F74*G74)</f>
        <v/>
      </c>
      <c r="I74" s="13" t="n"/>
      <c r="J74" s="14">
        <f>IF(OR(ISBLANK(H74), H74=""), "", H74*(1+N(I74)))</f>
        <v/>
      </c>
      <c r="K74" s="11" t="n"/>
      <c r="L74" s="11" t="n"/>
    </row>
    <row r="75" ht="12.5" customHeight="1" s="85">
      <c r="G75" s="14" t="n"/>
      <c r="H75" s="14">
        <f>IF(ISBLANK(F75), "", F75*G75)</f>
        <v/>
      </c>
      <c r="I75" s="13" t="n"/>
      <c r="J75" s="14">
        <f>IF(OR(ISBLANK(H75), H75=""), "", H75*(1+N(I75)))</f>
        <v/>
      </c>
      <c r="K75" s="11" t="n"/>
      <c r="L75" s="11" t="n"/>
    </row>
    <row r="76" ht="12.5" customHeight="1" s="85">
      <c r="G76" s="14" t="n"/>
      <c r="H76" s="14">
        <f>IF(ISBLANK(F76), "", F76*G76)</f>
        <v/>
      </c>
      <c r="I76" s="13" t="n"/>
      <c r="J76" s="14">
        <f>IF(OR(ISBLANK(H76), H76=""), "", H76*(1+N(I76)))</f>
        <v/>
      </c>
      <c r="K76" s="11" t="n"/>
      <c r="L76" s="11" t="n"/>
    </row>
    <row r="77" ht="12.5" customHeight="1" s="85">
      <c r="G77" s="14" t="n"/>
      <c r="H77" s="14">
        <f>IF(ISBLANK(F77), "", F77*G77)</f>
        <v/>
      </c>
      <c r="I77" s="13" t="n"/>
      <c r="J77" s="14">
        <f>IF(OR(ISBLANK(H77), H77=""), "", H77*(1+N(I77)))</f>
        <v/>
      </c>
      <c r="K77" s="11" t="n"/>
      <c r="L77" s="11" t="n"/>
    </row>
    <row r="78" ht="12.5" customHeight="1" s="85">
      <c r="G78" s="14" t="n"/>
      <c r="H78" s="14">
        <f>IF(ISBLANK(F78), "", F78*G78)</f>
        <v/>
      </c>
      <c r="I78" s="13" t="n"/>
      <c r="J78" s="14">
        <f>IF(OR(ISBLANK(H78), H78=""), "", H78*(1+N(I78)))</f>
        <v/>
      </c>
      <c r="K78" s="11" t="n"/>
      <c r="L78" s="11" t="n"/>
    </row>
    <row r="79" ht="12.5" customHeight="1" s="85">
      <c r="G79" s="14" t="n"/>
      <c r="H79" s="14">
        <f>IF(ISBLANK(F79), "", F79*G79)</f>
        <v/>
      </c>
      <c r="I79" s="13" t="n"/>
      <c r="J79" s="14">
        <f>IF(OR(ISBLANK(H79), H79=""), "", H79*(1+N(I79)))</f>
        <v/>
      </c>
      <c r="K79" s="11" t="n"/>
      <c r="L79" s="11" t="n"/>
    </row>
    <row r="80" ht="12.5" customHeight="1" s="85">
      <c r="G80" s="14" t="n"/>
      <c r="H80" s="14">
        <f>IF(ISBLANK(F80), "", F80*G80)</f>
        <v/>
      </c>
      <c r="I80" s="13" t="n"/>
      <c r="J80" s="14">
        <f>IF(OR(ISBLANK(H80), H80=""), "", H80*(1+N(I80)))</f>
        <v/>
      </c>
      <c r="K80" s="11" t="n"/>
      <c r="L80" s="11" t="n"/>
    </row>
    <row r="81" ht="12.5" customHeight="1" s="85">
      <c r="G81" s="14" t="n"/>
      <c r="H81" s="14">
        <f>IF(ISBLANK(F81), "", F81*G81)</f>
        <v/>
      </c>
      <c r="I81" s="13" t="n"/>
      <c r="J81" s="14">
        <f>IF(OR(ISBLANK(H81), H81=""), "", H81*(1+N(I81)))</f>
        <v/>
      </c>
      <c r="K81" s="11" t="n"/>
      <c r="L81" s="11" t="n"/>
    </row>
    <row r="82" ht="12.5" customHeight="1" s="85">
      <c r="G82" s="14" t="n"/>
      <c r="H82" s="14">
        <f>IF(ISBLANK(F82), "", F82*G82)</f>
        <v/>
      </c>
      <c r="I82" s="13" t="n"/>
      <c r="J82" s="14">
        <f>IF(OR(ISBLANK(H82), H82=""), "", H82*(1+N(I82)))</f>
        <v/>
      </c>
      <c r="K82" s="11" t="n"/>
      <c r="L82" s="11" t="n"/>
    </row>
    <row r="83" ht="12.5" customHeight="1" s="85">
      <c r="G83" s="14" t="n"/>
      <c r="H83" s="14">
        <f>IF(ISBLANK(F83), "", F83*G83)</f>
        <v/>
      </c>
      <c r="I83" s="13" t="n"/>
      <c r="J83" s="14">
        <f>IF(OR(ISBLANK(H83), H83=""), "", H83*(1+N(I83)))</f>
        <v/>
      </c>
      <c r="K83" s="11" t="n"/>
      <c r="L83" s="11" t="n"/>
    </row>
    <row r="84" ht="12.5" customHeight="1" s="85">
      <c r="G84" s="14" t="n"/>
      <c r="H84" s="14">
        <f>IF(ISBLANK(F84), "", F84*G84)</f>
        <v/>
      </c>
      <c r="I84" s="13" t="n"/>
      <c r="J84" s="14">
        <f>IF(OR(ISBLANK(H84), H84=""), "", H84*(1+N(I84)))</f>
        <v/>
      </c>
      <c r="K84" s="11" t="n"/>
      <c r="L84" s="11" t="n"/>
    </row>
    <row r="85" ht="12.5" customHeight="1" s="85">
      <c r="G85" s="14" t="n"/>
      <c r="H85" s="14">
        <f>IF(ISBLANK(F85), "", F85*G85)</f>
        <v/>
      </c>
      <c r="I85" s="13" t="n"/>
      <c r="J85" s="14">
        <f>IF(OR(ISBLANK(H85), H85=""), "", H85*(1+N(I85)))</f>
        <v/>
      </c>
      <c r="K85" s="11" t="n"/>
      <c r="L85" s="11" t="n"/>
    </row>
    <row r="86" ht="12.5" customHeight="1" s="85">
      <c r="G86" s="14" t="n"/>
      <c r="H86" s="14">
        <f>IF(ISBLANK(F86), "", F86*G86)</f>
        <v/>
      </c>
      <c r="I86" s="13" t="n"/>
      <c r="J86" s="14">
        <f>IF(OR(ISBLANK(H86), H86=""), "", H86*(1+N(I86)))</f>
        <v/>
      </c>
      <c r="K86" s="11" t="n"/>
      <c r="L86" s="11" t="n"/>
    </row>
    <row r="87" ht="12.5" customHeight="1" s="85">
      <c r="G87" s="14" t="n"/>
      <c r="H87" s="14">
        <f>IF(ISBLANK(F87), "", F87*G87)</f>
        <v/>
      </c>
      <c r="I87" s="13" t="n"/>
      <c r="J87" s="14">
        <f>IF(OR(ISBLANK(H87), H87=""), "", H87*(1+N(I87)))</f>
        <v/>
      </c>
      <c r="K87" s="11" t="n"/>
      <c r="L87" s="11" t="n"/>
    </row>
    <row r="88" ht="12.5" customHeight="1" s="85">
      <c r="G88" s="14" t="n"/>
      <c r="H88" s="14">
        <f>IF(ISBLANK(F88), "", F88*G88)</f>
        <v/>
      </c>
      <c r="I88" s="13" t="n"/>
      <c r="J88" s="14">
        <f>IF(OR(ISBLANK(H88), H88=""), "", H88*(1+N(I88)))</f>
        <v/>
      </c>
      <c r="K88" s="11" t="n"/>
      <c r="L88" s="11" t="n"/>
    </row>
    <row r="89" ht="12.5" customHeight="1" s="85">
      <c r="G89" s="14" t="n"/>
      <c r="H89" s="14">
        <f>IF(ISBLANK(F89), "", F89*G89)</f>
        <v/>
      </c>
      <c r="I89" s="13" t="n"/>
      <c r="J89" s="14">
        <f>IF(OR(ISBLANK(H89), H89=""), "", H89*(1+N(I89)))</f>
        <v/>
      </c>
      <c r="K89" s="11" t="n"/>
      <c r="L89" s="11" t="n"/>
    </row>
    <row r="90" ht="12.5" customHeight="1" s="85">
      <c r="G90" s="14" t="n"/>
      <c r="H90" s="14">
        <f>IF(ISBLANK(F90), "", F90*G90)</f>
        <v/>
      </c>
      <c r="I90" s="13" t="n"/>
      <c r="J90" s="14">
        <f>IF(OR(ISBLANK(H90), H90=""), "", H90*(1+N(I90)))</f>
        <v/>
      </c>
      <c r="K90" s="11" t="n"/>
      <c r="L90" s="11" t="n"/>
    </row>
    <row r="91" ht="12.5" customHeight="1" s="85">
      <c r="G91" s="14" t="n"/>
      <c r="H91" s="14">
        <f>IF(ISBLANK(F91), "", F91*G91)</f>
        <v/>
      </c>
      <c r="I91" s="13" t="n"/>
      <c r="J91" s="14">
        <f>IF(OR(ISBLANK(H91), H91=""), "", H91*(1+N(I91)))</f>
        <v/>
      </c>
      <c r="K91" s="11" t="n"/>
      <c r="L91" s="11" t="n"/>
    </row>
    <row r="92" ht="12.5" customHeight="1" s="85">
      <c r="G92" s="14" t="n"/>
      <c r="H92" s="14">
        <f>IF(ISBLANK(F92), "", F92*G92)</f>
        <v/>
      </c>
      <c r="I92" s="13" t="n"/>
      <c r="J92" s="14">
        <f>IF(OR(ISBLANK(H92), H92=""), "", H92*(1+N(I92)))</f>
        <v/>
      </c>
      <c r="K92" s="11" t="n"/>
      <c r="L92" s="11" t="n"/>
    </row>
    <row r="93" ht="12.5" customHeight="1" s="85">
      <c r="G93" s="14" t="n"/>
      <c r="H93" s="14">
        <f>IF(ISBLANK(F93), "", F93*G93)</f>
        <v/>
      </c>
      <c r="I93" s="13" t="n"/>
      <c r="J93" s="14">
        <f>IF(OR(ISBLANK(H93), H93=""), "", H93*(1+N(I93)))</f>
        <v/>
      </c>
      <c r="K93" s="11" t="n"/>
      <c r="L93" s="11" t="n"/>
    </row>
    <row r="94" ht="12.5" customHeight="1" s="85">
      <c r="G94" s="14" t="n"/>
      <c r="H94" s="14">
        <f>IF(ISBLANK(F94), "", F94*G94)</f>
        <v/>
      </c>
      <c r="I94" s="13" t="n"/>
      <c r="J94" s="14">
        <f>IF(OR(ISBLANK(H94), H94=""), "", H94*(1+N(I94)))</f>
        <v/>
      </c>
      <c r="K94" s="11" t="n"/>
      <c r="L94" s="11" t="n"/>
    </row>
    <row r="95" ht="12.5" customHeight="1" s="85">
      <c r="G95" s="14" t="n"/>
      <c r="H95" s="14">
        <f>IF(ISBLANK(F95), "", F95*G95)</f>
        <v/>
      </c>
      <c r="I95" s="13" t="n"/>
      <c r="J95" s="14">
        <f>IF(OR(ISBLANK(H95), H95=""), "", H95*(1+N(I95)))</f>
        <v/>
      </c>
      <c r="K95" s="11" t="n"/>
      <c r="L95" s="11" t="n"/>
    </row>
    <row r="96" ht="12.5" customHeight="1" s="85">
      <c r="G96" s="14" t="n"/>
      <c r="H96" s="14">
        <f>IF(ISBLANK(F96), "", F96*G96)</f>
        <v/>
      </c>
      <c r="I96" s="13" t="n"/>
      <c r="J96" s="14">
        <f>IF(OR(ISBLANK(H96), H96=""), "", H96*(1+N(I96)))</f>
        <v/>
      </c>
      <c r="K96" s="11" t="n"/>
      <c r="L96" s="11" t="n"/>
    </row>
    <row r="97" ht="12.5" customHeight="1" s="85">
      <c r="G97" s="14" t="n"/>
      <c r="H97" s="14">
        <f>IF(ISBLANK(F97), "", F97*G97)</f>
        <v/>
      </c>
      <c r="I97" s="13" t="n"/>
      <c r="J97" s="14">
        <f>IF(OR(ISBLANK(H97), H97=""), "", H97*(1+N(I97)))</f>
        <v/>
      </c>
      <c r="K97" s="11" t="n"/>
      <c r="L97" s="11" t="n"/>
    </row>
    <row r="98" ht="12.5" customHeight="1" s="85">
      <c r="G98" s="14" t="n"/>
      <c r="H98" s="14">
        <f>IF(ISBLANK(F98), "", F98*G98)</f>
        <v/>
      </c>
      <c r="I98" s="13" t="n"/>
      <c r="J98" s="14">
        <f>IF(OR(ISBLANK(H98), H98=""), "", H98*(1+N(I98)))</f>
        <v/>
      </c>
      <c r="K98" s="11" t="n"/>
      <c r="L98" s="11" t="n"/>
    </row>
    <row r="99" ht="12.5" customHeight="1" s="85">
      <c r="G99" s="14" t="n"/>
      <c r="H99" s="14">
        <f>IF(ISBLANK(F99), "", F99*G99)</f>
        <v/>
      </c>
      <c r="I99" s="13" t="n"/>
      <c r="J99" s="14">
        <f>IF(OR(ISBLANK(H99), H99=""), "", H99*(1+N(I99)))</f>
        <v/>
      </c>
      <c r="K99" s="11" t="n"/>
      <c r="L99" s="11" t="n"/>
    </row>
    <row r="100" ht="12.5" customHeight="1" s="85">
      <c r="G100" s="14" t="n"/>
      <c r="H100" s="14">
        <f>IF(ISBLANK(F100), "", F100*G100)</f>
        <v/>
      </c>
      <c r="I100" s="13" t="n"/>
      <c r="J100" s="14">
        <f>IF(OR(ISBLANK(H100), H100=""), "", H100*(1+N(I100)))</f>
        <v/>
      </c>
      <c r="K100" s="11" t="n"/>
      <c r="L100" s="11" t="n"/>
    </row>
  </sheetData>
  <dataValidations count="2">
    <dataValidation sqref="K2:K100" showDropDown="0" showInputMessage="0" showErrorMessage="0" allowBlank="1" type="list">
      <formula1>"Paid,Pending,Unpaid"</formula1>
    </dataValidation>
    <dataValidation sqref="L2:L100" showDropDown="0" showInputMessage="0" showErrorMessage="0" allowBlank="1" type="list">
      <formula1>"Yes (Eligible),Ineligible,Blocked Credit"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13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28125" defaultRowHeight="15.75" customHeight="1"/>
  <cols>
    <col width="27.6328125" customWidth="1" style="85" min="1" max="1"/>
    <col width="13.90625" customWidth="1" style="85" min="2" max="2"/>
    <col width="17.6328125" customWidth="1" style="85" min="3" max="3"/>
    <col width="26.36328125" customWidth="1" style="85" min="4" max="4"/>
  </cols>
  <sheetData>
    <row r="1" ht="15.75" customHeight="1" s="85">
      <c r="A1" s="44" t="inlineStr">
        <is>
          <t>NAME</t>
        </is>
      </c>
      <c r="B1" s="44" t="inlineStr">
        <is>
          <t>MOBILE</t>
        </is>
      </c>
      <c r="C1" s="44" t="inlineStr">
        <is>
          <t>MODE</t>
        </is>
      </c>
      <c r="D1" s="44" t="inlineStr">
        <is>
          <t>BALANCE</t>
        </is>
      </c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</row>
    <row r="2" ht="15.75" customHeight="1" s="85">
      <c r="A2" s="46" t="inlineStr">
        <is>
          <t>Akshay Verma</t>
        </is>
      </c>
      <c r="B2" s="46" t="n">
        <v>4477233719</v>
      </c>
      <c r="C2" s="46" t="inlineStr">
        <is>
          <t>Customer</t>
        </is>
      </c>
      <c r="D2" s="46" t="inlineStr">
        <is>
          <t>₹ 0</t>
        </is>
      </c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</row>
    <row r="3" ht="15.75" customHeight="1" s="85">
      <c r="A3" s="46" t="inlineStr">
        <is>
          <t>Wilson Uncle25</t>
        </is>
      </c>
      <c r="B3" s="46" t="n">
        <v>4712245785</v>
      </c>
      <c r="C3" s="46" t="inlineStr">
        <is>
          <t>Customer</t>
        </is>
      </c>
      <c r="D3" s="46" t="inlineStr">
        <is>
          <t>₹ 0</t>
        </is>
      </c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</row>
    <row r="4" ht="15.75" customHeight="1" s="85">
      <c r="A4" s="46" t="inlineStr">
        <is>
          <t>Little flower chargawa Lfs gorakhpur</t>
        </is>
      </c>
      <c r="B4" s="46" t="n">
        <v>5512504941</v>
      </c>
      <c r="C4" s="46" t="inlineStr">
        <is>
          <t>Customer</t>
        </is>
      </c>
      <c r="D4" s="46" t="inlineStr">
        <is>
          <t>₹ 0</t>
        </is>
      </c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</row>
    <row r="5" ht="15.75" customHeight="1" s="85">
      <c r="A5" s="46" t="inlineStr">
        <is>
          <t>Joel</t>
        </is>
      </c>
      <c r="B5" s="46" t="n">
        <v>6001922077</v>
      </c>
      <c r="C5" s="46" t="inlineStr">
        <is>
          <t>Customer</t>
        </is>
      </c>
      <c r="D5" s="46" t="inlineStr">
        <is>
          <t>₹ 0</t>
        </is>
      </c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</row>
    <row r="6" ht="15.75" customHeight="1" s="85">
      <c r="A6" s="46" t="inlineStr">
        <is>
          <t>Bleson</t>
        </is>
      </c>
      <c r="B6" s="46" t="n">
        <v>6203349657</v>
      </c>
      <c r="C6" s="46" t="inlineStr">
        <is>
          <t>Customer</t>
        </is>
      </c>
      <c r="D6" s="46" t="inlineStr">
        <is>
          <t>₹ 0</t>
        </is>
      </c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</row>
    <row r="7" ht="15.75" customHeight="1" s="85">
      <c r="A7" s="46" t="inlineStr">
        <is>
          <t>Mrs.Martin</t>
        </is>
      </c>
      <c r="B7" s="46" t="n">
        <v>6206150511</v>
      </c>
      <c r="C7" s="46" t="inlineStr">
        <is>
          <t>Customer</t>
        </is>
      </c>
      <c r="D7" s="46" t="inlineStr">
        <is>
          <t>₹ 0</t>
        </is>
      </c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</row>
    <row r="8" ht="15.75" customHeight="1" s="85">
      <c r="A8" s="46" t="inlineStr">
        <is>
          <t>Ashok</t>
        </is>
      </c>
      <c r="B8" s="46" t="n">
        <v>6206464368</v>
      </c>
      <c r="C8" s="46" t="inlineStr">
        <is>
          <t>Customer</t>
        </is>
      </c>
      <c r="D8" s="46" t="inlineStr">
        <is>
          <t>₹ 0</t>
        </is>
      </c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</row>
    <row r="9" ht="15.75" customHeight="1" s="85">
      <c r="A9" s="46" t="inlineStr">
        <is>
          <t>Mini</t>
        </is>
      </c>
      <c r="B9" s="46" t="n">
        <v>6235466149</v>
      </c>
      <c r="C9" s="46" t="inlineStr">
        <is>
          <t>Customer</t>
        </is>
      </c>
      <c r="D9" s="46" t="inlineStr">
        <is>
          <t>₹ 0</t>
        </is>
      </c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</row>
    <row r="10" ht="15.75" customHeight="1" s="85">
      <c r="A10" s="46" t="inlineStr">
        <is>
          <t>Joncy Teacher GMS</t>
        </is>
      </c>
      <c r="B10" s="46" t="n">
        <v>6235891472</v>
      </c>
      <c r="C10" s="46" t="inlineStr">
        <is>
          <t>Customer</t>
        </is>
      </c>
      <c r="D10" s="46" t="inlineStr">
        <is>
          <t>₹ 0</t>
        </is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</row>
    <row r="11" ht="15.75" customHeight="1" s="85">
      <c r="A11" s="46" t="inlineStr">
        <is>
          <t>Vinu</t>
        </is>
      </c>
      <c r="B11" s="46" t="n">
        <v>6238226270</v>
      </c>
      <c r="C11" s="46" t="inlineStr">
        <is>
          <t>Customer</t>
        </is>
      </c>
      <c r="D11" s="46" t="inlineStr">
        <is>
          <t>₹ 0</t>
        </is>
      </c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</row>
    <row r="12" ht="15.75" customHeight="1" s="85">
      <c r="A12" s="46" t="inlineStr">
        <is>
          <t>Akash Dharampur</t>
        </is>
      </c>
      <c r="B12" s="46" t="n">
        <v>6238234689</v>
      </c>
      <c r="C12" s="46" t="inlineStr">
        <is>
          <t>Customer</t>
        </is>
      </c>
      <c r="D12" s="46" t="inlineStr">
        <is>
          <t>₹ 0</t>
        </is>
      </c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</row>
    <row r="13" ht="15.75" customHeight="1" s="85">
      <c r="A13" s="46" t="inlineStr">
        <is>
          <t>Rakesh</t>
        </is>
      </c>
      <c r="B13" s="46" t="n">
        <v>6238391310</v>
      </c>
      <c r="C13" s="46" t="inlineStr">
        <is>
          <t>Customer</t>
        </is>
      </c>
      <c r="D13" s="46" t="inlineStr">
        <is>
          <t>₹ 0</t>
        </is>
      </c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</row>
    <row r="14" ht="15.75" customHeight="1" s="85">
      <c r="A14" s="46" t="inlineStr">
        <is>
          <t>Mery</t>
        </is>
      </c>
      <c r="B14" s="46" t="n">
        <v>6238724921</v>
      </c>
      <c r="C14" s="46" t="inlineStr">
        <is>
          <t>Customer</t>
        </is>
      </c>
      <c r="D14" s="46" t="inlineStr">
        <is>
          <t>₹ 0</t>
        </is>
      </c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</row>
    <row r="15" ht="15.75" customHeight="1" s="85">
      <c r="A15" s="46" t="inlineStr">
        <is>
          <t>Nicky</t>
        </is>
      </c>
      <c r="B15" s="46" t="n">
        <v>6238841502</v>
      </c>
      <c r="C15" s="46" t="inlineStr">
        <is>
          <t>Customer</t>
        </is>
      </c>
      <c r="D15" s="46" t="inlineStr">
        <is>
          <t>₹ 0</t>
        </is>
      </c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</row>
    <row r="16" ht="15.75" customHeight="1" s="85">
      <c r="A16" s="46" t="inlineStr">
        <is>
          <t>Msmi Convent Gida</t>
        </is>
      </c>
      <c r="B16" s="46" t="n">
        <v>6264555369</v>
      </c>
      <c r="C16" s="46" t="inlineStr">
        <is>
          <t>Customer</t>
        </is>
      </c>
      <c r="D16" s="46" t="inlineStr">
        <is>
          <t>₹ 0</t>
        </is>
      </c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</row>
    <row r="17" ht="15.75" customHeight="1" s="85">
      <c r="A17" s="46" t="inlineStr">
        <is>
          <t>St.Annes</t>
        </is>
      </c>
      <c r="B17" s="46" t="n">
        <v>6264728892</v>
      </c>
      <c r="C17" s="46" t="inlineStr">
        <is>
          <t>Customer</t>
        </is>
      </c>
      <c r="D17" s="46" t="inlineStr">
        <is>
          <t>₹ 0</t>
        </is>
      </c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</row>
    <row r="18" ht="15.75" customHeight="1" s="85">
      <c r="A18" s="46" t="inlineStr">
        <is>
          <t>Msmi Convent Gida</t>
        </is>
      </c>
      <c r="B18" s="46" t="n">
        <v>6267555369</v>
      </c>
      <c r="C18" s="46" t="inlineStr">
        <is>
          <t>Customer</t>
        </is>
      </c>
      <c r="D18" s="46" t="inlineStr">
        <is>
          <t>₹ 0</t>
        </is>
      </c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</row>
    <row r="19" ht="15.75" customHeight="1" s="85">
      <c r="A19" s="46" t="inlineStr">
        <is>
          <t>Adithya</t>
        </is>
      </c>
      <c r="B19" s="46" t="n"/>
      <c r="C19" s="46" t="inlineStr">
        <is>
          <t>Customer</t>
        </is>
      </c>
      <c r="D19" s="46" t="inlineStr">
        <is>
          <t>₹ 0</t>
        </is>
      </c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</row>
    <row r="20" ht="16.5" customHeight="1" s="85">
      <c r="A20" s="46" t="inlineStr">
        <is>
          <t>Viju Abraham</t>
        </is>
      </c>
      <c r="B20" s="46" t="n">
        <v>6282158418</v>
      </c>
      <c r="C20" s="46" t="inlineStr">
        <is>
          <t>Customer</t>
        </is>
      </c>
      <c r="D20" s="46" t="inlineStr">
        <is>
          <t>₹ 0</t>
        </is>
      </c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</row>
    <row r="21" ht="16.5" customHeight="1" s="85">
      <c r="A21" s="46" t="inlineStr">
        <is>
          <t>Tojus</t>
        </is>
      </c>
      <c r="B21" s="46" t="n">
        <v>6282268412</v>
      </c>
      <c r="C21" s="46" t="inlineStr">
        <is>
          <t>Customer</t>
        </is>
      </c>
      <c r="D21" s="46" t="inlineStr">
        <is>
          <t>₹ 0</t>
        </is>
      </c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</row>
    <row r="22" ht="16.5" customHeight="1" s="85">
      <c r="A22" s="46" t="inlineStr">
        <is>
          <t>Jomish</t>
        </is>
      </c>
      <c r="B22" s="46" t="n">
        <v>6282498587</v>
      </c>
      <c r="C22" s="46" t="inlineStr">
        <is>
          <t>Customer</t>
        </is>
      </c>
      <c r="D22" s="46" t="inlineStr">
        <is>
          <t>₹ 0</t>
        </is>
      </c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</row>
    <row r="23" ht="16.5" customHeight="1" s="85">
      <c r="A23" s="46" t="inlineStr">
        <is>
          <t>Shanto Mon</t>
        </is>
      </c>
      <c r="B23" s="46" t="n">
        <v>6282547683</v>
      </c>
      <c r="C23" s="46" t="inlineStr">
        <is>
          <t>Customer</t>
        </is>
      </c>
      <c r="D23" s="46" t="inlineStr">
        <is>
          <t>₹ 0</t>
        </is>
      </c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</row>
    <row r="24" ht="16.5" customHeight="1" s="85">
      <c r="A24" s="46" t="inlineStr">
        <is>
          <t>Unni</t>
        </is>
      </c>
      <c r="B24" s="46" t="n">
        <v>6282764891</v>
      </c>
      <c r="C24" s="46" t="inlineStr">
        <is>
          <t>Customer</t>
        </is>
      </c>
      <c r="D24" s="46" t="inlineStr">
        <is>
          <t>₹ 0</t>
        </is>
      </c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</row>
    <row r="25" ht="16.5" customHeight="1" s="85">
      <c r="A25" s="46" t="inlineStr">
        <is>
          <t>Shibin</t>
        </is>
      </c>
      <c r="B25" s="46" t="n">
        <v>6282849475</v>
      </c>
      <c r="C25" s="46" t="inlineStr">
        <is>
          <t>Customer</t>
        </is>
      </c>
      <c r="D25" s="46" t="inlineStr">
        <is>
          <t>₹ 0</t>
        </is>
      </c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</row>
    <row r="26" ht="16.5" customHeight="1" s="85">
      <c r="A26" s="46" t="inlineStr">
        <is>
          <t>Dr.Raj</t>
        </is>
      </c>
      <c r="B26" s="46" t="n">
        <v>6302851076</v>
      </c>
      <c r="C26" s="46" t="inlineStr">
        <is>
          <t>Customer</t>
        </is>
      </c>
      <c r="D26" s="46" t="inlineStr">
        <is>
          <t>₹ 0</t>
        </is>
      </c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</row>
    <row r="27" ht="16.5" customHeight="1" s="85">
      <c r="A27" s="46" t="inlineStr">
        <is>
          <t>John</t>
        </is>
      </c>
      <c r="B27" s="46" t="n">
        <v>6303998605</v>
      </c>
      <c r="C27" s="46" t="inlineStr">
        <is>
          <t>Customer</t>
        </is>
      </c>
      <c r="D27" s="46" t="inlineStr">
        <is>
          <t>₹ 0</t>
        </is>
      </c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</row>
    <row r="28" ht="16.5" customHeight="1" s="85">
      <c r="A28" s="46" t="inlineStr">
        <is>
          <t>Sajin</t>
        </is>
      </c>
      <c r="B28" s="46" t="n">
        <v>6306091395</v>
      </c>
      <c r="C28" s="46" t="inlineStr">
        <is>
          <t>Customer</t>
        </is>
      </c>
      <c r="D28" s="46" t="inlineStr">
        <is>
          <t>₹ 0</t>
        </is>
      </c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</row>
    <row r="29" ht="16.5" customHeight="1" s="85">
      <c r="A29" s="46" t="inlineStr">
        <is>
          <t>Naveen</t>
        </is>
      </c>
      <c r="B29" s="46" t="n">
        <v>6306093002</v>
      </c>
      <c r="C29" s="46" t="inlineStr">
        <is>
          <t>Customer</t>
        </is>
      </c>
      <c r="D29" s="46" t="inlineStr">
        <is>
          <t>₹ 0</t>
        </is>
      </c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</row>
    <row r="30" ht="16.5" customHeight="1" s="85">
      <c r="A30" s="46" t="inlineStr">
        <is>
          <t>Harry Joshua</t>
        </is>
      </c>
      <c r="B30" s="46" t="n">
        <v>6306202868</v>
      </c>
      <c r="C30" s="46" t="inlineStr">
        <is>
          <t>Customer</t>
        </is>
      </c>
      <c r="D30" s="46" t="inlineStr">
        <is>
          <t>₹ 0</t>
        </is>
      </c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</row>
    <row r="31" ht="16.5" customHeight="1" s="85">
      <c r="A31" s="46" t="inlineStr">
        <is>
          <t>Jophin</t>
        </is>
      </c>
      <c r="B31" s="46" t="n">
        <v>6306225015</v>
      </c>
      <c r="C31" s="46" t="inlineStr">
        <is>
          <t>Customer</t>
        </is>
      </c>
      <c r="D31" s="46" t="inlineStr">
        <is>
          <t>₹ 0</t>
        </is>
      </c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</row>
    <row r="32" ht="16.5" customHeight="1" s="85">
      <c r="A32" s="46" t="inlineStr">
        <is>
          <t>Harun</t>
        </is>
      </c>
      <c r="B32" s="46" t="n">
        <v>6306248817</v>
      </c>
      <c r="C32" s="46" t="inlineStr">
        <is>
          <t>Customer</t>
        </is>
      </c>
      <c r="D32" s="46" t="inlineStr">
        <is>
          <t>₹ 0</t>
        </is>
      </c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</row>
    <row r="33" ht="16.5" customHeight="1" s="85">
      <c r="A33" s="46" t="inlineStr">
        <is>
          <t>Ks Garments Padosi</t>
        </is>
      </c>
      <c r="B33" s="46" t="n">
        <v>6306388519</v>
      </c>
      <c r="C33" s="46" t="inlineStr">
        <is>
          <t>Customer</t>
        </is>
      </c>
      <c r="D33" s="46" t="inlineStr">
        <is>
          <t>₹ 0</t>
        </is>
      </c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</row>
    <row r="34" ht="16.5" customHeight="1" s="85">
      <c r="A34" s="46" t="inlineStr">
        <is>
          <t>Ashok</t>
        </is>
      </c>
      <c r="B34" s="46" t="n">
        <v>6306464368</v>
      </c>
      <c r="C34" s="46" t="inlineStr">
        <is>
          <t>Customer</t>
        </is>
      </c>
      <c r="D34" s="46" t="inlineStr">
        <is>
          <t>₹ 0</t>
        </is>
      </c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</row>
    <row r="35" ht="16.5" customHeight="1" s="85">
      <c r="A35" s="46" t="inlineStr">
        <is>
          <t>Vijay Taramandal</t>
        </is>
      </c>
      <c r="B35" s="46" t="n">
        <v>6306866618</v>
      </c>
      <c r="C35" s="46" t="inlineStr">
        <is>
          <t>Customer</t>
        </is>
      </c>
      <c r="D35" s="46" t="inlineStr">
        <is>
          <t>₹ 0</t>
        </is>
      </c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</row>
    <row r="36" ht="16.5" customHeight="1" s="85">
      <c r="A36" s="46" t="inlineStr">
        <is>
          <t>Rony</t>
        </is>
      </c>
      <c r="B36" s="46" t="n">
        <v>6307148144</v>
      </c>
      <c r="C36" s="46" t="inlineStr">
        <is>
          <t>Customer</t>
        </is>
      </c>
      <c r="D36" s="46" t="inlineStr">
        <is>
          <t>₹ 0</t>
        </is>
      </c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</row>
    <row r="37" ht="16.5" customHeight="1" s="85">
      <c r="A37" s="46" t="inlineStr">
        <is>
          <t>Archana</t>
        </is>
      </c>
      <c r="B37" s="46" t="n">
        <v>6307250700</v>
      </c>
      <c r="C37" s="46" t="inlineStr">
        <is>
          <t>Customer</t>
        </is>
      </c>
      <c r="D37" s="46" t="inlineStr">
        <is>
          <t>₹ 0</t>
        </is>
      </c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</row>
    <row r="38" ht="16.5" customHeight="1" s="85">
      <c r="A38" s="46" t="inlineStr">
        <is>
          <t>Pushpesh Pandey</t>
        </is>
      </c>
      <c r="B38" s="46" t="n">
        <v>6307814484</v>
      </c>
      <c r="C38" s="46" t="inlineStr">
        <is>
          <t>Customer</t>
        </is>
      </c>
      <c r="D38" s="46" t="inlineStr">
        <is>
          <t>₹ 0</t>
        </is>
      </c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</row>
    <row r="39" ht="16.5" customHeight="1" s="85">
      <c r="A39" s="46" t="inlineStr">
        <is>
          <t>Radheshyam ICT 2021</t>
        </is>
      </c>
      <c r="B39" s="46" t="n">
        <v>6307873963</v>
      </c>
      <c r="C39" s="46" t="inlineStr">
        <is>
          <t>Customer</t>
        </is>
      </c>
      <c r="D39" s="46" t="inlineStr">
        <is>
          <t>₹ 0</t>
        </is>
      </c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</row>
    <row r="40" ht="16.5" customHeight="1" s="85">
      <c r="A40" s="46" t="inlineStr">
        <is>
          <t>Chottu</t>
        </is>
      </c>
      <c r="B40" s="46" t="n">
        <v>6307880800</v>
      </c>
      <c r="C40" s="46" t="inlineStr">
        <is>
          <t>Customer</t>
        </is>
      </c>
      <c r="D40" s="46" t="inlineStr">
        <is>
          <t>₹ 0</t>
        </is>
      </c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</row>
    <row r="41" ht="16.5" customHeight="1" s="85">
      <c r="A41" s="46" t="inlineStr">
        <is>
          <t>Sister Monita</t>
        </is>
      </c>
      <c r="B41" s="46" t="n">
        <v>6371965680</v>
      </c>
      <c r="C41" s="46" t="inlineStr">
        <is>
          <t>Customer</t>
        </is>
      </c>
      <c r="D41" s="46" t="inlineStr">
        <is>
          <t>₹ 0</t>
        </is>
      </c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</row>
    <row r="42" ht="16.5" customHeight="1" s="85">
      <c r="A42" s="46" t="inlineStr">
        <is>
          <t>vimal</t>
        </is>
      </c>
      <c r="B42" s="46" t="n">
        <v>6375276309</v>
      </c>
      <c r="C42" s="46" t="inlineStr">
        <is>
          <t>Customer</t>
        </is>
      </c>
      <c r="D42" s="46" t="inlineStr">
        <is>
          <t>₹ 0</t>
        </is>
      </c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</row>
    <row r="43" ht="16.5" customHeight="1" s="85">
      <c r="A43" s="46" t="inlineStr">
        <is>
          <t>Chandana</t>
        </is>
      </c>
      <c r="B43" s="46" t="n">
        <v>6376028371</v>
      </c>
      <c r="C43" s="46" t="inlineStr">
        <is>
          <t>Customer</t>
        </is>
      </c>
      <c r="D43" s="46" t="inlineStr">
        <is>
          <t>₹ 0</t>
        </is>
      </c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</row>
    <row r="44" ht="16.5" customHeight="1" s="85">
      <c r="A44" s="46" t="inlineStr">
        <is>
          <t>Ramuddesh</t>
        </is>
      </c>
      <c r="B44" s="46" t="n">
        <v>6378479921</v>
      </c>
      <c r="C44" s="46" t="inlineStr">
        <is>
          <t>Customer</t>
        </is>
      </c>
      <c r="D44" s="46" t="inlineStr">
        <is>
          <t>₹ 0</t>
        </is>
      </c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</row>
    <row r="45" ht="16.5" customHeight="1" s="85">
      <c r="A45" s="46" t="inlineStr">
        <is>
          <t>Princy Mam</t>
        </is>
      </c>
      <c r="B45" s="46" t="n">
        <v>6383080148</v>
      </c>
      <c r="C45" s="46" t="inlineStr">
        <is>
          <t>Customer</t>
        </is>
      </c>
      <c r="D45" s="46" t="inlineStr">
        <is>
          <t>₹ 0</t>
        </is>
      </c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</row>
    <row r="46" ht="16.5" customHeight="1" s="85">
      <c r="A46" s="46" t="inlineStr">
        <is>
          <t>Chottu Babu Sir</t>
        </is>
      </c>
      <c r="B46" s="46" t="n">
        <v>6386816216</v>
      </c>
      <c r="C46" s="46" t="inlineStr">
        <is>
          <t>Customer</t>
        </is>
      </c>
      <c r="D46" s="46" t="inlineStr">
        <is>
          <t>₹ 0</t>
        </is>
      </c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</row>
    <row r="47" ht="16.5" customHeight="1" s="85">
      <c r="A47" s="46" t="inlineStr">
        <is>
          <t>Madhu</t>
        </is>
      </c>
      <c r="B47" s="46" t="n">
        <v>6386908369</v>
      </c>
      <c r="C47" s="46" t="inlineStr">
        <is>
          <t>Customer</t>
        </is>
      </c>
      <c r="D47" s="46" t="inlineStr">
        <is>
          <t>₹ 0</t>
        </is>
      </c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</row>
    <row r="48" ht="16.5" customHeight="1" s="85">
      <c r="A48" s="46" t="inlineStr">
        <is>
          <t>Jousha</t>
        </is>
      </c>
      <c r="B48" s="46" t="n">
        <v>6387061956</v>
      </c>
      <c r="C48" s="46" t="inlineStr">
        <is>
          <t>Customer</t>
        </is>
      </c>
      <c r="D48" s="46" t="inlineStr">
        <is>
          <t>₹ 0</t>
        </is>
      </c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</row>
    <row r="49" ht="16.5" customHeight="1" s="85">
      <c r="A49" s="46" t="inlineStr">
        <is>
          <t>Pankaj</t>
        </is>
      </c>
      <c r="B49" s="46" t="n">
        <v>6387676795</v>
      </c>
      <c r="C49" s="46" t="inlineStr">
        <is>
          <t>Customer</t>
        </is>
      </c>
      <c r="D49" s="46" t="inlineStr">
        <is>
          <t>₹ 0</t>
        </is>
      </c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</row>
    <row r="50" ht="16.5" customHeight="1" s="85">
      <c r="A50" s="46" t="inlineStr">
        <is>
          <t>Gitanjali Meme Bakers</t>
        </is>
      </c>
      <c r="B50" s="46" t="n">
        <v>6387777579</v>
      </c>
      <c r="C50" s="46" t="inlineStr">
        <is>
          <t>Supplier</t>
        </is>
      </c>
      <c r="D50" s="46" t="inlineStr">
        <is>
          <t>₹ 0</t>
        </is>
      </c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</row>
    <row r="51" ht="16.5" customHeight="1" s="85">
      <c r="A51" s="46" t="inlineStr">
        <is>
          <t>MAHESH SHUKLA</t>
        </is>
      </c>
      <c r="B51" s="46" t="n">
        <v>6387888353</v>
      </c>
      <c r="C51" s="46" t="inlineStr">
        <is>
          <t>Customer</t>
        </is>
      </c>
      <c r="D51" s="46" t="inlineStr">
        <is>
          <t>₹ 0</t>
        </is>
      </c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</row>
    <row r="52" ht="16.5" customHeight="1" s="85">
      <c r="A52" s="46" t="inlineStr">
        <is>
          <t>Pr.Robert</t>
        </is>
      </c>
      <c r="B52" s="46" t="n">
        <v>6388044325</v>
      </c>
      <c r="C52" s="46" t="inlineStr">
        <is>
          <t>Customer</t>
        </is>
      </c>
      <c r="D52" s="46" t="inlineStr">
        <is>
          <t>₹ 0</t>
        </is>
      </c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</row>
    <row r="53" ht="16.5" customHeight="1" s="85">
      <c r="A53" s="46" t="inlineStr">
        <is>
          <t>Ankita</t>
        </is>
      </c>
      <c r="B53" s="46" t="n">
        <v>6388055416</v>
      </c>
      <c r="C53" s="46" t="inlineStr">
        <is>
          <t>Customer</t>
        </is>
      </c>
      <c r="D53" s="46" t="inlineStr">
        <is>
          <t>₹ 0</t>
        </is>
      </c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</row>
    <row r="54" ht="16.5" customHeight="1" s="85">
      <c r="A54" s="46" t="inlineStr">
        <is>
          <t>Jacob Benjamin</t>
        </is>
      </c>
      <c r="B54" s="46" t="n">
        <v>6388330050</v>
      </c>
      <c r="C54" s="46" t="inlineStr">
        <is>
          <t>Customer</t>
        </is>
      </c>
      <c r="D54" s="46" t="inlineStr">
        <is>
          <t>₹ 0</t>
        </is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</row>
    <row r="55" ht="16.5" customHeight="1" s="85">
      <c r="A55" s="46" t="inlineStr">
        <is>
          <t>Madhu Pranoy</t>
        </is>
      </c>
      <c r="B55" s="46" t="n">
        <v>6388868306</v>
      </c>
      <c r="C55" s="46" t="inlineStr">
        <is>
          <t>Customer</t>
        </is>
      </c>
      <c r="D55" s="46" t="inlineStr">
        <is>
          <t>₹ 0</t>
        </is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</row>
    <row r="56" ht="16.5" customHeight="1" s="85">
      <c r="A56" s="46" t="inlineStr">
        <is>
          <t>Wasim</t>
        </is>
      </c>
      <c r="B56" s="46" t="n">
        <v>6388913452</v>
      </c>
      <c r="C56" s="46" t="inlineStr">
        <is>
          <t>Customer</t>
        </is>
      </c>
      <c r="D56" s="46" t="inlineStr">
        <is>
          <t>₹ 0</t>
        </is>
      </c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</row>
    <row r="57" ht="16.5" customHeight="1" s="85">
      <c r="A57" s="46" t="inlineStr">
        <is>
          <t>Neeraj</t>
        </is>
      </c>
      <c r="B57" s="46" t="n">
        <v>6388919199</v>
      </c>
      <c r="C57" s="46" t="inlineStr">
        <is>
          <t>Customer</t>
        </is>
      </c>
      <c r="D57" s="46" t="inlineStr">
        <is>
          <t>₹ 0</t>
        </is>
      </c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</row>
    <row r="58" ht="16.5" customHeight="1" s="85">
      <c r="A58" s="46" t="inlineStr">
        <is>
          <t>Neeraj</t>
        </is>
      </c>
      <c r="B58" s="46" t="n">
        <v>6388919899</v>
      </c>
      <c r="C58" s="46" t="inlineStr">
        <is>
          <t>Customer</t>
        </is>
      </c>
      <c r="D58" s="46" t="inlineStr">
        <is>
          <t>₹ 0</t>
        </is>
      </c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</row>
    <row r="59" ht="16.5" customHeight="1" s="85">
      <c r="A59" s="46" t="inlineStr">
        <is>
          <t>Rockey</t>
        </is>
      </c>
      <c r="B59" s="46" t="n">
        <v>6391466434</v>
      </c>
      <c r="C59" s="46" t="inlineStr">
        <is>
          <t>Customer</t>
        </is>
      </c>
      <c r="D59" s="46" t="inlineStr">
        <is>
          <t>₹ 0</t>
        </is>
      </c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</row>
    <row r="60" ht="16.5" customHeight="1" s="85">
      <c r="A60" s="46" t="inlineStr">
        <is>
          <t>Promila</t>
        </is>
      </c>
      <c r="B60" s="46" t="n">
        <v>6392086198</v>
      </c>
      <c r="C60" s="46" t="inlineStr">
        <is>
          <t>Customer</t>
        </is>
      </c>
      <c r="D60" s="46" t="inlineStr">
        <is>
          <t>₹ 0</t>
        </is>
      </c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</row>
    <row r="61" ht="16.5" customHeight="1" s="85">
      <c r="A61" s="46" t="inlineStr">
        <is>
          <t>Nandita Krishnan</t>
        </is>
      </c>
      <c r="B61" s="46" t="n">
        <v>6392149420</v>
      </c>
      <c r="C61" s="46" t="inlineStr">
        <is>
          <t>Customer</t>
        </is>
      </c>
      <c r="D61" s="46" t="inlineStr">
        <is>
          <t>₹ 0</t>
        </is>
      </c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</row>
    <row r="62" ht="16.5" customHeight="1" s="85">
      <c r="A62" s="46" t="inlineStr">
        <is>
          <t>Savita</t>
        </is>
      </c>
      <c r="B62" s="46" t="n">
        <v>6392171461</v>
      </c>
      <c r="C62" s="46" t="inlineStr">
        <is>
          <t>Customer</t>
        </is>
      </c>
      <c r="D62" s="46" t="inlineStr">
        <is>
          <t>₹ 0</t>
        </is>
      </c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</row>
    <row r="63" ht="16.5" customHeight="1" s="85">
      <c r="A63" s="46" t="inlineStr">
        <is>
          <t>Ritu</t>
        </is>
      </c>
      <c r="B63" s="46" t="n">
        <v>6392237838</v>
      </c>
      <c r="C63" s="46" t="inlineStr">
        <is>
          <t>Customer</t>
        </is>
      </c>
      <c r="D63" s="46" t="inlineStr">
        <is>
          <t>₹ 0</t>
        </is>
      </c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</row>
    <row r="64" ht="16.5" customHeight="1" s="85">
      <c r="A64" s="46" t="inlineStr">
        <is>
          <t>Nidhi</t>
        </is>
      </c>
      <c r="B64" s="46" t="n">
        <v>6392272506</v>
      </c>
      <c r="C64" s="46" t="inlineStr">
        <is>
          <t>Customer</t>
        </is>
      </c>
      <c r="D64" s="46" t="inlineStr">
        <is>
          <t>₹ 0</t>
        </is>
      </c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</row>
    <row r="65" ht="16.5" customHeight="1" s="85">
      <c r="A65" s="46" t="inlineStr">
        <is>
          <t>Sister Praafulla</t>
        </is>
      </c>
      <c r="B65" s="46" t="n">
        <v>6392563851</v>
      </c>
      <c r="C65" s="46" t="inlineStr">
        <is>
          <t>Customer</t>
        </is>
      </c>
      <c r="D65" s="46" t="inlineStr">
        <is>
          <t>₹ 0</t>
        </is>
      </c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</row>
    <row r="66" ht="16.5" customHeight="1" s="85">
      <c r="A66" s="46" t="inlineStr">
        <is>
          <t>Raju Mujiri</t>
        </is>
      </c>
      <c r="B66" s="46" t="n">
        <v>6392661757</v>
      </c>
      <c r="C66" s="46" t="inlineStr">
        <is>
          <t>Customer</t>
        </is>
      </c>
      <c r="D66" s="46" t="inlineStr">
        <is>
          <t>₹ 0</t>
        </is>
      </c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</row>
    <row r="67" ht="16.5" customHeight="1" s="85">
      <c r="A67" s="46" t="inlineStr">
        <is>
          <t>Deo Sharan Sharma</t>
        </is>
      </c>
      <c r="B67" s="46" t="n">
        <v>6392710215</v>
      </c>
      <c r="C67" s="46" t="inlineStr">
        <is>
          <t>Customer</t>
        </is>
      </c>
      <c r="D67" s="46" t="inlineStr">
        <is>
          <t>₹ 0</t>
        </is>
      </c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</row>
    <row r="68" ht="16.5" customHeight="1" s="85">
      <c r="A68" s="46" t="inlineStr">
        <is>
          <t>Vikas</t>
        </is>
      </c>
      <c r="B68" s="46" t="n">
        <v>6392772236</v>
      </c>
      <c r="C68" s="46" t="inlineStr">
        <is>
          <t>Customer</t>
        </is>
      </c>
      <c r="D68" s="46" t="inlineStr">
        <is>
          <t>₹ 0</t>
        </is>
      </c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</row>
    <row r="69" ht="16.5" customHeight="1" s="85">
      <c r="A69" s="46" t="inlineStr">
        <is>
          <t>Aneesh V</t>
        </is>
      </c>
      <c r="B69" s="46" t="n">
        <v>6392785180</v>
      </c>
      <c r="C69" s="46" t="inlineStr">
        <is>
          <t>Customer</t>
        </is>
      </c>
      <c r="D69" s="46" t="inlineStr">
        <is>
          <t>₹ 0</t>
        </is>
      </c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</row>
    <row r="70" ht="16.5" customHeight="1" s="85">
      <c r="A70" s="46" t="inlineStr">
        <is>
          <t>Neha</t>
        </is>
      </c>
      <c r="B70" s="46" t="n">
        <v>6392955390</v>
      </c>
      <c r="C70" s="46" t="inlineStr">
        <is>
          <t>Customer</t>
        </is>
      </c>
      <c r="D70" s="46" t="inlineStr">
        <is>
          <t>₹ 0</t>
        </is>
      </c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</row>
    <row r="71" ht="16.5" customHeight="1" s="85">
      <c r="A71" s="46" t="inlineStr">
        <is>
          <t>Abhishek Rajai Chowk</t>
        </is>
      </c>
      <c r="B71" s="46" t="n">
        <v>6392969272</v>
      </c>
      <c r="C71" s="46" t="inlineStr">
        <is>
          <t>Customer</t>
        </is>
      </c>
      <c r="D71" s="46" t="inlineStr">
        <is>
          <t>₹ 0</t>
        </is>
      </c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</row>
    <row r="72" ht="16.5" customHeight="1" s="85">
      <c r="A72" s="46" t="inlineStr">
        <is>
          <t>Renu</t>
        </is>
      </c>
      <c r="B72" s="46" t="n">
        <v>6392969275</v>
      </c>
      <c r="C72" s="46" t="inlineStr">
        <is>
          <t>Customer</t>
        </is>
      </c>
      <c r="D72" s="46" t="inlineStr">
        <is>
          <t>₹ 0</t>
        </is>
      </c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</row>
    <row r="73" ht="16.5" customHeight="1" s="85">
      <c r="A73" s="46" t="inlineStr">
        <is>
          <t>Deepa</t>
        </is>
      </c>
      <c r="B73" s="46" t="n">
        <v>6393143843</v>
      </c>
      <c r="C73" s="46" t="inlineStr">
        <is>
          <t>Customer</t>
        </is>
      </c>
      <c r="D73" s="46" t="inlineStr">
        <is>
          <t>₹ 0</t>
        </is>
      </c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</row>
    <row r="74" ht="16.5" customHeight="1" s="85">
      <c r="A74" s="46" t="inlineStr">
        <is>
          <t>Santhra Santu</t>
        </is>
      </c>
      <c r="B74" s="46" t="n">
        <v>6393162799</v>
      </c>
      <c r="C74" s="46" t="inlineStr">
        <is>
          <t>Customer</t>
        </is>
      </c>
      <c r="D74" s="46" t="inlineStr">
        <is>
          <t>₹ 0</t>
        </is>
      </c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</row>
    <row r="75" ht="16.5" customHeight="1" s="85">
      <c r="A75" s="46" t="inlineStr">
        <is>
          <t>Priyanshu</t>
        </is>
      </c>
      <c r="B75" s="46" t="n">
        <v>6393172019</v>
      </c>
      <c r="C75" s="46" t="inlineStr">
        <is>
          <t>Customer</t>
        </is>
      </c>
      <c r="D75" s="46" t="inlineStr">
        <is>
          <t>₹ 0</t>
        </is>
      </c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</row>
    <row r="76" ht="16.5" customHeight="1" s="85">
      <c r="A76" s="46" t="inlineStr">
        <is>
          <t>Shaiju Malayali George</t>
        </is>
      </c>
      <c r="B76" s="46" t="n">
        <v>6393261915</v>
      </c>
      <c r="C76" s="46" t="inlineStr">
        <is>
          <t>Customer</t>
        </is>
      </c>
      <c r="D76" s="46" t="inlineStr">
        <is>
          <t>₹ 0</t>
        </is>
      </c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</row>
    <row r="77" ht="16.5" customHeight="1" s="85">
      <c r="A77" s="46" t="inlineStr">
        <is>
          <t>Ravi</t>
        </is>
      </c>
      <c r="B77" s="46" t="n">
        <v>6393319606</v>
      </c>
      <c r="C77" s="46" t="inlineStr">
        <is>
          <t>Customer</t>
        </is>
      </c>
      <c r="D77" s="46" t="inlineStr">
        <is>
          <t>₹ 0</t>
        </is>
      </c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</row>
    <row r="78" ht="16.5" customHeight="1" s="85">
      <c r="A78" s="46" t="inlineStr">
        <is>
          <t>Akansha</t>
        </is>
      </c>
      <c r="B78" s="46" t="n">
        <v>6393712936</v>
      </c>
      <c r="C78" s="46" t="inlineStr">
        <is>
          <t>Customer</t>
        </is>
      </c>
      <c r="D78" s="46" t="inlineStr">
        <is>
          <t>₹ 0</t>
        </is>
      </c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</row>
    <row r="79" ht="16.5" customHeight="1" s="85">
      <c r="A79" s="46" t="inlineStr">
        <is>
          <t>Kiran George</t>
        </is>
      </c>
      <c r="B79" s="46" t="n">
        <v>6394083867</v>
      </c>
      <c r="C79" s="46" t="inlineStr">
        <is>
          <t>Customer</t>
        </is>
      </c>
      <c r="D79" s="46" t="inlineStr">
        <is>
          <t>₹ 0</t>
        </is>
      </c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</row>
    <row r="80" ht="16.5" customHeight="1" s="85">
      <c r="A80" s="46" t="inlineStr">
        <is>
          <t>Pradeesh</t>
        </is>
      </c>
      <c r="B80" s="46" t="n">
        <v>6394107626</v>
      </c>
      <c r="C80" s="46" t="inlineStr">
        <is>
          <t>Customer</t>
        </is>
      </c>
      <c r="D80" s="46" t="inlineStr">
        <is>
          <t>₹ 0</t>
        </is>
      </c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</row>
    <row r="81" ht="16.5" customHeight="1" s="85">
      <c r="A81" s="46" t="inlineStr">
        <is>
          <t>Bahai ICT 2022 Rajan white</t>
        </is>
      </c>
      <c r="B81" s="46" t="n">
        <v>6394333138</v>
      </c>
      <c r="C81" s="46" t="inlineStr">
        <is>
          <t>Customer</t>
        </is>
      </c>
      <c r="D81" s="46" t="inlineStr">
        <is>
          <t>₹ 0</t>
        </is>
      </c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</row>
    <row r="82" ht="16.5" customHeight="1" s="85">
      <c r="A82" s="46" t="inlineStr">
        <is>
          <t>Badari Prasad</t>
        </is>
      </c>
      <c r="B82" s="46" t="n">
        <v>6394611432</v>
      </c>
      <c r="C82" s="46" t="inlineStr">
        <is>
          <t>Customer</t>
        </is>
      </c>
      <c r="D82" s="46" t="inlineStr">
        <is>
          <t>₹ 0</t>
        </is>
      </c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</row>
    <row r="83" ht="16.5" customHeight="1" s="85">
      <c r="A83" s="46" t="inlineStr">
        <is>
          <t>Akansha</t>
        </is>
      </c>
      <c r="B83" s="46" t="n">
        <v>6394993481</v>
      </c>
      <c r="C83" s="46" t="inlineStr">
        <is>
          <t>Customer</t>
        </is>
      </c>
      <c r="D83" s="46" t="inlineStr">
        <is>
          <t>₹ 0</t>
        </is>
      </c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</row>
    <row r="84" ht="16.5" customHeight="1" s="85">
      <c r="A84" s="46" t="inlineStr">
        <is>
          <t>Priyanka Frank</t>
        </is>
      </c>
      <c r="B84" s="46" t="n">
        <v>6395034096</v>
      </c>
      <c r="C84" s="46" t="inlineStr">
        <is>
          <t>Customer</t>
        </is>
      </c>
      <c r="D84" s="46" t="inlineStr">
        <is>
          <t>₹ 0</t>
        </is>
      </c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</row>
    <row r="85" ht="16.5" customHeight="1" s="85">
      <c r="A85" s="46" t="inlineStr">
        <is>
          <t>Vinod George BQ</t>
        </is>
      </c>
      <c r="B85" s="46" t="n">
        <v>6507209960</v>
      </c>
      <c r="C85" s="46" t="inlineStr">
        <is>
          <t>Customer</t>
        </is>
      </c>
      <c r="D85" s="46" t="inlineStr">
        <is>
          <t>₹ 0</t>
        </is>
      </c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</row>
    <row r="86" ht="16.5" customHeight="1" s="85">
      <c r="A86" s="46" t="inlineStr">
        <is>
          <t>Svetlana</t>
        </is>
      </c>
      <c r="B86" s="46" t="n">
        <v>7000547125</v>
      </c>
      <c r="C86" s="46" t="inlineStr">
        <is>
          <t>Customer</t>
        </is>
      </c>
      <c r="D86" s="46" t="inlineStr">
        <is>
          <t>₹ 0</t>
        </is>
      </c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</row>
    <row r="87" ht="16.5" customHeight="1" s="85">
      <c r="A87" s="46" t="inlineStr">
        <is>
          <t>Ravinder Nishad</t>
        </is>
      </c>
      <c r="B87" s="46" t="n">
        <v>7004044407</v>
      </c>
      <c r="C87" s="46" t="inlineStr">
        <is>
          <t>Customer</t>
        </is>
      </c>
      <c r="D87" s="46" t="inlineStr">
        <is>
          <t>₹ 0</t>
        </is>
      </c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</row>
    <row r="88" ht="16.5" customHeight="1" s="85">
      <c r="A88" s="46" t="inlineStr">
        <is>
          <t>Damtea</t>
        </is>
      </c>
      <c r="B88" s="46" t="n">
        <v>7005405607</v>
      </c>
      <c r="C88" s="46" t="inlineStr">
        <is>
          <t>Customer</t>
        </is>
      </c>
      <c r="D88" s="46" t="inlineStr">
        <is>
          <t>₹ 0</t>
        </is>
      </c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</row>
    <row r="89" ht="16.5" customHeight="1" s="85">
      <c r="A89" s="46" t="inlineStr">
        <is>
          <t>Anil</t>
        </is>
      </c>
      <c r="B89" s="46" t="n">
        <v>7005436675</v>
      </c>
      <c r="C89" s="46" t="inlineStr">
        <is>
          <t>Customer</t>
        </is>
      </c>
      <c r="D89" s="46" t="inlineStr">
        <is>
          <t>₹ 0</t>
        </is>
      </c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</row>
    <row r="90" ht="16.5" customHeight="1" s="85">
      <c r="A90" s="46" t="inlineStr">
        <is>
          <t>Saurabh</t>
        </is>
      </c>
      <c r="B90" s="46" t="n">
        <v>7007007939</v>
      </c>
      <c r="C90" s="46" t="inlineStr">
        <is>
          <t>Customer</t>
        </is>
      </c>
      <c r="D90" s="46" t="inlineStr">
        <is>
          <t>₹ 0</t>
        </is>
      </c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</row>
    <row r="91" ht="16.5" customHeight="1" s="85">
      <c r="A91" s="46" t="inlineStr">
        <is>
          <t>Suzana Jio</t>
        </is>
      </c>
      <c r="B91" s="46" t="n">
        <v>7007217747</v>
      </c>
      <c r="C91" s="46" t="inlineStr">
        <is>
          <t>Customer</t>
        </is>
      </c>
      <c r="D91" s="46" t="inlineStr">
        <is>
          <t>₹ 0</t>
        </is>
      </c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</row>
    <row r="92" ht="16.5" customHeight="1" s="85">
      <c r="A92" s="46" t="inlineStr">
        <is>
          <t>Vikrant</t>
        </is>
      </c>
      <c r="B92" s="46" t="n">
        <v>7007389283</v>
      </c>
      <c r="C92" s="46" t="inlineStr">
        <is>
          <t>Customer</t>
        </is>
      </c>
      <c r="D92" s="46" t="inlineStr">
        <is>
          <t>₹ 0</t>
        </is>
      </c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</row>
    <row r="93" ht="16.5" customHeight="1" s="85">
      <c r="A93" s="46" t="inlineStr">
        <is>
          <t>Peace Church</t>
        </is>
      </c>
      <c r="B93" s="46" t="n">
        <v>7007413030</v>
      </c>
      <c r="C93" s="46" t="inlineStr">
        <is>
          <t>Customer</t>
        </is>
      </c>
      <c r="D93" s="46" t="inlineStr">
        <is>
          <t>₹ 0</t>
        </is>
      </c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</row>
    <row r="94" ht="16.5" customHeight="1" s="85">
      <c r="A94" s="46" t="inlineStr">
        <is>
          <t>Shariq</t>
        </is>
      </c>
      <c r="B94" s="46" t="n">
        <v>7007470006</v>
      </c>
      <c r="C94" s="46" t="inlineStr">
        <is>
          <t>Customer</t>
        </is>
      </c>
      <c r="D94" s="46" t="inlineStr">
        <is>
          <t>₹ 0</t>
        </is>
      </c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</row>
    <row r="95" ht="16.5" customHeight="1" s="85">
      <c r="A95" s="46" t="inlineStr">
        <is>
          <t>Abin</t>
        </is>
      </c>
      <c r="B95" s="46" t="n">
        <v>7007478880</v>
      </c>
      <c r="C95" s="46" t="inlineStr">
        <is>
          <t>Customer</t>
        </is>
      </c>
      <c r="D95" s="46" t="inlineStr">
        <is>
          <t>₹ 0</t>
        </is>
      </c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</row>
    <row r="96" ht="16.5" customHeight="1" s="85">
      <c r="A96" s="46" t="inlineStr">
        <is>
          <t>Akhala Husayen</t>
        </is>
      </c>
      <c r="B96" s="46" t="n">
        <v>7007638498</v>
      </c>
      <c r="C96" s="46" t="inlineStr">
        <is>
          <t>Customer</t>
        </is>
      </c>
      <c r="D96" s="46" t="inlineStr">
        <is>
          <t>₹ 0</t>
        </is>
      </c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</row>
    <row r="97" ht="16.5" customHeight="1" s="85">
      <c r="A97" s="46" t="inlineStr">
        <is>
          <t>Mamta</t>
        </is>
      </c>
      <c r="B97" s="46" t="n">
        <v>7007659641</v>
      </c>
      <c r="C97" s="46" t="inlineStr">
        <is>
          <t>Customer</t>
        </is>
      </c>
      <c r="D97" s="46" t="inlineStr">
        <is>
          <t>₹ 0</t>
        </is>
      </c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</row>
    <row r="98" ht="16.5" customHeight="1" s="85">
      <c r="A98" s="46" t="inlineStr">
        <is>
          <t>Arpan</t>
        </is>
      </c>
      <c r="B98" s="46" t="n">
        <v>7007666081</v>
      </c>
      <c r="C98" s="46" t="inlineStr">
        <is>
          <t>Customer</t>
        </is>
      </c>
      <c r="D98" s="46" t="inlineStr">
        <is>
          <t>₹ 0</t>
        </is>
      </c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</row>
    <row r="99" ht="16.5" customHeight="1" s="85">
      <c r="A99" s="46" t="inlineStr">
        <is>
          <t>Praveen Khalilabad</t>
        </is>
      </c>
      <c r="B99" s="46" t="n">
        <v>7007701496</v>
      </c>
      <c r="C99" s="46" t="inlineStr">
        <is>
          <t>Customer</t>
        </is>
      </c>
      <c r="D99" s="46" t="inlineStr">
        <is>
          <t>₹ 0</t>
        </is>
      </c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</row>
    <row r="100" ht="16.5" customHeight="1" s="85">
      <c r="A100" s="46" t="inlineStr">
        <is>
          <t>Kurian</t>
        </is>
      </c>
      <c r="B100" s="46" t="n">
        <v>7007741303</v>
      </c>
      <c r="C100" s="46" t="inlineStr">
        <is>
          <t>Customer</t>
        </is>
      </c>
      <c r="D100" s="46" t="inlineStr">
        <is>
          <t>₹ 0</t>
        </is>
      </c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</row>
    <row r="101" ht="16.5" customHeight="1" s="85">
      <c r="A101" s="46" t="inlineStr">
        <is>
          <t>Kurian</t>
        </is>
      </c>
      <c r="B101" s="46" t="n">
        <v>7007742303</v>
      </c>
      <c r="C101" s="46" t="inlineStr">
        <is>
          <t>Customer</t>
        </is>
      </c>
      <c r="D101" s="46" t="inlineStr">
        <is>
          <t>₹ 0</t>
        </is>
      </c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</row>
    <row r="102" ht="16.5" customHeight="1" s="85">
      <c r="A102" s="46" t="inlineStr">
        <is>
          <t>Sandeep Jackson</t>
        </is>
      </c>
      <c r="B102" s="46" t="n">
        <v>7007943884</v>
      </c>
      <c r="C102" s="46" t="inlineStr">
        <is>
          <t>Customer</t>
        </is>
      </c>
      <c r="D102" s="46" t="inlineStr">
        <is>
          <t>₹ 0</t>
        </is>
      </c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</row>
    <row r="103" ht="16.5" customHeight="1" s="85">
      <c r="A103" s="46" t="inlineStr">
        <is>
          <t>Rajani</t>
        </is>
      </c>
      <c r="B103" s="46" t="n">
        <v>7007958315</v>
      </c>
      <c r="C103" s="46" t="inlineStr">
        <is>
          <t>Customer</t>
        </is>
      </c>
      <c r="D103" s="46" t="inlineStr">
        <is>
          <t>₹ 0</t>
        </is>
      </c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</row>
    <row r="104" ht="16.5" customHeight="1" s="85">
      <c r="A104" s="46" t="inlineStr">
        <is>
          <t>Ayyappan</t>
        </is>
      </c>
      <c r="B104" s="46" t="n">
        <v>7010892195</v>
      </c>
      <c r="C104" s="46" t="inlineStr">
        <is>
          <t>Customer</t>
        </is>
      </c>
      <c r="D104" s="46" t="inlineStr">
        <is>
          <t>₹ 0</t>
        </is>
      </c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</row>
    <row r="105" ht="16.5" customHeight="1" s="85">
      <c r="A105" s="46" t="inlineStr">
        <is>
          <t>sarath Malayali</t>
        </is>
      </c>
      <c r="B105" s="46" t="n">
        <v>7012072282</v>
      </c>
      <c r="C105" s="46" t="inlineStr">
        <is>
          <t>Customer</t>
        </is>
      </c>
      <c r="D105" s="46" t="inlineStr">
        <is>
          <t>₹ 0</t>
        </is>
      </c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</row>
    <row r="106" ht="16.5" customHeight="1" s="85">
      <c r="A106" s="46" t="inlineStr">
        <is>
          <t>John</t>
        </is>
      </c>
      <c r="B106" s="46" t="n">
        <v>7012146663</v>
      </c>
      <c r="C106" s="46" t="inlineStr">
        <is>
          <t>Customer</t>
        </is>
      </c>
      <c r="D106" s="46" t="inlineStr">
        <is>
          <t>₹ 0</t>
        </is>
      </c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</row>
    <row r="107" ht="16.5" customHeight="1" s="85">
      <c r="A107" s="46" t="inlineStr">
        <is>
          <t>Udayan</t>
        </is>
      </c>
      <c r="B107" s="46" t="n">
        <v>7012257476</v>
      </c>
      <c r="C107" s="46" t="inlineStr">
        <is>
          <t>Customer</t>
        </is>
      </c>
      <c r="D107" s="46" t="inlineStr">
        <is>
          <t>₹ 0</t>
        </is>
      </c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</row>
    <row r="108" ht="16.5" customHeight="1" s="85">
      <c r="A108" s="46" t="inlineStr">
        <is>
          <t>Dr Sreenath R</t>
        </is>
      </c>
      <c r="B108" s="46" t="n">
        <v>7012418847</v>
      </c>
      <c r="C108" s="46" t="inlineStr">
        <is>
          <t>Customer</t>
        </is>
      </c>
      <c r="D108" s="46" t="inlineStr">
        <is>
          <t>₹ 0</t>
        </is>
      </c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</row>
    <row r="109" ht="16.5" customHeight="1" s="85">
      <c r="A109" s="46" t="inlineStr">
        <is>
          <t>Alex</t>
        </is>
      </c>
      <c r="B109" s="46" t="n">
        <v>7012521031</v>
      </c>
      <c r="C109" s="46" t="inlineStr">
        <is>
          <t>Customer</t>
        </is>
      </c>
      <c r="D109" s="46" t="inlineStr">
        <is>
          <t>₹ 0</t>
        </is>
      </c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</row>
    <row r="110" ht="16.5" customHeight="1" s="85">
      <c r="A110" s="46" t="inlineStr">
        <is>
          <t>Sis Pavna</t>
        </is>
      </c>
      <c r="B110" s="46" t="n">
        <v>7012529233</v>
      </c>
      <c r="C110" s="46" t="inlineStr">
        <is>
          <t>Customer</t>
        </is>
      </c>
      <c r="D110" s="46" t="inlineStr">
        <is>
          <t>₹ 0</t>
        </is>
      </c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</row>
    <row r="111" ht="16.5" customHeight="1" s="85">
      <c r="A111" s="46" t="inlineStr">
        <is>
          <t>Vishnu</t>
        </is>
      </c>
      <c r="B111" s="46" t="n">
        <v>7012585359</v>
      </c>
      <c r="C111" s="46" t="inlineStr">
        <is>
          <t>Customer</t>
        </is>
      </c>
      <c r="D111" s="46" t="inlineStr">
        <is>
          <t>₹ 0</t>
        </is>
      </c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</row>
    <row r="112" ht="16.5" customHeight="1" s="85">
      <c r="A112" s="46" t="inlineStr">
        <is>
          <t>Padiri Biju</t>
        </is>
      </c>
      <c r="B112" s="46" t="n">
        <v>7014984578</v>
      </c>
      <c r="C112" s="46" t="inlineStr">
        <is>
          <t>Customer</t>
        </is>
      </c>
      <c r="D112" s="46" t="inlineStr">
        <is>
          <t>₹ 0</t>
        </is>
      </c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</row>
    <row r="113" ht="16.5" customHeight="1" s="85">
      <c r="A113" s="46" t="inlineStr">
        <is>
          <t>Rajesh</t>
        </is>
      </c>
      <c r="B113" s="46" t="n">
        <v>7017078499</v>
      </c>
      <c r="C113" s="46" t="inlineStr">
        <is>
          <t>Customer</t>
        </is>
      </c>
      <c r="D113" s="46" t="inlineStr">
        <is>
          <t>₹ 0</t>
        </is>
      </c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</row>
    <row r="114" ht="16.5" customHeight="1" s="85">
      <c r="A114" s="46" t="inlineStr">
        <is>
          <t>Bharat Singh</t>
        </is>
      </c>
      <c r="B114" s="46" t="n">
        <v>7017137052</v>
      </c>
      <c r="C114" s="46" t="inlineStr">
        <is>
          <t>Customer</t>
        </is>
      </c>
      <c r="D114" s="46" t="inlineStr">
        <is>
          <t>₹ 0</t>
        </is>
      </c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</row>
    <row r="115" ht="16.5" customHeight="1" s="85">
      <c r="A115" s="46" t="inlineStr">
        <is>
          <t>Pascal</t>
        </is>
      </c>
      <c r="B115" s="46" t="n">
        <v>7018887882</v>
      </c>
      <c r="C115" s="46" t="inlineStr">
        <is>
          <t>Customer</t>
        </is>
      </c>
      <c r="D115" s="46" t="inlineStr">
        <is>
          <t>₹ 0</t>
        </is>
      </c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</row>
    <row r="116" ht="16.5" customHeight="1" s="85">
      <c r="A116" s="46" t="inlineStr">
        <is>
          <t>Prkash</t>
        </is>
      </c>
      <c r="B116" s="46" t="n">
        <v>7019746306</v>
      </c>
      <c r="C116" s="46" t="inlineStr">
        <is>
          <t>Customer</t>
        </is>
      </c>
      <c r="D116" s="46" t="inlineStr">
        <is>
          <t>₹ 0</t>
        </is>
      </c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</row>
    <row r="117" ht="16.5" customHeight="1" s="85">
      <c r="A117" s="46" t="inlineStr">
        <is>
          <t>Malayali Joshi</t>
        </is>
      </c>
      <c r="B117" s="46" t="n">
        <v>7025467649</v>
      </c>
      <c r="C117" s="46" t="inlineStr">
        <is>
          <t>Customer</t>
        </is>
      </c>
      <c r="D117" s="46" t="inlineStr">
        <is>
          <t>₹ 0</t>
        </is>
      </c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</row>
    <row r="118" ht="16.5" customHeight="1" s="85">
      <c r="A118" s="46" t="inlineStr">
        <is>
          <t>Asif</t>
        </is>
      </c>
      <c r="B118" s="46" t="n">
        <v>7025595848</v>
      </c>
      <c r="C118" s="46" t="inlineStr">
        <is>
          <t>Customer</t>
        </is>
      </c>
      <c r="D118" s="46" t="inlineStr">
        <is>
          <t>₹ 0</t>
        </is>
      </c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</row>
    <row r="119" ht="16.5" customHeight="1" s="85">
      <c r="A119" s="46" t="inlineStr">
        <is>
          <t>Josen Sir</t>
        </is>
      </c>
      <c r="B119" s="46" t="n">
        <v>7025964252</v>
      </c>
      <c r="C119" s="46" t="inlineStr">
        <is>
          <t>Customer</t>
        </is>
      </c>
      <c r="D119" s="46" t="inlineStr">
        <is>
          <t>₹ 0</t>
        </is>
      </c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</row>
    <row r="120" ht="16.5" customHeight="1" s="85">
      <c r="A120" s="46" t="inlineStr">
        <is>
          <t>Janardan chorichora</t>
        </is>
      </c>
      <c r="B120" s="46" t="n">
        <v>7030320470</v>
      </c>
      <c r="C120" s="46" t="inlineStr">
        <is>
          <t>Customer</t>
        </is>
      </c>
      <c r="D120" s="46" t="inlineStr">
        <is>
          <t>₹ 0</t>
        </is>
      </c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</row>
    <row r="121" ht="16.5" customHeight="1" s="85">
      <c r="A121" s="46" t="inlineStr">
        <is>
          <t>Shivpriya</t>
        </is>
      </c>
      <c r="B121" s="46" t="n">
        <v>7034299586</v>
      </c>
      <c r="C121" s="46" t="inlineStr">
        <is>
          <t>Customer</t>
        </is>
      </c>
      <c r="D121" s="46" t="inlineStr">
        <is>
          <t>₹ 0</t>
        </is>
      </c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</row>
    <row r="122" ht="16.5" customHeight="1" s="85">
      <c r="A122" s="46" t="inlineStr">
        <is>
          <t>Mathew 70</t>
        </is>
      </c>
      <c r="B122" s="46" t="n">
        <v>7034478010</v>
      </c>
      <c r="C122" s="46" t="inlineStr">
        <is>
          <t>Customer</t>
        </is>
      </c>
      <c r="D122" s="46" t="inlineStr">
        <is>
          <t>₹ 0</t>
        </is>
      </c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</row>
    <row r="123" ht="16.5" customHeight="1" s="85">
      <c r="A123" s="46" t="inlineStr">
        <is>
          <t>Nidhun</t>
        </is>
      </c>
      <c r="B123" s="46" t="n">
        <v>7034736576</v>
      </c>
      <c r="C123" s="46" t="inlineStr">
        <is>
          <t>Customer</t>
        </is>
      </c>
      <c r="D123" s="46" t="inlineStr">
        <is>
          <t>₹ 0</t>
        </is>
      </c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</row>
    <row r="124" ht="16.5" customHeight="1" s="85">
      <c r="A124" s="46" t="inlineStr">
        <is>
          <t>Nikhil</t>
        </is>
      </c>
      <c r="B124" s="46" t="n">
        <v>7041839862</v>
      </c>
      <c r="C124" s="46" t="inlineStr">
        <is>
          <t>Customer</t>
        </is>
      </c>
      <c r="D124" s="46" t="inlineStr">
        <is>
          <t>₹ 0</t>
        </is>
      </c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</row>
    <row r="125" ht="16.5" customHeight="1" s="85">
      <c r="A125" s="46" t="inlineStr">
        <is>
          <t>Jithin</t>
        </is>
      </c>
      <c r="B125" s="46" t="n">
        <v>7042822876</v>
      </c>
      <c r="C125" s="46" t="inlineStr">
        <is>
          <t>Customer</t>
        </is>
      </c>
      <c r="D125" s="46" t="inlineStr">
        <is>
          <t>₹ 0</t>
        </is>
      </c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</row>
    <row r="126" ht="16.5" customHeight="1" s="85">
      <c r="A126" s="46" t="inlineStr">
        <is>
          <t>Golu Khadda</t>
        </is>
      </c>
      <c r="B126" s="46" t="n">
        <v>7042856744</v>
      </c>
      <c r="C126" s="46" t="inlineStr">
        <is>
          <t>Customer</t>
        </is>
      </c>
      <c r="D126" s="46" t="inlineStr">
        <is>
          <t>₹ 0</t>
        </is>
      </c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</row>
    <row r="127" ht="16.5" customHeight="1" s="85">
      <c r="A127" s="46" t="inlineStr">
        <is>
          <t>Karmal Sadan Society</t>
        </is>
      </c>
      <c r="B127" s="46" t="n">
        <v>7050709514</v>
      </c>
      <c r="C127" s="46" t="inlineStr">
        <is>
          <t>Customer</t>
        </is>
      </c>
      <c r="D127" s="46" t="inlineStr">
        <is>
          <t>₹ 0</t>
        </is>
      </c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</row>
    <row r="128" ht="16.5" customHeight="1" s="85">
      <c r="A128" s="46" t="inlineStr">
        <is>
          <t>Kriti</t>
        </is>
      </c>
      <c r="B128" s="46" t="n">
        <v>7054430197</v>
      </c>
      <c r="C128" s="46" t="inlineStr">
        <is>
          <t>Customer</t>
        </is>
      </c>
      <c r="D128" s="46" t="inlineStr">
        <is>
          <t>₹ 0</t>
        </is>
      </c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</row>
    <row r="129" ht="16.5" customHeight="1" s="85">
      <c r="A129" s="46" t="inlineStr">
        <is>
          <t>Fr Justin</t>
        </is>
      </c>
      <c r="B129" s="46" t="n">
        <v>7054578098</v>
      </c>
      <c r="C129" s="46" t="inlineStr">
        <is>
          <t>Customer</t>
        </is>
      </c>
      <c r="D129" s="46" t="inlineStr">
        <is>
          <t>₹ 0</t>
        </is>
      </c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</row>
    <row r="130" ht="16.5" customHeight="1" s="85">
      <c r="A130" s="46" t="inlineStr">
        <is>
          <t>Jitender</t>
        </is>
      </c>
      <c r="B130" s="46" t="n">
        <v>7054622611</v>
      </c>
      <c r="C130" s="46" t="inlineStr">
        <is>
          <t>Customer</t>
        </is>
      </c>
      <c r="D130" s="46" t="inlineStr">
        <is>
          <t>₹ 0</t>
        </is>
      </c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</row>
    <row r="131" ht="16.5" customHeight="1" s="85">
      <c r="A131" s="46" t="inlineStr">
        <is>
          <t>anand ramdarsh</t>
        </is>
      </c>
      <c r="B131" s="46" t="n">
        <v>7054751539</v>
      </c>
      <c r="C131" s="46" t="inlineStr">
        <is>
          <t>Customer</t>
        </is>
      </c>
      <c r="D131" s="46" t="inlineStr">
        <is>
          <t>₹ 0</t>
        </is>
      </c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</row>
    <row r="132" ht="16.5" customHeight="1" s="85">
      <c r="A132" s="46" t="inlineStr">
        <is>
          <t>Dr. Yasha</t>
        </is>
      </c>
      <c r="B132" s="46" t="n">
        <v>7054902661</v>
      </c>
      <c r="C132" s="46" t="inlineStr">
        <is>
          <t>Customer</t>
        </is>
      </c>
      <c r="D132" s="46" t="inlineStr">
        <is>
          <t>₹ 0</t>
        </is>
      </c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</row>
    <row r="133" ht="16.5" customHeight="1" s="85">
      <c r="A133" s="46" t="inlineStr">
        <is>
          <t>Prathish Malayali</t>
        </is>
      </c>
      <c r="B133" s="46" t="n">
        <v>7056216016</v>
      </c>
      <c r="C133" s="46" t="inlineStr">
        <is>
          <t>Customer</t>
        </is>
      </c>
      <c r="D133" s="46" t="inlineStr">
        <is>
          <t>₹ 0</t>
        </is>
      </c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</row>
    <row r="134" ht="16.5" customHeight="1" s="85">
      <c r="A134" s="46" t="inlineStr">
        <is>
          <t>Samson Munawar</t>
        </is>
      </c>
      <c r="B134" s="46" t="n">
        <v>7060269949</v>
      </c>
      <c r="C134" s="46" t="inlineStr">
        <is>
          <t>Customer</t>
        </is>
      </c>
      <c r="D134" s="46" t="inlineStr">
        <is>
          <t>₹ 0</t>
        </is>
      </c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</row>
    <row r="135" ht="16.5" customHeight="1" s="85">
      <c r="A135" s="46" t="inlineStr">
        <is>
          <t>Saju Mon</t>
        </is>
      </c>
      <c r="B135" s="46" t="n">
        <v>7061554570</v>
      </c>
      <c r="C135" s="46" t="inlineStr">
        <is>
          <t>Customer</t>
        </is>
      </c>
      <c r="D135" s="46" t="inlineStr">
        <is>
          <t>₹ 0</t>
        </is>
      </c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</row>
    <row r="136" ht="16.5" customHeight="1" s="85">
      <c r="A136" s="46" t="inlineStr">
        <is>
          <t>Priti</t>
        </is>
      </c>
      <c r="B136" s="46" t="n">
        <v>7068322298</v>
      </c>
      <c r="C136" s="46" t="inlineStr">
        <is>
          <t>Customer</t>
        </is>
      </c>
      <c r="D136" s="46" t="inlineStr">
        <is>
          <t>₹ 0</t>
        </is>
      </c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</row>
    <row r="137" ht="16.5" customHeight="1" s="85">
      <c r="A137" s="46" t="inlineStr">
        <is>
          <t>Ritik Robert</t>
        </is>
      </c>
      <c r="B137" s="46" t="n">
        <v>7071011440</v>
      </c>
      <c r="C137" s="46" t="inlineStr">
        <is>
          <t>Customer</t>
        </is>
      </c>
      <c r="D137" s="46" t="inlineStr">
        <is>
          <t>₹ 0</t>
        </is>
      </c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</row>
    <row r="138" ht="16.5" customHeight="1" s="85">
      <c r="A138" s="46" t="inlineStr">
        <is>
          <t>Divesh Nelson</t>
        </is>
      </c>
      <c r="B138" s="46" t="n">
        <v>7071377758</v>
      </c>
      <c r="C138" s="46" t="inlineStr">
        <is>
          <t>Customer</t>
        </is>
      </c>
      <c r="D138" s="46" t="inlineStr">
        <is>
          <t>₹ 0</t>
        </is>
      </c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</row>
    <row r="139" ht="16.5" customHeight="1" s="85">
      <c r="A139" s="46" t="inlineStr">
        <is>
          <t>Meme Restaurant</t>
        </is>
      </c>
      <c r="B139" s="46" t="n">
        <v>7080102150</v>
      </c>
      <c r="C139" s="46" t="inlineStr">
        <is>
          <t>Customer</t>
        </is>
      </c>
      <c r="D139" s="46" t="inlineStr">
        <is>
          <t>₹ 0</t>
        </is>
      </c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</row>
    <row r="140" ht="16.5" customHeight="1" s="85">
      <c r="A140" s="46" t="inlineStr">
        <is>
          <t>Dinanath</t>
        </is>
      </c>
      <c r="B140" s="46" t="n">
        <v>7080109771</v>
      </c>
      <c r="C140" s="46" t="inlineStr">
        <is>
          <t>Customer</t>
        </is>
      </c>
      <c r="D140" s="46" t="inlineStr">
        <is>
          <t>₹ 0</t>
        </is>
      </c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</row>
    <row r="141" ht="16.5" customHeight="1" s="85">
      <c r="A141" s="46" t="inlineStr">
        <is>
          <t>Shereen</t>
        </is>
      </c>
      <c r="B141" s="46" t="n">
        <v>7080331107</v>
      </c>
      <c r="C141" s="46" t="inlineStr">
        <is>
          <t>Customer</t>
        </is>
      </c>
      <c r="D141" s="46" t="inlineStr">
        <is>
          <t>₹ 0</t>
        </is>
      </c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</row>
    <row r="142" ht="16.5" customHeight="1" s="85">
      <c r="A142" s="46" t="inlineStr">
        <is>
          <t>Sebastian Mathew</t>
        </is>
      </c>
      <c r="B142" s="46" t="n">
        <v>7081052692</v>
      </c>
      <c r="C142" s="46" t="inlineStr">
        <is>
          <t>Customer</t>
        </is>
      </c>
      <c r="D142" s="46" t="inlineStr">
        <is>
          <t>₹ 0</t>
        </is>
      </c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</row>
    <row r="143" ht="16.5" customHeight="1" s="85">
      <c r="A143" s="46" t="inlineStr">
        <is>
          <t>Raju</t>
        </is>
      </c>
      <c r="B143" s="46" t="n">
        <v>7081902768</v>
      </c>
      <c r="C143" s="46" t="inlineStr">
        <is>
          <t>Customer</t>
        </is>
      </c>
      <c r="D143" s="46" t="inlineStr">
        <is>
          <t>₹ 0</t>
        </is>
      </c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</row>
    <row r="144" ht="16.5" customHeight="1" s="85">
      <c r="A144" s="46" t="inlineStr">
        <is>
          <t>Reji Ac</t>
        </is>
      </c>
      <c r="B144" s="46" t="n">
        <v>7081989486</v>
      </c>
      <c r="C144" s="46" t="inlineStr">
        <is>
          <t>Customer</t>
        </is>
      </c>
      <c r="D144" s="46" t="inlineStr">
        <is>
          <t>₹ 0</t>
        </is>
      </c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</row>
    <row r="145" ht="16.5" customHeight="1" s="85">
      <c r="A145" s="46" t="inlineStr">
        <is>
          <t>Sis Mariet</t>
        </is>
      </c>
      <c r="B145" s="46" t="n">
        <v>7083324489</v>
      </c>
      <c r="C145" s="46" t="inlineStr">
        <is>
          <t>Customer</t>
        </is>
      </c>
      <c r="D145" s="46" t="inlineStr">
        <is>
          <t>₹ 0</t>
        </is>
      </c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</row>
    <row r="146" ht="16.5" customHeight="1" s="85">
      <c r="A146" s="46" t="inlineStr">
        <is>
          <t>Sister Kethrin</t>
        </is>
      </c>
      <c r="B146" s="46" t="n">
        <v>7083830310</v>
      </c>
      <c r="C146" s="46" t="inlineStr">
        <is>
          <t>Customer</t>
        </is>
      </c>
      <c r="D146" s="46" t="inlineStr">
        <is>
          <t>₹ 0</t>
        </is>
      </c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</row>
    <row r="147" ht="16.5" customHeight="1" s="85">
      <c r="A147" s="46" t="inlineStr">
        <is>
          <t>Deepa</t>
        </is>
      </c>
      <c r="B147" s="46" t="n">
        <v>7084012451</v>
      </c>
      <c r="C147" s="46" t="inlineStr">
        <is>
          <t>Customer</t>
        </is>
      </c>
      <c r="D147" s="46" t="inlineStr">
        <is>
          <t>₹ 0</t>
        </is>
      </c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</row>
    <row r="148" ht="16.5" customHeight="1" s="85">
      <c r="A148" s="46" t="inlineStr">
        <is>
          <t>Abanish</t>
        </is>
      </c>
      <c r="B148" s="46" t="n">
        <v>7084989835</v>
      </c>
      <c r="C148" s="46" t="inlineStr">
        <is>
          <t>Customer</t>
        </is>
      </c>
      <c r="D148" s="46" t="inlineStr">
        <is>
          <t>₹ 0</t>
        </is>
      </c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</row>
    <row r="149" ht="16.5" customHeight="1" s="85">
      <c r="A149" s="46" t="inlineStr">
        <is>
          <t>Md Talha</t>
        </is>
      </c>
      <c r="B149" s="46" t="n">
        <v>7085857807</v>
      </c>
      <c r="C149" s="46" t="inlineStr">
        <is>
          <t>Customer</t>
        </is>
      </c>
      <c r="D149" s="46" t="inlineStr">
        <is>
          <t>₹ 0</t>
        </is>
      </c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</row>
    <row r="150" ht="16.5" customHeight="1" s="85">
      <c r="A150" s="46" t="inlineStr">
        <is>
          <t>Praveen Malayali Ps</t>
        </is>
      </c>
      <c r="B150" s="46" t="n">
        <v>7206308642</v>
      </c>
      <c r="C150" s="46" t="inlineStr">
        <is>
          <t>Customer</t>
        </is>
      </c>
      <c r="D150" s="46" t="inlineStr">
        <is>
          <t>₹ 0</t>
        </is>
      </c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</row>
    <row r="151" ht="16.5" customHeight="1" s="85">
      <c r="A151" s="46" t="inlineStr">
        <is>
          <t>Daniel</t>
        </is>
      </c>
      <c r="B151" s="46" t="n">
        <v>7228016250</v>
      </c>
      <c r="C151" s="46" t="inlineStr">
        <is>
          <t>Customer</t>
        </is>
      </c>
      <c r="D151" s="46" t="inlineStr">
        <is>
          <t>₹ 0</t>
        </is>
      </c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</row>
    <row r="152" ht="16.5" customHeight="1" s="85">
      <c r="A152" s="46" t="inlineStr">
        <is>
          <t>Sunil Kumar</t>
        </is>
      </c>
      <c r="B152" s="46" t="n">
        <v>7232950170</v>
      </c>
      <c r="C152" s="46" t="inlineStr">
        <is>
          <t>Customer</t>
        </is>
      </c>
      <c r="D152" s="46" t="inlineStr">
        <is>
          <t>₹ 0</t>
        </is>
      </c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</row>
    <row r="153" ht="16.5" customHeight="1" s="85">
      <c r="A153" s="46" t="inlineStr">
        <is>
          <t>Arun Nigam</t>
        </is>
      </c>
      <c r="B153" s="46" t="n">
        <v>7233044445</v>
      </c>
      <c r="C153" s="46" t="inlineStr">
        <is>
          <t>Customer</t>
        </is>
      </c>
      <c r="D153" s="46" t="inlineStr">
        <is>
          <t>₹ 0</t>
        </is>
      </c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</row>
    <row r="154" ht="16.5" customHeight="1" s="85">
      <c r="A154" s="46" t="inlineStr">
        <is>
          <t>Ribka</t>
        </is>
      </c>
      <c r="B154" s="46" t="n">
        <v>7250736156</v>
      </c>
      <c r="C154" s="46" t="inlineStr">
        <is>
          <t>Customer</t>
        </is>
      </c>
      <c r="D154" s="46" t="inlineStr">
        <is>
          <t>₹ 0</t>
        </is>
      </c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</row>
    <row r="155" ht="16.5" customHeight="1" s="85">
      <c r="A155" s="46" t="inlineStr">
        <is>
          <t>Deepak</t>
        </is>
      </c>
      <c r="B155" s="46" t="n">
        <v>7261027014</v>
      </c>
      <c r="C155" s="46" t="inlineStr">
        <is>
          <t>Customer</t>
        </is>
      </c>
      <c r="D155" s="46" t="inlineStr">
        <is>
          <t>₹ 0</t>
        </is>
      </c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</row>
    <row r="156" ht="16.5" customHeight="1" s="85">
      <c r="A156" s="46" t="inlineStr">
        <is>
          <t>Sharon</t>
        </is>
      </c>
      <c r="B156" s="46" t="n">
        <v>7269016275</v>
      </c>
      <c r="C156" s="46" t="inlineStr">
        <is>
          <t>Customer</t>
        </is>
      </c>
      <c r="D156" s="46" t="inlineStr">
        <is>
          <t>₹ 0</t>
        </is>
      </c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</row>
    <row r="157" ht="16.5" customHeight="1" s="85">
      <c r="A157" s="46" t="inlineStr">
        <is>
          <t>Sam Gola</t>
        </is>
      </c>
      <c r="B157" s="46" t="n">
        <v>7275242169</v>
      </c>
      <c r="C157" s="46" t="inlineStr">
        <is>
          <t>Customer</t>
        </is>
      </c>
      <c r="D157" s="46" t="inlineStr">
        <is>
          <t>₹ 0</t>
        </is>
      </c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</row>
    <row r="158" ht="16.5" customHeight="1" s="85">
      <c r="A158" s="46" t="inlineStr">
        <is>
          <t>Anna Cafe Maharajganj</t>
        </is>
      </c>
      <c r="B158" s="46" t="n">
        <v>7275559575</v>
      </c>
      <c r="C158" s="46" t="inlineStr">
        <is>
          <t>Customer</t>
        </is>
      </c>
      <c r="D158" s="46" t="inlineStr">
        <is>
          <t>₹ 9,276.05</t>
        </is>
      </c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</row>
    <row r="159" ht="16.5" customHeight="1" s="85">
      <c r="A159" s="46" t="inlineStr">
        <is>
          <t>Vinu</t>
        </is>
      </c>
      <c r="B159" s="46" t="n">
        <v>7275724211</v>
      </c>
      <c r="C159" s="46" t="inlineStr">
        <is>
          <t>Customer</t>
        </is>
      </c>
      <c r="D159" s="46" t="inlineStr">
        <is>
          <t>₹ 0</t>
        </is>
      </c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</row>
    <row r="160" ht="16.5" customHeight="1" s="85">
      <c r="A160" s="46" t="inlineStr">
        <is>
          <t>Amal</t>
        </is>
      </c>
      <c r="B160" s="46" t="n">
        <v>7275970254</v>
      </c>
      <c r="C160" s="46" t="inlineStr">
        <is>
          <t>Customer</t>
        </is>
      </c>
      <c r="D160" s="46" t="inlineStr">
        <is>
          <t>₹ 0</t>
        </is>
      </c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</row>
    <row r="161" ht="16.5" customHeight="1" s="85">
      <c r="A161" s="46" t="inlineStr">
        <is>
          <t>Kanet</t>
        </is>
      </c>
      <c r="B161" s="46" t="n">
        <v>7277766869</v>
      </c>
      <c r="C161" s="46" t="inlineStr">
        <is>
          <t>Customer</t>
        </is>
      </c>
      <c r="D161" s="46" t="inlineStr">
        <is>
          <t>₹ 0</t>
        </is>
      </c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</row>
    <row r="162" ht="16.5" customHeight="1" s="85">
      <c r="A162" s="46" t="inlineStr">
        <is>
          <t>Dr.Sudhir</t>
        </is>
      </c>
      <c r="B162" s="46" t="n">
        <v>7278440818</v>
      </c>
      <c r="C162" s="46" t="inlineStr">
        <is>
          <t>Customer</t>
        </is>
      </c>
      <c r="D162" s="46" t="inlineStr">
        <is>
          <t>₹ 0</t>
        </is>
      </c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</row>
    <row r="163" ht="16.5" customHeight="1" s="85">
      <c r="A163" s="46" t="inlineStr">
        <is>
          <t>Jerin</t>
        </is>
      </c>
      <c r="B163" s="46" t="n">
        <v>7293517159</v>
      </c>
      <c r="C163" s="46" t="inlineStr">
        <is>
          <t>Customer</t>
        </is>
      </c>
      <c r="D163" s="46" t="inlineStr">
        <is>
          <t>₹ 0</t>
        </is>
      </c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</row>
    <row r="164" ht="16.5" customHeight="1" s="85">
      <c r="A164" s="46" t="inlineStr">
        <is>
          <t>Mery</t>
        </is>
      </c>
      <c r="B164" s="46" t="n">
        <v>7305681044</v>
      </c>
      <c r="C164" s="46" t="inlineStr">
        <is>
          <t>Customer</t>
        </is>
      </c>
      <c r="D164" s="46" t="inlineStr">
        <is>
          <t>₹ 0</t>
        </is>
      </c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</row>
    <row r="165" ht="16.5" customHeight="1" s="85">
      <c r="A165" s="46" t="inlineStr">
        <is>
          <t>Vishal</t>
        </is>
      </c>
      <c r="B165" s="46" t="n">
        <v>7305841191</v>
      </c>
      <c r="C165" s="46" t="inlineStr">
        <is>
          <t>Customer</t>
        </is>
      </c>
      <c r="D165" s="46" t="inlineStr">
        <is>
          <t>₹ 0</t>
        </is>
      </c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</row>
    <row r="166" ht="16.5" customHeight="1" s="85">
      <c r="A166" s="46" t="inlineStr">
        <is>
          <t>Shewta</t>
        </is>
      </c>
      <c r="B166" s="46" t="n">
        <v>7306171479</v>
      </c>
      <c r="C166" s="46" t="inlineStr">
        <is>
          <t>Customer</t>
        </is>
      </c>
      <c r="D166" s="46" t="inlineStr">
        <is>
          <t>₹ 0</t>
        </is>
      </c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</row>
    <row r="167" ht="16.5" customHeight="1" s="85">
      <c r="A167" s="46" t="inlineStr">
        <is>
          <t>Tampi Sir Gorakhnath Malayali</t>
        </is>
      </c>
      <c r="B167" s="46" t="n">
        <v>7306180828</v>
      </c>
      <c r="C167" s="46" t="inlineStr">
        <is>
          <t>Customer</t>
        </is>
      </c>
      <c r="D167" s="46" t="inlineStr">
        <is>
          <t>₹ 0</t>
        </is>
      </c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</row>
    <row r="168" ht="16.5" customHeight="1" s="85">
      <c r="A168" s="46" t="inlineStr">
        <is>
          <t>Tharun</t>
        </is>
      </c>
      <c r="B168" s="46" t="n">
        <v>7306239611</v>
      </c>
      <c r="C168" s="46" t="inlineStr">
        <is>
          <t>Customer</t>
        </is>
      </c>
      <c r="D168" s="46" t="inlineStr">
        <is>
          <t>₹ 0</t>
        </is>
      </c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</row>
    <row r="169" ht="16.5" customHeight="1" s="85">
      <c r="A169" s="46" t="inlineStr">
        <is>
          <t>Aishwarya</t>
        </is>
      </c>
      <c r="B169" s="46" t="n">
        <v>7306705102</v>
      </c>
      <c r="C169" s="46" t="inlineStr">
        <is>
          <t>Customer</t>
        </is>
      </c>
      <c r="D169" s="46" t="inlineStr">
        <is>
          <t>₹ 0</t>
        </is>
      </c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</row>
    <row r="170" ht="16.5" customHeight="1" s="85">
      <c r="A170" s="46" t="inlineStr">
        <is>
          <t>Sunil</t>
        </is>
      </c>
      <c r="B170" s="46" t="n">
        <v>7307097857</v>
      </c>
      <c r="C170" s="46" t="inlineStr">
        <is>
          <t>Customer</t>
        </is>
      </c>
      <c r="D170" s="46" t="inlineStr">
        <is>
          <t>₹ 0</t>
        </is>
      </c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</row>
    <row r="171" ht="16.5" customHeight="1" s="85">
      <c r="A171" s="46" t="inlineStr">
        <is>
          <t>Savi</t>
        </is>
      </c>
      <c r="B171" s="46" t="n">
        <v>7307505070</v>
      </c>
      <c r="C171" s="46" t="inlineStr">
        <is>
          <t>Customer</t>
        </is>
      </c>
      <c r="D171" s="46" t="inlineStr">
        <is>
          <t>₹ 0</t>
        </is>
      </c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</row>
    <row r="172" ht="16.5" customHeight="1" s="85">
      <c r="A172" s="46" t="inlineStr">
        <is>
          <t>Lilli</t>
        </is>
      </c>
      <c r="B172" s="46" t="n">
        <v>7307814704</v>
      </c>
      <c r="C172" s="46" t="inlineStr">
        <is>
          <t>Customer</t>
        </is>
      </c>
      <c r="D172" s="46" t="inlineStr">
        <is>
          <t>₹ 0</t>
        </is>
      </c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</row>
    <row r="173" ht="16.5" customHeight="1" s="85">
      <c r="A173" s="46" t="inlineStr">
        <is>
          <t>Lily</t>
        </is>
      </c>
      <c r="B173" s="46" t="n">
        <v>7307814707</v>
      </c>
      <c r="C173" s="46" t="inlineStr">
        <is>
          <t>Customer</t>
        </is>
      </c>
      <c r="D173" s="46" t="inlineStr">
        <is>
          <t>₹ 0</t>
        </is>
      </c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</row>
    <row r="174" ht="16.5" customHeight="1" s="85">
      <c r="A174" s="46" t="inlineStr">
        <is>
          <t>Aalok Gupta</t>
        </is>
      </c>
      <c r="B174" s="46" t="n">
        <v>7309219374</v>
      </c>
      <c r="C174" s="46" t="inlineStr">
        <is>
          <t>Customer</t>
        </is>
      </c>
      <c r="D174" s="46" t="inlineStr">
        <is>
          <t>₹ 0</t>
        </is>
      </c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</row>
    <row r="175" ht="16.5" customHeight="1" s="85">
      <c r="A175" s="46" t="inlineStr">
        <is>
          <t>Suma</t>
        </is>
      </c>
      <c r="B175" s="46" t="n">
        <v>7309428428</v>
      </c>
      <c r="C175" s="46" t="inlineStr">
        <is>
          <t>Customer</t>
        </is>
      </c>
      <c r="D175" s="46" t="inlineStr">
        <is>
          <t>₹ 0</t>
        </is>
      </c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</row>
    <row r="176" ht="16.5" customHeight="1" s="85">
      <c r="A176" s="46" t="inlineStr">
        <is>
          <t>Rajeshwari</t>
        </is>
      </c>
      <c r="B176" s="46" t="n">
        <v>7309771590</v>
      </c>
      <c r="C176" s="46" t="inlineStr">
        <is>
          <t>Customer</t>
        </is>
      </c>
      <c r="D176" s="46" t="inlineStr">
        <is>
          <t>₹ 0</t>
        </is>
      </c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</row>
    <row r="177" ht="16.5" customHeight="1" s="85">
      <c r="A177" s="46" t="inlineStr">
        <is>
          <t>Liya</t>
        </is>
      </c>
      <c r="B177" s="46" t="n">
        <v>7310840452</v>
      </c>
      <c r="C177" s="46" t="inlineStr">
        <is>
          <t>Customer</t>
        </is>
      </c>
      <c r="D177" s="46" t="inlineStr">
        <is>
          <t>₹ 0</t>
        </is>
      </c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</row>
    <row r="178" ht="16.5" customHeight="1" s="85">
      <c r="A178" s="46" t="inlineStr">
        <is>
          <t>Vijay</t>
        </is>
      </c>
      <c r="B178" s="46" t="n">
        <v>7317026315</v>
      </c>
      <c r="C178" s="46" t="inlineStr">
        <is>
          <t>Customer</t>
        </is>
      </c>
      <c r="D178" s="46" t="inlineStr">
        <is>
          <t>₹ 0</t>
        </is>
      </c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</row>
    <row r="179" ht="16.5" customHeight="1" s="85">
      <c r="A179" s="46" t="inlineStr">
        <is>
          <t>Anju</t>
        </is>
      </c>
      <c r="B179" s="46" t="n">
        <v>7317243883</v>
      </c>
      <c r="C179" s="46" t="inlineStr">
        <is>
          <t>Customer</t>
        </is>
      </c>
      <c r="D179" s="46" t="inlineStr">
        <is>
          <t>₹ 0</t>
        </is>
      </c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</row>
    <row r="180" ht="16.5" customHeight="1" s="85">
      <c r="A180" s="46" t="inlineStr">
        <is>
          <t>Aji</t>
        </is>
      </c>
      <c r="B180" s="46" t="n">
        <v>7317374718</v>
      </c>
      <c r="C180" s="46" t="inlineStr">
        <is>
          <t>Customer</t>
        </is>
      </c>
      <c r="D180" s="46" t="inlineStr">
        <is>
          <t>₹ 0</t>
        </is>
      </c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</row>
    <row r="181" ht="16.5" customHeight="1" s="85">
      <c r="A181" s="46" t="inlineStr">
        <is>
          <t>UNKNOWN 1</t>
        </is>
      </c>
      <c r="B181" s="46" t="n">
        <v>7317466803</v>
      </c>
      <c r="C181" s="46" t="inlineStr">
        <is>
          <t>Customer</t>
        </is>
      </c>
      <c r="D181" s="46" t="inlineStr">
        <is>
          <t>₹ 0</t>
        </is>
      </c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</row>
    <row r="182" ht="16.5" customHeight="1" s="85">
      <c r="A182" s="46" t="inlineStr">
        <is>
          <t>Shnjay Kumar</t>
        </is>
      </c>
      <c r="B182" s="46" t="n">
        <v>7318240261</v>
      </c>
      <c r="C182" s="46" t="inlineStr">
        <is>
          <t>Customer</t>
        </is>
      </c>
      <c r="D182" s="46" t="inlineStr">
        <is>
          <t>₹ 0</t>
        </is>
      </c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</row>
    <row r="183" ht="16.5" customHeight="1" s="85">
      <c r="A183" s="46" t="inlineStr">
        <is>
          <t>Snehalata</t>
        </is>
      </c>
      <c r="B183" s="46" t="n">
        <v>7351556634</v>
      </c>
      <c r="C183" s="46" t="inlineStr">
        <is>
          <t>Customer</t>
        </is>
      </c>
      <c r="D183" s="46" t="inlineStr">
        <is>
          <t>₹ 0</t>
        </is>
      </c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</row>
    <row r="184" ht="16.5" customHeight="1" s="85">
      <c r="A184" s="46" t="inlineStr">
        <is>
          <t>Suraj Farenda</t>
        </is>
      </c>
      <c r="B184" s="46" t="n">
        <v>7355009553</v>
      </c>
      <c r="C184" s="46" t="inlineStr">
        <is>
          <t>Customer</t>
        </is>
      </c>
      <c r="D184" s="46" t="inlineStr">
        <is>
          <t>₹ 0</t>
        </is>
      </c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</row>
    <row r="185" ht="16.5" customHeight="1" s="85">
      <c r="A185" s="46" t="inlineStr">
        <is>
          <t>Prameela Prajapati</t>
        </is>
      </c>
      <c r="B185" s="46" t="n">
        <v>7355101990</v>
      </c>
      <c r="C185" s="46" t="inlineStr">
        <is>
          <t>Customer</t>
        </is>
      </c>
      <c r="D185" s="46" t="inlineStr">
        <is>
          <t>₹ 0</t>
        </is>
      </c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</row>
    <row r="186" ht="16.5" customHeight="1" s="85">
      <c r="A186" s="46" t="inlineStr">
        <is>
          <t>Sugandhi</t>
        </is>
      </c>
      <c r="B186" s="46" t="n">
        <v>7355132479</v>
      </c>
      <c r="C186" s="46" t="inlineStr">
        <is>
          <t>Customer</t>
        </is>
      </c>
      <c r="D186" s="46" t="inlineStr">
        <is>
          <t>₹ 0</t>
        </is>
      </c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</row>
    <row r="187" ht="16.5" customHeight="1" s="85">
      <c r="A187" s="46" t="inlineStr">
        <is>
          <t>Nanhe Farenda</t>
        </is>
      </c>
      <c r="B187" s="46" t="n">
        <v>7355218267</v>
      </c>
      <c r="C187" s="46" t="inlineStr">
        <is>
          <t>Customer</t>
        </is>
      </c>
      <c r="D187" s="46" t="inlineStr">
        <is>
          <t>₹ 0</t>
        </is>
      </c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</row>
    <row r="188" ht="16.5" customHeight="1" s="85">
      <c r="A188" s="46" t="inlineStr">
        <is>
          <t>Satheesh</t>
        </is>
      </c>
      <c r="B188" s="46" t="n">
        <v>7355374616</v>
      </c>
      <c r="C188" s="46" t="inlineStr">
        <is>
          <t>Customer</t>
        </is>
      </c>
      <c r="D188" s="46" t="inlineStr">
        <is>
          <t>₹ 0</t>
        </is>
      </c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</row>
    <row r="189" ht="16.5" customHeight="1" s="85">
      <c r="A189" s="46" t="inlineStr">
        <is>
          <t>Nitu Gorakhpur</t>
        </is>
      </c>
      <c r="B189" s="46" t="n">
        <v>7355982424</v>
      </c>
      <c r="C189" s="46" t="inlineStr">
        <is>
          <t>Customer</t>
        </is>
      </c>
      <c r="D189" s="46" t="inlineStr">
        <is>
          <t>₹ 0</t>
        </is>
      </c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</row>
    <row r="190" ht="16.5" customHeight="1" s="85">
      <c r="A190" s="46" t="inlineStr">
        <is>
          <t>Ashwin Aims</t>
        </is>
      </c>
      <c r="B190" s="46" t="n">
        <v>7356344727</v>
      </c>
      <c r="C190" s="46" t="inlineStr">
        <is>
          <t>Customer</t>
        </is>
      </c>
      <c r="D190" s="46" t="inlineStr">
        <is>
          <t>₹ 0</t>
        </is>
      </c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</row>
    <row r="191" ht="16.5" customHeight="1" s="85">
      <c r="A191" s="46" t="inlineStr">
        <is>
          <t>Dr.Shan</t>
        </is>
      </c>
      <c r="B191" s="46" t="n">
        <v>7356554729</v>
      </c>
      <c r="C191" s="46" t="inlineStr">
        <is>
          <t>Customer</t>
        </is>
      </c>
      <c r="D191" s="46" t="inlineStr">
        <is>
          <t>₹ 0</t>
        </is>
      </c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</row>
    <row r="192" ht="16.5" customHeight="1" s="85">
      <c r="A192" s="46" t="inlineStr">
        <is>
          <t>Sandeep</t>
        </is>
      </c>
      <c r="B192" s="46" t="n">
        <v>7356571606</v>
      </c>
      <c r="C192" s="46" t="inlineStr">
        <is>
          <t>Customer</t>
        </is>
      </c>
      <c r="D192" s="46" t="inlineStr">
        <is>
          <t>₹ 0</t>
        </is>
      </c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</row>
    <row r="193" ht="16.5" customHeight="1" s="85">
      <c r="A193" s="46" t="inlineStr">
        <is>
          <t>Jacob</t>
        </is>
      </c>
      <c r="B193" s="46" t="n">
        <v>7356607636</v>
      </c>
      <c r="C193" s="46" t="inlineStr">
        <is>
          <t>Customer</t>
        </is>
      </c>
      <c r="D193" s="46" t="inlineStr">
        <is>
          <t>₹ 0</t>
        </is>
      </c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</row>
    <row r="194" ht="16.5" customHeight="1" s="85">
      <c r="A194" s="46" t="inlineStr">
        <is>
          <t>Jacob Mani</t>
        </is>
      </c>
      <c r="B194" s="46" t="n">
        <v>7356687636</v>
      </c>
      <c r="C194" s="46" t="inlineStr">
        <is>
          <t>Customer</t>
        </is>
      </c>
      <c r="D194" s="46" t="inlineStr">
        <is>
          <t>₹ 0</t>
        </is>
      </c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</row>
    <row r="195" ht="16.5" customHeight="1" s="85">
      <c r="A195" s="46" t="inlineStr">
        <is>
          <t>Rinu</t>
        </is>
      </c>
      <c r="B195" s="46" t="n">
        <v>7356804148</v>
      </c>
      <c r="C195" s="46" t="inlineStr">
        <is>
          <t>Customer</t>
        </is>
      </c>
      <c r="D195" s="46" t="inlineStr">
        <is>
          <t>₹ 0</t>
        </is>
      </c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</row>
    <row r="196" ht="16.5" customHeight="1" s="85">
      <c r="A196" s="46" t="inlineStr">
        <is>
          <t>Walters Apurve</t>
        </is>
      </c>
      <c r="B196" s="46" t="n">
        <v>7376580100</v>
      </c>
      <c r="C196" s="46" t="inlineStr">
        <is>
          <t>Customer</t>
        </is>
      </c>
      <c r="D196" s="46" t="inlineStr">
        <is>
          <t>₹ 0</t>
        </is>
      </c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</row>
    <row r="197" ht="16.5" customHeight="1" s="85">
      <c r="A197" s="46" t="inlineStr">
        <is>
          <t>Raji</t>
        </is>
      </c>
      <c r="B197" s="46" t="n">
        <v>7376711823</v>
      </c>
      <c r="C197" s="46" t="inlineStr">
        <is>
          <t>Customer</t>
        </is>
      </c>
      <c r="D197" s="46" t="inlineStr">
        <is>
          <t>₹ 0</t>
        </is>
      </c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</row>
    <row r="198" ht="16.5" customHeight="1" s="85">
      <c r="A198" s="46" t="inlineStr">
        <is>
          <t>Fr.Justin</t>
        </is>
      </c>
      <c r="B198" s="46" t="n">
        <v>7379325499</v>
      </c>
      <c r="C198" s="46" t="inlineStr">
        <is>
          <t>Customer</t>
        </is>
      </c>
      <c r="D198" s="46" t="inlineStr">
        <is>
          <t>₹ 0</t>
        </is>
      </c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</row>
    <row r="199" ht="16.5" customHeight="1" s="85">
      <c r="A199" s="46" t="inlineStr">
        <is>
          <t>Reji</t>
        </is>
      </c>
      <c r="B199" s="46" t="n">
        <v>7379568527</v>
      </c>
      <c r="C199" s="46" t="inlineStr">
        <is>
          <t>Customer</t>
        </is>
      </c>
      <c r="D199" s="46" t="inlineStr">
        <is>
          <t>₹ 0</t>
        </is>
      </c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</row>
    <row r="200" ht="16.5" customHeight="1" s="85">
      <c r="A200" s="46" t="inlineStr">
        <is>
          <t>Sagar</t>
        </is>
      </c>
      <c r="B200" s="46" t="n">
        <v>7380722413</v>
      </c>
      <c r="C200" s="46" t="inlineStr">
        <is>
          <t>Customer</t>
        </is>
      </c>
      <c r="D200" s="46" t="inlineStr">
        <is>
          <t>₹ 0</t>
        </is>
      </c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</row>
    <row r="201" ht="16.5" customHeight="1" s="85">
      <c r="A201" s="46" t="inlineStr">
        <is>
          <t>Sherly</t>
        </is>
      </c>
      <c r="B201" s="46" t="n">
        <v>7388166372</v>
      </c>
      <c r="C201" s="46" t="inlineStr">
        <is>
          <t>Customer</t>
        </is>
      </c>
      <c r="D201" s="46" t="inlineStr">
        <is>
          <t>₹ 0</t>
        </is>
      </c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</row>
    <row r="202" ht="16.5" customHeight="1" s="85">
      <c r="A202" s="46" t="inlineStr">
        <is>
          <t>Babban</t>
        </is>
      </c>
      <c r="B202" s="46" t="n">
        <v>7388281238</v>
      </c>
      <c r="C202" s="46" t="inlineStr">
        <is>
          <t>Customer</t>
        </is>
      </c>
      <c r="D202" s="46" t="inlineStr">
        <is>
          <t>₹ 0</t>
        </is>
      </c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</row>
    <row r="203" ht="16.5" customHeight="1" s="85">
      <c r="A203" s="46" t="inlineStr">
        <is>
          <t>Raam Kumar</t>
        </is>
      </c>
      <c r="B203" s="46" t="n">
        <v>7388346328</v>
      </c>
      <c r="C203" s="46" t="inlineStr">
        <is>
          <t>Customer</t>
        </is>
      </c>
      <c r="D203" s="46" t="inlineStr">
        <is>
          <t>₹ 0</t>
        </is>
      </c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</row>
    <row r="204" ht="16.5" customHeight="1" s="85">
      <c r="A204" s="46" t="inlineStr">
        <is>
          <t>Binu</t>
        </is>
      </c>
      <c r="B204" s="46" t="n">
        <v>7388425257</v>
      </c>
      <c r="C204" s="46" t="inlineStr">
        <is>
          <t>Customer</t>
        </is>
      </c>
      <c r="D204" s="46" t="inlineStr">
        <is>
          <t>₹ 0</t>
        </is>
      </c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</row>
    <row r="205" ht="16.5" customHeight="1" s="85">
      <c r="A205" s="46" t="inlineStr">
        <is>
          <t>Satish Malayalee</t>
        </is>
      </c>
      <c r="B205" s="46" t="n">
        <v>7388675663</v>
      </c>
      <c r="C205" s="46" t="inlineStr">
        <is>
          <t>Customer</t>
        </is>
      </c>
      <c r="D205" s="46" t="inlineStr">
        <is>
          <t>₹ 0</t>
        </is>
      </c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</row>
    <row r="206" ht="16.5" customHeight="1" s="85">
      <c r="A206" s="46" t="inlineStr">
        <is>
          <t>Virender Kumar</t>
        </is>
      </c>
      <c r="B206" s="46" t="n">
        <v>7388707449</v>
      </c>
      <c r="C206" s="46" t="inlineStr">
        <is>
          <t>Customer</t>
        </is>
      </c>
      <c r="D206" s="46" t="inlineStr">
        <is>
          <t>₹ 0</t>
        </is>
      </c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</row>
    <row r="207" ht="16.5" customHeight="1" s="85">
      <c r="A207" s="46" t="inlineStr">
        <is>
          <t>Ganesh</t>
        </is>
      </c>
      <c r="B207" s="46" t="n">
        <v>7388751157</v>
      </c>
      <c r="C207" s="46" t="inlineStr">
        <is>
          <t>Customer</t>
        </is>
      </c>
      <c r="D207" s="46" t="inlineStr">
        <is>
          <t>₹ 0</t>
        </is>
      </c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</row>
    <row r="208" ht="16.5" customHeight="1" s="85">
      <c r="A208" s="46" t="inlineStr">
        <is>
          <t>Ashish Jecob</t>
        </is>
      </c>
      <c r="B208" s="46" t="n">
        <v>7388754202</v>
      </c>
      <c r="C208" s="46" t="inlineStr">
        <is>
          <t>Customer</t>
        </is>
      </c>
      <c r="D208" s="46" t="inlineStr">
        <is>
          <t>₹ 0</t>
        </is>
      </c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</row>
    <row r="209" ht="16.5" customHeight="1" s="85">
      <c r="A209" s="46" t="inlineStr">
        <is>
          <t>Arvind Mani Tripathi</t>
        </is>
      </c>
      <c r="B209" s="46" t="n">
        <v>7388854555</v>
      </c>
      <c r="C209" s="46" t="inlineStr">
        <is>
          <t>Customer</t>
        </is>
      </c>
      <c r="D209" s="46" t="inlineStr">
        <is>
          <t>₹ 0</t>
        </is>
      </c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</row>
    <row r="210" ht="16.5" customHeight="1" s="85">
      <c r="A210" s="46" t="inlineStr">
        <is>
          <t>Rohan</t>
        </is>
      </c>
      <c r="B210" s="46" t="n">
        <v>7389184263</v>
      </c>
      <c r="C210" s="46" t="inlineStr">
        <is>
          <t>Customer</t>
        </is>
      </c>
      <c r="D210" s="46" t="inlineStr">
        <is>
          <t>₹ 0</t>
        </is>
      </c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</row>
    <row r="211" ht="16.5" customHeight="1" s="85">
      <c r="A211" s="46" t="inlineStr">
        <is>
          <t>Rajesh</t>
        </is>
      </c>
      <c r="B211" s="46" t="n">
        <v>7392812206</v>
      </c>
      <c r="C211" s="46" t="inlineStr">
        <is>
          <t>Customer</t>
        </is>
      </c>
      <c r="D211" s="46" t="inlineStr">
        <is>
          <t>₹ 0</t>
        </is>
      </c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</row>
    <row r="212" ht="16.5" customHeight="1" s="85">
      <c r="A212" s="46" t="inlineStr">
        <is>
          <t>Ruben</t>
        </is>
      </c>
      <c r="B212" s="46" t="n">
        <v>7394964065</v>
      </c>
      <c r="C212" s="46" t="inlineStr">
        <is>
          <t>Customer</t>
        </is>
      </c>
      <c r="D212" s="46" t="inlineStr">
        <is>
          <t>₹ 0</t>
        </is>
      </c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</row>
    <row r="213" ht="16.5" customHeight="1" s="85">
      <c r="A213" s="46" t="inlineStr">
        <is>
          <t>Anil Malayalee Chargava</t>
        </is>
      </c>
      <c r="B213" s="46" t="n">
        <v>7398120757</v>
      </c>
      <c r="C213" s="46" t="inlineStr">
        <is>
          <t>Customer</t>
        </is>
      </c>
      <c r="D213" s="46" t="inlineStr">
        <is>
          <t>₹ 0</t>
        </is>
      </c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</row>
    <row r="214" ht="16.5" customHeight="1" s="85">
      <c r="A214" s="46" t="inlineStr">
        <is>
          <t>Dolly</t>
        </is>
      </c>
      <c r="B214" s="46" t="n">
        <v>7398303024</v>
      </c>
      <c r="C214" s="46" t="inlineStr">
        <is>
          <t>Customer</t>
        </is>
      </c>
      <c r="D214" s="46" t="inlineStr">
        <is>
          <t>₹ 0</t>
        </is>
      </c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</row>
    <row r="215" ht="16.5" customHeight="1" s="85">
      <c r="A215" s="46" t="inlineStr">
        <is>
          <t>Amar</t>
        </is>
      </c>
      <c r="B215" s="46" t="n">
        <v>7398736630</v>
      </c>
      <c r="C215" s="46" t="inlineStr">
        <is>
          <t>Customer</t>
        </is>
      </c>
      <c r="D215" s="46" t="inlineStr">
        <is>
          <t>₹ 0</t>
        </is>
      </c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</row>
    <row r="216" ht="16.5" customHeight="1" s="85">
      <c r="A216" s="46" t="inlineStr">
        <is>
          <t>Manoj Masih</t>
        </is>
      </c>
      <c r="B216" s="46" t="n">
        <v>7398881422</v>
      </c>
      <c r="C216" s="46" t="inlineStr">
        <is>
          <t>Customer</t>
        </is>
      </c>
      <c r="D216" s="46" t="inlineStr">
        <is>
          <t>₹ 0</t>
        </is>
      </c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</row>
    <row r="217" ht="16.5" customHeight="1" s="85">
      <c r="A217" s="46" t="inlineStr">
        <is>
          <t>Khorabar</t>
        </is>
      </c>
      <c r="B217" s="46" t="n">
        <v>7398902661</v>
      </c>
      <c r="C217" s="46" t="inlineStr">
        <is>
          <t>Customer</t>
        </is>
      </c>
      <c r="D217" s="46" t="inlineStr">
        <is>
          <t>₹ 0</t>
        </is>
      </c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</row>
    <row r="218" ht="16.5" customHeight="1" s="85">
      <c r="A218" s="46" t="inlineStr">
        <is>
          <t>Saji Joseph</t>
        </is>
      </c>
      <c r="B218" s="46" t="n">
        <v>7408765904</v>
      </c>
      <c r="C218" s="46" t="inlineStr">
        <is>
          <t>Customer</t>
        </is>
      </c>
      <c r="D218" s="46" t="inlineStr">
        <is>
          <t>₹ 0</t>
        </is>
      </c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</row>
    <row r="219" ht="16.5" customHeight="1" s="85">
      <c r="A219" s="46" t="inlineStr">
        <is>
          <t>Krishnadev gkp pastor</t>
        </is>
      </c>
      <c r="B219" s="46" t="n">
        <v>7409822511</v>
      </c>
      <c r="C219" s="46" t="inlineStr">
        <is>
          <t>Customer</t>
        </is>
      </c>
      <c r="D219" s="46" t="inlineStr">
        <is>
          <t>₹ 0</t>
        </is>
      </c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</row>
    <row r="220" ht="16.5" customHeight="1" s="85">
      <c r="A220" s="46" t="inlineStr">
        <is>
          <t>Pranshu</t>
        </is>
      </c>
      <c r="B220" s="46" t="n">
        <v>7415512526</v>
      </c>
      <c r="C220" s="46" t="inlineStr">
        <is>
          <t>Customer</t>
        </is>
      </c>
      <c r="D220" s="46" t="inlineStr">
        <is>
          <t>₹ 0</t>
        </is>
      </c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</row>
    <row r="221" ht="16.5" customHeight="1" s="85">
      <c r="A221" s="46" t="inlineStr">
        <is>
          <t>Daniel LEF GKP</t>
        </is>
      </c>
      <c r="B221" s="46" t="n">
        <v>7418174473</v>
      </c>
      <c r="C221" s="46" t="inlineStr">
        <is>
          <t>Customer</t>
        </is>
      </c>
      <c r="D221" s="46" t="inlineStr">
        <is>
          <t>₹ 7,000</t>
        </is>
      </c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</row>
    <row r="222" ht="16.5" customHeight="1" s="85">
      <c r="A222" s="46" t="inlineStr">
        <is>
          <t>Little Flower Convent Maharajganj</t>
        </is>
      </c>
      <c r="B222" s="46" t="n">
        <v>7458841454</v>
      </c>
      <c r="C222" s="46" t="inlineStr">
        <is>
          <t>Customer</t>
        </is>
      </c>
      <c r="D222" s="46" t="inlineStr">
        <is>
          <t>₹ 0</t>
        </is>
      </c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</row>
    <row r="223" ht="16.5" customHeight="1" s="85">
      <c r="A223" s="46" t="inlineStr">
        <is>
          <t>Jaise</t>
        </is>
      </c>
      <c r="B223" s="46" t="n">
        <v>7458912198</v>
      </c>
      <c r="C223" s="46" t="inlineStr">
        <is>
          <t>Customer</t>
        </is>
      </c>
      <c r="D223" s="46" t="inlineStr">
        <is>
          <t>₹ 0</t>
        </is>
      </c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</row>
    <row r="224" ht="16.5" customHeight="1" s="85">
      <c r="A224" s="46" t="inlineStr">
        <is>
          <t>Alka</t>
        </is>
      </c>
      <c r="B224" s="46" t="n">
        <v>7460895967</v>
      </c>
      <c r="C224" s="46" t="inlineStr">
        <is>
          <t>Customer</t>
        </is>
      </c>
      <c r="D224" s="46" t="inlineStr">
        <is>
          <t>₹ 0</t>
        </is>
      </c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</row>
    <row r="225" ht="16.5" customHeight="1" s="85">
      <c r="A225" s="46" t="inlineStr">
        <is>
          <t>John</t>
        </is>
      </c>
      <c r="B225" s="46" t="n">
        <v>7470341640</v>
      </c>
      <c r="C225" s="46" t="inlineStr">
        <is>
          <t>Customer</t>
        </is>
      </c>
      <c r="D225" s="46" t="inlineStr">
        <is>
          <t>₹ 0</t>
        </is>
      </c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</row>
    <row r="226" ht="16.5" customHeight="1" s="85">
      <c r="A226" s="46" t="inlineStr">
        <is>
          <t>Jayesh</t>
        </is>
      </c>
      <c r="B226" s="46" t="n">
        <v>7470539249</v>
      </c>
      <c r="C226" s="46" t="inlineStr">
        <is>
          <t>Customer</t>
        </is>
      </c>
      <c r="D226" s="46" t="inlineStr">
        <is>
          <t>₹ 0</t>
        </is>
      </c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</row>
    <row r="227" ht="16.5" customHeight="1" s="85">
      <c r="A227" s="46" t="inlineStr">
        <is>
          <t>Rijo Sam Sir</t>
        </is>
      </c>
      <c r="B227" s="46" t="n">
        <v>7492882121</v>
      </c>
      <c r="C227" s="46" t="inlineStr">
        <is>
          <t>Customer</t>
        </is>
      </c>
      <c r="D227" s="46" t="inlineStr">
        <is>
          <t>₹ 0</t>
        </is>
      </c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</row>
    <row r="228" ht="16.5" customHeight="1" s="85">
      <c r="A228" s="46" t="inlineStr">
        <is>
          <t>Karunalay</t>
        </is>
      </c>
      <c r="B228" s="46" t="n">
        <v>7498296577</v>
      </c>
      <c r="C228" s="46" t="inlineStr">
        <is>
          <t>Customer</t>
        </is>
      </c>
      <c r="D228" s="46" t="inlineStr">
        <is>
          <t>₹ 0</t>
        </is>
      </c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</row>
    <row r="229" ht="16.5" customHeight="1" s="85">
      <c r="A229" s="46" t="inlineStr">
        <is>
          <t>Gonu philip</t>
        </is>
      </c>
      <c r="B229" s="46" t="n">
        <v>7499085063</v>
      </c>
      <c r="C229" s="46" t="inlineStr">
        <is>
          <t>Customer</t>
        </is>
      </c>
      <c r="D229" s="46" t="inlineStr">
        <is>
          <t>₹ 0</t>
        </is>
      </c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</row>
    <row r="230" ht="16.5" customHeight="1" s="85">
      <c r="A230" s="46" t="inlineStr">
        <is>
          <t>Om Prakash Khadda</t>
        </is>
      </c>
      <c r="B230" s="46" t="n">
        <v>7505030519</v>
      </c>
      <c r="C230" s="46" t="inlineStr">
        <is>
          <t>Customer</t>
        </is>
      </c>
      <c r="D230" s="46" t="inlineStr">
        <is>
          <t>₹ 0</t>
        </is>
      </c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</row>
    <row r="231" ht="16.5" customHeight="1" s="85">
      <c r="A231" s="46" t="inlineStr">
        <is>
          <t>Pallavi</t>
        </is>
      </c>
      <c r="B231" s="46" t="n">
        <v>7505636936</v>
      </c>
      <c r="C231" s="46" t="inlineStr">
        <is>
          <t>Customer</t>
        </is>
      </c>
      <c r="D231" s="46" t="inlineStr">
        <is>
          <t>₹ 0</t>
        </is>
      </c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</row>
    <row r="232" ht="16.5" customHeight="1" s="85">
      <c r="A232" s="46" t="inlineStr">
        <is>
          <t>Bishop House</t>
        </is>
      </c>
      <c r="B232" s="46" t="n">
        <v>7510168347</v>
      </c>
      <c r="C232" s="46" t="inlineStr">
        <is>
          <t>Customer</t>
        </is>
      </c>
      <c r="D232" s="46" t="inlineStr">
        <is>
          <t>₹ 0</t>
        </is>
      </c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</row>
    <row r="233" ht="16.5" customHeight="1" s="85">
      <c r="A233" s="46" t="inlineStr">
        <is>
          <t>Rajalekshmi</t>
        </is>
      </c>
      <c r="B233" s="46" t="n">
        <v>7510903875</v>
      </c>
      <c r="C233" s="46" t="inlineStr">
        <is>
          <t>Customer</t>
        </is>
      </c>
      <c r="D233" s="46" t="inlineStr">
        <is>
          <t>₹ 0</t>
        </is>
      </c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</row>
    <row r="234" ht="16.5" customHeight="1" s="85">
      <c r="A234" s="46" t="inlineStr">
        <is>
          <t>Raji Josan</t>
        </is>
      </c>
      <c r="B234" s="46" t="n">
        <v>7510939606</v>
      </c>
      <c r="C234" s="46" t="inlineStr">
        <is>
          <t>Customer</t>
        </is>
      </c>
      <c r="D234" s="46" t="inlineStr">
        <is>
          <t>₹ 0</t>
        </is>
      </c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</row>
    <row r="235" ht="16.5" customHeight="1" s="85">
      <c r="A235" s="46" t="inlineStr">
        <is>
          <t>Ramdarsh Anita</t>
        </is>
      </c>
      <c r="B235" s="46" t="n">
        <v>7518126784</v>
      </c>
      <c r="C235" s="46" t="inlineStr">
        <is>
          <t>Customer</t>
        </is>
      </c>
      <c r="D235" s="46" t="inlineStr">
        <is>
          <t>₹ 0</t>
        </is>
      </c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</row>
    <row r="236" ht="16.5" customHeight="1" s="85">
      <c r="A236" s="46" t="inlineStr">
        <is>
          <t>Anubhav</t>
        </is>
      </c>
      <c r="B236" s="46" t="n">
        <v>7518230149</v>
      </c>
      <c r="C236" s="46" t="inlineStr">
        <is>
          <t>Customer</t>
        </is>
      </c>
      <c r="D236" s="46" t="inlineStr">
        <is>
          <t>₹ 0</t>
        </is>
      </c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</row>
    <row r="237" ht="16.5" customHeight="1" s="85">
      <c r="A237" s="46" t="inlineStr">
        <is>
          <t>Bincy AIMS</t>
        </is>
      </c>
      <c r="B237" s="46" t="n">
        <v>7518595856</v>
      </c>
      <c r="C237" s="46" t="inlineStr">
        <is>
          <t>Customer</t>
        </is>
      </c>
      <c r="D237" s="46" t="inlineStr">
        <is>
          <t>₹ 0</t>
        </is>
      </c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</row>
    <row r="238" ht="16.5" customHeight="1" s="85">
      <c r="A238" s="46" t="inlineStr">
        <is>
          <t>Deepak</t>
        </is>
      </c>
      <c r="B238" s="46" t="n">
        <v>7518613990</v>
      </c>
      <c r="C238" s="46" t="inlineStr">
        <is>
          <t>Customer</t>
        </is>
      </c>
      <c r="D238" s="46" t="inlineStr">
        <is>
          <t>₹ 0</t>
        </is>
      </c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</row>
    <row r="239" ht="16.5" customHeight="1" s="85">
      <c r="A239" s="46" t="inlineStr">
        <is>
          <t>Jitender</t>
        </is>
      </c>
      <c r="B239" s="46" t="n">
        <v>7518829897</v>
      </c>
      <c r="C239" s="46" t="inlineStr">
        <is>
          <t>Customer</t>
        </is>
      </c>
      <c r="D239" s="46" t="inlineStr">
        <is>
          <t>₹ 0</t>
        </is>
      </c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</row>
    <row r="240" ht="16.5" customHeight="1" s="85">
      <c r="A240" s="46" t="inlineStr">
        <is>
          <t>Rani</t>
        </is>
      </c>
      <c r="B240" s="46" t="n">
        <v>7522041176</v>
      </c>
      <c r="C240" s="46" t="inlineStr">
        <is>
          <t>Customer</t>
        </is>
      </c>
      <c r="D240" s="46" t="inlineStr">
        <is>
          <t>₹ 0</t>
        </is>
      </c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</row>
    <row r="241" ht="16.5" customHeight="1" s="85">
      <c r="A241" s="46" t="inlineStr">
        <is>
          <t>St.Annes Convent</t>
        </is>
      </c>
      <c r="B241" s="46" t="n">
        <v>7522045033</v>
      </c>
      <c r="C241" s="46" t="inlineStr">
        <is>
          <t>Customer</t>
        </is>
      </c>
      <c r="D241" s="46" t="inlineStr">
        <is>
          <t>₹ 0</t>
        </is>
      </c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</row>
    <row r="242" ht="16.5" customHeight="1" s="85">
      <c r="A242" s="46" t="inlineStr">
        <is>
          <t>Shubhra</t>
        </is>
      </c>
      <c r="B242" s="46" t="n">
        <v>7522898996</v>
      </c>
      <c r="C242" s="46" t="inlineStr">
        <is>
          <t>Customer</t>
        </is>
      </c>
      <c r="D242" s="46" t="inlineStr">
        <is>
          <t>₹ 0</t>
        </is>
      </c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</row>
    <row r="243" ht="16.5" customHeight="1" s="85">
      <c r="A243" s="46" t="inlineStr">
        <is>
          <t>GOVIND</t>
        </is>
      </c>
      <c r="B243" s="46" t="n">
        <v>7523020033</v>
      </c>
      <c r="C243" s="46" t="inlineStr">
        <is>
          <t>Customer</t>
        </is>
      </c>
      <c r="D243" s="46" t="inlineStr">
        <is>
          <t>₹ 0</t>
        </is>
      </c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</row>
    <row r="244" ht="16.5" customHeight="1" s="85">
      <c r="A244" s="46" t="inlineStr">
        <is>
          <t>Raju Masih 2nd Campus</t>
        </is>
      </c>
      <c r="B244" s="46" t="n">
        <v>7523966476</v>
      </c>
      <c r="C244" s="46" t="inlineStr">
        <is>
          <t>Customer</t>
        </is>
      </c>
      <c r="D244" s="46" t="inlineStr">
        <is>
          <t>₹ 0</t>
        </is>
      </c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</row>
    <row r="245" ht="16.5" customHeight="1" s="85">
      <c r="A245" s="46" t="inlineStr">
        <is>
          <t>Ashiq</t>
        </is>
      </c>
      <c r="B245" s="46" t="n">
        <v>7525041174</v>
      </c>
      <c r="C245" s="46" t="inlineStr">
        <is>
          <t>Customer</t>
        </is>
      </c>
      <c r="D245" s="46" t="inlineStr">
        <is>
          <t>₹ 0</t>
        </is>
      </c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</row>
    <row r="246" ht="16.5" customHeight="1" s="85">
      <c r="A246" s="46" t="inlineStr">
        <is>
          <t>Lst Convert</t>
        </is>
      </c>
      <c r="B246" s="46" t="n">
        <v>7525092535</v>
      </c>
      <c r="C246" s="46" t="inlineStr">
        <is>
          <t>Customer</t>
        </is>
      </c>
      <c r="D246" s="46" t="inlineStr">
        <is>
          <t>₹ 0</t>
        </is>
      </c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</row>
    <row r="247" ht="16.5" customHeight="1" s="85">
      <c r="A247" s="46" t="inlineStr">
        <is>
          <t>Bristil</t>
        </is>
      </c>
      <c r="B247" s="46" t="n">
        <v>7525836256</v>
      </c>
      <c r="C247" s="46" t="inlineStr">
        <is>
          <t>Customer</t>
        </is>
      </c>
      <c r="D247" s="46" t="inlineStr">
        <is>
          <t>₹ 0</t>
        </is>
      </c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</row>
    <row r="248" ht="16.5" customHeight="1" s="85">
      <c r="A248" s="46" t="inlineStr">
        <is>
          <t>Delson Old Kerala Store</t>
        </is>
      </c>
      <c r="B248" s="46" t="n">
        <v>7525985339</v>
      </c>
      <c r="C248" s="46" t="inlineStr">
        <is>
          <t>Customer</t>
        </is>
      </c>
      <c r="D248" s="46" t="inlineStr">
        <is>
          <t>₹ 0</t>
        </is>
      </c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</row>
    <row r="249" ht="16.5" customHeight="1" s="85">
      <c r="A249" s="46" t="inlineStr">
        <is>
          <t>Jacob</t>
        </is>
      </c>
      <c r="B249" s="46" t="n">
        <v>7541987076</v>
      </c>
      <c r="C249" s="46" t="inlineStr">
        <is>
          <t>Customer</t>
        </is>
      </c>
      <c r="D249" s="46" t="inlineStr">
        <is>
          <t>₹ 0</t>
        </is>
      </c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</row>
    <row r="250" ht="16.5" customHeight="1" s="85">
      <c r="A250" s="46" t="inlineStr">
        <is>
          <t>Anshu John</t>
        </is>
      </c>
      <c r="B250" s="46" t="n">
        <v>7558023018</v>
      </c>
      <c r="C250" s="46" t="inlineStr">
        <is>
          <t>Customer</t>
        </is>
      </c>
      <c r="D250" s="46" t="inlineStr">
        <is>
          <t>₹ 0</t>
        </is>
      </c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</row>
    <row r="251" ht="16.5" customHeight="1" s="85">
      <c r="A251" s="46" t="inlineStr">
        <is>
          <t>Shine</t>
        </is>
      </c>
      <c r="B251" s="46" t="n">
        <v>7559001506</v>
      </c>
      <c r="C251" s="46" t="inlineStr">
        <is>
          <t>Customer</t>
        </is>
      </c>
      <c r="D251" s="46" t="inlineStr">
        <is>
          <t>₹ 0</t>
        </is>
      </c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</row>
    <row r="252" ht="16.5" customHeight="1" s="85">
      <c r="A252" s="46" t="inlineStr">
        <is>
          <t>Lijomon.K</t>
        </is>
      </c>
      <c r="B252" s="46" t="n">
        <v>7559088262</v>
      </c>
      <c r="C252" s="46" t="inlineStr">
        <is>
          <t>Customer</t>
        </is>
      </c>
      <c r="D252" s="46" t="inlineStr">
        <is>
          <t>₹ 0</t>
        </is>
      </c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</row>
    <row r="253" ht="16.5" customHeight="1" s="85">
      <c r="A253" s="46" t="inlineStr">
        <is>
          <t>Athira</t>
        </is>
      </c>
      <c r="B253" s="46" t="n">
        <v>7559817781</v>
      </c>
      <c r="C253" s="46" t="inlineStr">
        <is>
          <t>Customer</t>
        </is>
      </c>
      <c r="D253" s="46" t="inlineStr">
        <is>
          <t>₹ 0</t>
        </is>
      </c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</row>
    <row r="254" ht="16.5" customHeight="1" s="85">
      <c r="A254" s="46" t="inlineStr">
        <is>
          <t>Jobish</t>
        </is>
      </c>
      <c r="B254" s="46" t="n">
        <v>7560917402</v>
      </c>
      <c r="C254" s="46" t="inlineStr">
        <is>
          <t>Customer</t>
        </is>
      </c>
      <c r="D254" s="46" t="inlineStr">
        <is>
          <t>₹ 0</t>
        </is>
      </c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</row>
    <row r="255" ht="16.5" customHeight="1" s="85">
      <c r="A255" s="46" t="inlineStr">
        <is>
          <t>Convent</t>
        </is>
      </c>
      <c r="B255" s="46" t="n">
        <v>7570042059</v>
      </c>
      <c r="C255" s="46" t="inlineStr">
        <is>
          <t>Customer</t>
        </is>
      </c>
      <c r="D255" s="46" t="inlineStr">
        <is>
          <t>₹ 0</t>
        </is>
      </c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</row>
    <row r="256" ht="16.5" customHeight="1" s="85">
      <c r="A256" s="46" t="inlineStr">
        <is>
          <t>Parvez</t>
        </is>
      </c>
      <c r="B256" s="46" t="n">
        <v>7570063185</v>
      </c>
      <c r="C256" s="46" t="inlineStr">
        <is>
          <t>Customer</t>
        </is>
      </c>
      <c r="D256" s="46" t="inlineStr">
        <is>
          <t>₹ 0</t>
        </is>
      </c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</row>
    <row r="257" ht="16.5" customHeight="1" s="85">
      <c r="A257" s="46" t="inlineStr">
        <is>
          <t>Surendra Kumar</t>
        </is>
      </c>
      <c r="B257" s="46" t="n">
        <v>7607221906</v>
      </c>
      <c r="C257" s="46" t="inlineStr">
        <is>
          <t>Customer</t>
        </is>
      </c>
      <c r="D257" s="46" t="inlineStr">
        <is>
          <t>₹ 0</t>
        </is>
      </c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</row>
    <row r="258" ht="16.5" customHeight="1" s="85">
      <c r="A258" s="46" t="inlineStr">
        <is>
          <t>Madhvi T.K</t>
        </is>
      </c>
      <c r="B258" s="46" t="n">
        <v>7607300920</v>
      </c>
      <c r="C258" s="46" t="inlineStr">
        <is>
          <t>Customer</t>
        </is>
      </c>
      <c r="D258" s="46" t="inlineStr">
        <is>
          <t>₹ 0</t>
        </is>
      </c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</row>
    <row r="259" ht="16.5" customHeight="1" s="85">
      <c r="A259" s="46" t="inlineStr">
        <is>
          <t>Deepak</t>
        </is>
      </c>
      <c r="B259" s="46" t="n">
        <v>7607535554</v>
      </c>
      <c r="C259" s="46" t="inlineStr">
        <is>
          <t>Customer</t>
        </is>
      </c>
      <c r="D259" s="46" t="inlineStr">
        <is>
          <t>₹ 0</t>
        </is>
      </c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</row>
    <row r="260" ht="16.5" customHeight="1" s="85">
      <c r="A260" s="46" t="inlineStr">
        <is>
          <t>Brijesh</t>
        </is>
      </c>
      <c r="B260" s="46" t="n">
        <v>7607671756</v>
      </c>
      <c r="C260" s="46" t="inlineStr">
        <is>
          <t>Customer</t>
        </is>
      </c>
      <c r="D260" s="46" t="inlineStr">
        <is>
          <t>₹ 0</t>
        </is>
      </c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</row>
    <row r="261" ht="16.5" customHeight="1" s="85">
      <c r="A261" s="46" t="inlineStr">
        <is>
          <t>Brijesh</t>
        </is>
      </c>
      <c r="B261" s="46" t="n">
        <v>7607957214</v>
      </c>
      <c r="C261" s="46" t="inlineStr">
        <is>
          <t>Customer</t>
        </is>
      </c>
      <c r="D261" s="46" t="inlineStr">
        <is>
          <t>₹ 0</t>
        </is>
      </c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</row>
    <row r="262" ht="16.5" customHeight="1" s="85">
      <c r="A262" s="46" t="inlineStr">
        <is>
          <t>Shaji Mathew</t>
        </is>
      </c>
      <c r="B262" s="46" t="n">
        <v>7607990475</v>
      </c>
      <c r="C262" s="46" t="inlineStr">
        <is>
          <t>Customer</t>
        </is>
      </c>
      <c r="D262" s="46" t="inlineStr">
        <is>
          <t>₹ 0</t>
        </is>
      </c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</row>
    <row r="263" ht="16.5" customHeight="1" s="85">
      <c r="A263" s="46" t="inlineStr">
        <is>
          <t>Rincy</t>
        </is>
      </c>
      <c r="B263" s="46" t="n">
        <v>7618089514</v>
      </c>
      <c r="C263" s="46" t="inlineStr">
        <is>
          <t>Customer</t>
        </is>
      </c>
      <c r="D263" s="46" t="inlineStr">
        <is>
          <t>₹ 0</t>
        </is>
      </c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</row>
    <row r="264" ht="16.5" customHeight="1" s="85">
      <c r="A264" s="46" t="inlineStr">
        <is>
          <t>Vibin</t>
        </is>
      </c>
      <c r="B264" s="46" t="n">
        <v>7631802934</v>
      </c>
      <c r="C264" s="46" t="inlineStr">
        <is>
          <t>Customer</t>
        </is>
      </c>
      <c r="D264" s="46" t="inlineStr">
        <is>
          <t>₹ 0</t>
        </is>
      </c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</row>
    <row r="265" ht="16.5" customHeight="1" s="85">
      <c r="A265" s="46" t="inlineStr">
        <is>
          <t>Sanish</t>
        </is>
      </c>
      <c r="B265" s="46" t="n">
        <v>7632974734</v>
      </c>
      <c r="C265" s="46" t="inlineStr">
        <is>
          <t>Customer</t>
        </is>
      </c>
      <c r="D265" s="46" t="inlineStr">
        <is>
          <t>₹ 0</t>
        </is>
      </c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</row>
    <row r="266" ht="16.5" customHeight="1" s="85">
      <c r="A266" s="46" t="inlineStr">
        <is>
          <t>Yesu</t>
        </is>
      </c>
      <c r="B266" s="46" t="n">
        <v>7639356020</v>
      </c>
      <c r="C266" s="46" t="inlineStr">
        <is>
          <t>Customer</t>
        </is>
      </c>
      <c r="D266" s="46" t="inlineStr">
        <is>
          <t>₹ 0</t>
        </is>
      </c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</row>
    <row r="267" ht="16.5" customHeight="1" s="85">
      <c r="A267" s="46" t="inlineStr">
        <is>
          <t>Anjum</t>
        </is>
      </c>
      <c r="B267" s="46" t="n">
        <v>7651866548</v>
      </c>
      <c r="C267" s="46" t="inlineStr">
        <is>
          <t>Customer</t>
        </is>
      </c>
      <c r="D267" s="46" t="inlineStr">
        <is>
          <t>₹ 0</t>
        </is>
      </c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</row>
    <row r="268" ht="16.5" customHeight="1" s="85">
      <c r="A268" s="46" t="inlineStr">
        <is>
          <t>Jomon</t>
        </is>
      </c>
      <c r="B268" s="46" t="n">
        <v>7651986788</v>
      </c>
      <c r="C268" s="46" t="inlineStr">
        <is>
          <t>Customer</t>
        </is>
      </c>
      <c r="D268" s="46" t="inlineStr">
        <is>
          <t>₹ 0</t>
        </is>
      </c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</row>
    <row r="269" ht="16.5" customHeight="1" s="85">
      <c r="A269" s="46" t="inlineStr">
        <is>
          <t>Snigdha</t>
        </is>
      </c>
      <c r="B269" s="46" t="n">
        <v>7652035953</v>
      </c>
      <c r="C269" s="46" t="inlineStr">
        <is>
          <t>Customer</t>
        </is>
      </c>
      <c r="D269" s="46" t="inlineStr">
        <is>
          <t>₹ 0</t>
        </is>
      </c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</row>
    <row r="270" ht="16.5" customHeight="1" s="85">
      <c r="A270" s="46" t="inlineStr">
        <is>
          <t>Sailesh</t>
        </is>
      </c>
      <c r="B270" s="46" t="n">
        <v>7667822037</v>
      </c>
      <c r="C270" s="46" t="inlineStr">
        <is>
          <t>Customer</t>
        </is>
      </c>
      <c r="D270" s="46" t="inlineStr">
        <is>
          <t>₹ 0</t>
        </is>
      </c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</row>
    <row r="271" ht="16.5" customHeight="1" s="85">
      <c r="A271" s="46" t="inlineStr">
        <is>
          <t>Eric Uncle</t>
        </is>
      </c>
      <c r="B271" s="46" t="n">
        <v>7678883369</v>
      </c>
      <c r="C271" s="46" t="inlineStr">
        <is>
          <t>Customer</t>
        </is>
      </c>
      <c r="D271" s="46" t="inlineStr">
        <is>
          <t>₹ 0</t>
        </is>
      </c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</row>
    <row r="272" ht="16.5" customHeight="1" s="85">
      <c r="A272" s="46" t="inlineStr">
        <is>
          <t>Ratnesh Kumar</t>
        </is>
      </c>
      <c r="B272" s="46" t="n">
        <v>7701841695</v>
      </c>
      <c r="C272" s="46" t="inlineStr">
        <is>
          <t>Customer</t>
        </is>
      </c>
      <c r="D272" s="46" t="inlineStr">
        <is>
          <t>₹ 0</t>
        </is>
      </c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</row>
    <row r="273" ht="16.5" customHeight="1" s="85">
      <c r="A273" s="46" t="inlineStr">
        <is>
          <t>Sangeeta</t>
        </is>
      </c>
      <c r="B273" s="46" t="n">
        <v>7702668760</v>
      </c>
      <c r="C273" s="46" t="inlineStr">
        <is>
          <t>Customer</t>
        </is>
      </c>
      <c r="D273" s="46" t="inlineStr">
        <is>
          <t>₹ 0</t>
        </is>
      </c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</row>
    <row r="274" ht="16.5" customHeight="1" s="85">
      <c r="A274" s="46" t="inlineStr">
        <is>
          <t>Monisha</t>
        </is>
      </c>
      <c r="B274" s="46" t="n">
        <v>7704837000</v>
      </c>
      <c r="C274" s="46" t="inlineStr">
        <is>
          <t>Customer</t>
        </is>
      </c>
      <c r="D274" s="46" t="inlineStr">
        <is>
          <t>₹ 0</t>
        </is>
      </c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</row>
    <row r="275" ht="16.5" customHeight="1" s="85">
      <c r="A275" s="46" t="inlineStr">
        <is>
          <t>Sujeet Masih</t>
        </is>
      </c>
      <c r="B275" s="46" t="n">
        <v>7705016861</v>
      </c>
      <c r="C275" s="46" t="inlineStr">
        <is>
          <t>Customer</t>
        </is>
      </c>
      <c r="D275" s="46" t="inlineStr">
        <is>
          <t>₹ 0</t>
        </is>
      </c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</row>
    <row r="276" ht="16.5" customHeight="1" s="85">
      <c r="A276" s="46" t="inlineStr">
        <is>
          <t>Lfs Chargawan Malayalee</t>
        </is>
      </c>
      <c r="B276" s="46" t="n">
        <v>7705852234</v>
      </c>
      <c r="C276" s="46" t="inlineStr">
        <is>
          <t>Customer</t>
        </is>
      </c>
      <c r="D276" s="46" t="inlineStr">
        <is>
          <t>₹ 0</t>
        </is>
      </c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</row>
    <row r="277" ht="16.5" customHeight="1" s="85">
      <c r="A277" s="46" t="inlineStr">
        <is>
          <t>Little Flower School</t>
        </is>
      </c>
      <c r="B277" s="46" t="n">
        <v>7706822634</v>
      </c>
      <c r="C277" s="46" t="inlineStr">
        <is>
          <t>Customer</t>
        </is>
      </c>
      <c r="D277" s="46" t="inlineStr">
        <is>
          <t>₹ 0</t>
        </is>
      </c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</row>
    <row r="278" ht="16.5" customHeight="1" s="85">
      <c r="A278" s="46" t="inlineStr">
        <is>
          <t>Amuwas</t>
        </is>
      </c>
      <c r="B278" s="46" t="n">
        <v>7707822634</v>
      </c>
      <c r="C278" s="46" t="inlineStr">
        <is>
          <t>Customer</t>
        </is>
      </c>
      <c r="D278" s="46" t="inlineStr">
        <is>
          <t>₹ 0</t>
        </is>
      </c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</row>
    <row r="279" ht="16.5" customHeight="1" s="85">
      <c r="A279" s="46" t="inlineStr">
        <is>
          <t>Ashwati</t>
        </is>
      </c>
      <c r="B279" s="46" t="n">
        <v>7736151656</v>
      </c>
      <c r="C279" s="46" t="inlineStr">
        <is>
          <t>Customer</t>
        </is>
      </c>
      <c r="D279" s="46" t="inlineStr">
        <is>
          <t>₹ 0</t>
        </is>
      </c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</row>
    <row r="280" ht="16.5" customHeight="1" s="85">
      <c r="A280" s="46" t="inlineStr">
        <is>
          <t>Pr.Joseph</t>
        </is>
      </c>
      <c r="B280" s="46" t="n">
        <v>7739273278</v>
      </c>
      <c r="C280" s="46" t="inlineStr">
        <is>
          <t>Customer</t>
        </is>
      </c>
      <c r="D280" s="46" t="inlineStr">
        <is>
          <t>₹ 0</t>
        </is>
      </c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</row>
    <row r="281" ht="16.5" customHeight="1" s="85">
      <c r="A281" s="46" t="inlineStr">
        <is>
          <t>Abhinav</t>
        </is>
      </c>
      <c r="B281" s="46" t="n">
        <v>7745865090</v>
      </c>
      <c r="C281" s="46" t="inlineStr">
        <is>
          <t>Customer</t>
        </is>
      </c>
      <c r="D281" s="46" t="inlineStr">
        <is>
          <t>₹ 0</t>
        </is>
      </c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</row>
    <row r="282" ht="16.5" customHeight="1" s="85">
      <c r="A282" s="46" t="inlineStr">
        <is>
          <t>Jantri Nepal</t>
        </is>
      </c>
      <c r="B282" s="46" t="n">
        <v>7753902276</v>
      </c>
      <c r="C282" s="46" t="inlineStr">
        <is>
          <t>Customer</t>
        </is>
      </c>
      <c r="D282" s="46" t="inlineStr">
        <is>
          <t>₹ 0</t>
        </is>
      </c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</row>
    <row r="283" ht="16.5" customHeight="1" s="85">
      <c r="A283" s="46" t="inlineStr">
        <is>
          <t>Babu Sir</t>
        </is>
      </c>
      <c r="B283" s="46" t="n">
        <v>7753947307</v>
      </c>
      <c r="C283" s="46" t="inlineStr">
        <is>
          <t>Customer</t>
        </is>
      </c>
      <c r="D283" s="46" t="inlineStr">
        <is>
          <t>₹ 0</t>
        </is>
      </c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</row>
    <row r="284" ht="16.5" customHeight="1" s="85">
      <c r="A284" s="46" t="inlineStr">
        <is>
          <t>jishnu</t>
        </is>
      </c>
      <c r="B284" s="46" t="n">
        <v>7754054468</v>
      </c>
      <c r="C284" s="46" t="inlineStr">
        <is>
          <t>Customer</t>
        </is>
      </c>
      <c r="D284" s="46" t="inlineStr">
        <is>
          <t>₹ 0</t>
        </is>
      </c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</row>
    <row r="285" ht="16.5" customHeight="1" s="85">
      <c r="A285" s="46" t="inlineStr">
        <is>
          <t>Jiji Mathew</t>
        </is>
      </c>
      <c r="B285" s="46" t="n">
        <v>7754882814</v>
      </c>
      <c r="C285" s="46" t="inlineStr">
        <is>
          <t>Customer</t>
        </is>
      </c>
      <c r="D285" s="46" t="inlineStr">
        <is>
          <t>₹ 0</t>
        </is>
      </c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</row>
    <row r="286" ht="16.5" customHeight="1" s="85">
      <c r="A286" s="46" t="inlineStr">
        <is>
          <t>Chandni</t>
        </is>
      </c>
      <c r="B286" s="46" t="n">
        <v>7756949879</v>
      </c>
      <c r="C286" s="46" t="inlineStr">
        <is>
          <t>Customer</t>
        </is>
      </c>
      <c r="D286" s="46" t="inlineStr">
        <is>
          <t>₹ 0</t>
        </is>
      </c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</row>
    <row r="287" ht="16.5" customHeight="1" s="85">
      <c r="A287" s="46" t="inlineStr">
        <is>
          <t>Rakesh dhanha, baspar</t>
        </is>
      </c>
      <c r="B287" s="46" t="n">
        <v>7760321640</v>
      </c>
      <c r="C287" s="46" t="inlineStr">
        <is>
          <t>Customer</t>
        </is>
      </c>
      <c r="D287" s="46" t="inlineStr">
        <is>
          <t>₹ 0</t>
        </is>
      </c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</row>
    <row r="288" ht="16.5" customHeight="1" s="85">
      <c r="A288" s="46" t="inlineStr">
        <is>
          <t>Baby George</t>
        </is>
      </c>
      <c r="B288" s="46" t="n">
        <v>7766936644</v>
      </c>
      <c r="C288" s="46" t="inlineStr">
        <is>
          <t>Customer</t>
        </is>
      </c>
      <c r="D288" s="46" t="inlineStr">
        <is>
          <t>₹ 0</t>
        </is>
      </c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</row>
    <row r="289" ht="16.5" customHeight="1" s="85">
      <c r="A289" s="46" t="inlineStr">
        <is>
          <t>Kirti</t>
        </is>
      </c>
      <c r="B289" s="46" t="n">
        <v>7770005663</v>
      </c>
      <c r="C289" s="46" t="inlineStr">
        <is>
          <t>Customer</t>
        </is>
      </c>
      <c r="D289" s="46" t="inlineStr">
        <is>
          <t>₹ 0</t>
        </is>
      </c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</row>
    <row r="290" ht="16.5" customHeight="1" s="85">
      <c r="A290" s="46" t="inlineStr">
        <is>
          <t>Biju George</t>
        </is>
      </c>
      <c r="B290" s="46" t="n">
        <v>7779859792</v>
      </c>
      <c r="C290" s="46" t="inlineStr">
        <is>
          <t>Customer</t>
        </is>
      </c>
      <c r="D290" s="46" t="inlineStr">
        <is>
          <t>₹ 0</t>
        </is>
      </c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</row>
    <row r="291" ht="16.5" customHeight="1" s="85">
      <c r="A291" s="46" t="inlineStr">
        <is>
          <t>Saji Gorakhnath</t>
        </is>
      </c>
      <c r="B291" s="46" t="n">
        <v>7800056678</v>
      </c>
      <c r="C291" s="46" t="inlineStr">
        <is>
          <t>Customer</t>
        </is>
      </c>
      <c r="D291" s="46" t="inlineStr">
        <is>
          <t>₹ 0</t>
        </is>
      </c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</row>
    <row r="292" ht="16.5" customHeight="1" s="85">
      <c r="A292" s="46" t="inlineStr">
        <is>
          <t>Sunny Sir Deoria</t>
        </is>
      </c>
      <c r="B292" s="46" t="n">
        <v>7800291936</v>
      </c>
      <c r="C292" s="46" t="inlineStr">
        <is>
          <t>Customer</t>
        </is>
      </c>
      <c r="D292" s="46" t="inlineStr">
        <is>
          <t>₹ 0</t>
        </is>
      </c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</row>
    <row r="293" ht="16.5" customHeight="1" s="85">
      <c r="A293" s="46" t="inlineStr">
        <is>
          <t>Sister Teris</t>
        </is>
      </c>
      <c r="B293" s="46" t="n">
        <v>7800337754</v>
      </c>
      <c r="C293" s="46" t="inlineStr">
        <is>
          <t>Customer</t>
        </is>
      </c>
      <c r="D293" s="46" t="inlineStr">
        <is>
          <t>₹ 0</t>
        </is>
      </c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</row>
    <row r="294" ht="16.5" customHeight="1" s="85">
      <c r="A294" s="46" t="inlineStr">
        <is>
          <t>Shweta</t>
        </is>
      </c>
      <c r="B294" s="46" t="n">
        <v>7800375461</v>
      </c>
      <c r="C294" s="46" t="inlineStr">
        <is>
          <t>Customer</t>
        </is>
      </c>
      <c r="D294" s="46" t="inlineStr">
        <is>
          <t>₹ 0</t>
        </is>
      </c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</row>
    <row r="295" ht="16.5" customHeight="1" s="85">
      <c r="A295" s="46" t="inlineStr">
        <is>
          <t>New Beliver Aunty</t>
        </is>
      </c>
      <c r="B295" s="46" t="n">
        <v>7800891658</v>
      </c>
      <c r="C295" s="46" t="inlineStr">
        <is>
          <t>Customer</t>
        </is>
      </c>
      <c r="D295" s="46" t="inlineStr">
        <is>
          <t>₹ 0</t>
        </is>
      </c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</row>
    <row r="296" ht="16.5" customHeight="1" s="85">
      <c r="A296" s="46" t="inlineStr">
        <is>
          <t>Norbi</t>
        </is>
      </c>
      <c r="B296" s="46" t="n">
        <v>7828765908</v>
      </c>
      <c r="C296" s="46" t="inlineStr">
        <is>
          <t>Customer</t>
        </is>
      </c>
      <c r="D296" s="46" t="inlineStr">
        <is>
          <t>₹ 0</t>
        </is>
      </c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</row>
    <row r="297" ht="16.5" customHeight="1" s="85">
      <c r="A297" s="46" t="inlineStr">
        <is>
          <t>Yaqub</t>
        </is>
      </c>
      <c r="B297" s="46" t="n">
        <v>7839126939</v>
      </c>
      <c r="C297" s="46" t="inlineStr">
        <is>
          <t>Customer</t>
        </is>
      </c>
      <c r="D297" s="46" t="inlineStr">
        <is>
          <t>₹ 0</t>
        </is>
      </c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</row>
    <row r="298" ht="16.5" customHeight="1" s="85">
      <c r="A298" s="46" t="inlineStr">
        <is>
          <t>Abhishek</t>
        </is>
      </c>
      <c r="B298" s="46" t="n">
        <v>7843809185</v>
      </c>
      <c r="C298" s="46" t="inlineStr">
        <is>
          <t>Customer</t>
        </is>
      </c>
      <c r="D298" s="46" t="inlineStr">
        <is>
          <t>₹ 0</t>
        </is>
      </c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</row>
    <row r="299" ht="16.5" customHeight="1" s="85">
      <c r="A299" s="46" t="inlineStr">
        <is>
          <t>Alka</t>
        </is>
      </c>
      <c r="B299" s="46" t="n">
        <v>7844930630</v>
      </c>
      <c r="C299" s="46" t="inlineStr">
        <is>
          <t>Customer</t>
        </is>
      </c>
      <c r="D299" s="46" t="inlineStr">
        <is>
          <t>₹ 0</t>
        </is>
      </c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</row>
    <row r="300" ht="16.5" customHeight="1" s="85">
      <c r="A300" s="46" t="inlineStr">
        <is>
          <t>Sonu</t>
        </is>
      </c>
      <c r="B300" s="46" t="n">
        <v>7860813748</v>
      </c>
      <c r="C300" s="46" t="inlineStr">
        <is>
          <t>Customer</t>
        </is>
      </c>
      <c r="D300" s="46" t="inlineStr">
        <is>
          <t>₹ 0</t>
        </is>
      </c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</row>
    <row r="301" ht="16.5" customHeight="1" s="85">
      <c r="A301" s="46" t="inlineStr">
        <is>
          <t>Manoj</t>
        </is>
      </c>
      <c r="B301" s="46" t="n">
        <v>7860855518</v>
      </c>
      <c r="C301" s="46" t="inlineStr">
        <is>
          <t>Customer</t>
        </is>
      </c>
      <c r="D301" s="46" t="inlineStr">
        <is>
          <t>₹ 0</t>
        </is>
      </c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</row>
    <row r="302" ht="16.5" customHeight="1" s="85">
      <c r="A302" s="46" t="inlineStr">
        <is>
          <t>Pramila</t>
        </is>
      </c>
      <c r="B302" s="46" t="n">
        <v>7860897145</v>
      </c>
      <c r="C302" s="46" t="inlineStr">
        <is>
          <t>Customer</t>
        </is>
      </c>
      <c r="D302" s="46" t="inlineStr">
        <is>
          <t>₹ 0</t>
        </is>
      </c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</row>
    <row r="303" ht="16.5" customHeight="1" s="85">
      <c r="A303" s="46" t="inlineStr">
        <is>
          <t>Saurabh</t>
        </is>
      </c>
      <c r="B303" s="46" t="n">
        <v>7870450632</v>
      </c>
      <c r="C303" s="46" t="inlineStr">
        <is>
          <t>Customer</t>
        </is>
      </c>
      <c r="D303" s="46" t="inlineStr">
        <is>
          <t>₹ 0</t>
        </is>
      </c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</row>
    <row r="304" ht="16.5" customHeight="1" s="85">
      <c r="A304" s="46" t="inlineStr">
        <is>
          <t>Smi Kaptanganj</t>
        </is>
      </c>
      <c r="B304" s="46" t="n">
        <v>7879822030</v>
      </c>
      <c r="C304" s="46" t="inlineStr">
        <is>
          <t>Customer</t>
        </is>
      </c>
      <c r="D304" s="46" t="inlineStr">
        <is>
          <t>₹ 0</t>
        </is>
      </c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</row>
    <row r="305" ht="16.5" customHeight="1" s="85">
      <c r="A305" s="46" t="inlineStr">
        <is>
          <t>Chauresia Aunty</t>
        </is>
      </c>
      <c r="B305" s="46" t="n">
        <v>7880315459</v>
      </c>
      <c r="C305" s="46" t="inlineStr">
        <is>
          <t>Customer</t>
        </is>
      </c>
      <c r="D305" s="46" t="inlineStr">
        <is>
          <t>₹ 0</t>
        </is>
      </c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</row>
    <row r="306" ht="16.5" customHeight="1" s="85">
      <c r="A306" s="46" t="inlineStr">
        <is>
          <t>Aradhna</t>
        </is>
      </c>
      <c r="B306" s="46" t="n">
        <v>7880495426</v>
      </c>
      <c r="C306" s="46" t="inlineStr">
        <is>
          <t>Customer</t>
        </is>
      </c>
      <c r="D306" s="46" t="inlineStr">
        <is>
          <t>₹ 0</t>
        </is>
      </c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</row>
    <row r="307" ht="16.5" customHeight="1" s="85">
      <c r="A307" s="46" t="inlineStr">
        <is>
          <t>Manohar Prasad</t>
        </is>
      </c>
      <c r="B307" s="46" t="n">
        <v>7880592412</v>
      </c>
      <c r="C307" s="46" t="inlineStr">
        <is>
          <t>Customer</t>
        </is>
      </c>
      <c r="D307" s="46" t="inlineStr">
        <is>
          <t>₹ 0</t>
        </is>
      </c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</row>
    <row r="308" ht="16.5" customHeight="1" s="85">
      <c r="A308" s="46" t="inlineStr">
        <is>
          <t>Arpit Simon</t>
        </is>
      </c>
      <c r="B308" s="46" t="n">
        <v>7880596773</v>
      </c>
      <c r="C308" s="46" t="inlineStr">
        <is>
          <t>Customer</t>
        </is>
      </c>
      <c r="D308" s="46" t="inlineStr">
        <is>
          <t>₹ 0</t>
        </is>
      </c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</row>
    <row r="309" ht="16.5" customHeight="1" s="85">
      <c r="A309" s="46" t="inlineStr">
        <is>
          <t>Jai Hind</t>
        </is>
      </c>
      <c r="B309" s="46" t="n">
        <v>7881127186</v>
      </c>
      <c r="C309" s="46" t="inlineStr">
        <is>
          <t>Customer</t>
        </is>
      </c>
      <c r="D309" s="46" t="inlineStr">
        <is>
          <t>₹ 0</t>
        </is>
      </c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</row>
    <row r="310" ht="16.5" customHeight="1" s="85">
      <c r="A310" s="46" t="inlineStr">
        <is>
          <t>GOPA KUMAR</t>
        </is>
      </c>
      <c r="B310" s="46" t="n">
        <v>7888759215</v>
      </c>
      <c r="C310" s="46" t="inlineStr">
        <is>
          <t>Customer</t>
        </is>
      </c>
      <c r="D310" s="46" t="inlineStr">
        <is>
          <t>₹ 0</t>
        </is>
      </c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</row>
    <row r="311" ht="16.5" customHeight="1" s="85">
      <c r="A311" s="46" t="inlineStr">
        <is>
          <t>Aneesh .K</t>
        </is>
      </c>
      <c r="B311" s="46" t="n">
        <v>7896753513</v>
      </c>
      <c r="C311" s="46" t="inlineStr">
        <is>
          <t>Customer</t>
        </is>
      </c>
      <c r="D311" s="46" t="inlineStr">
        <is>
          <t>₹ 0</t>
        </is>
      </c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</row>
    <row r="312" ht="16.5" customHeight="1" s="85">
      <c r="A312" s="46" t="inlineStr">
        <is>
          <t>Shriram Chaudhary</t>
        </is>
      </c>
      <c r="B312" s="46" t="n">
        <v>7897032220</v>
      </c>
      <c r="C312" s="46" t="inlineStr">
        <is>
          <t>Customer</t>
        </is>
      </c>
      <c r="D312" s="46" t="inlineStr">
        <is>
          <t>₹ 0</t>
        </is>
      </c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</row>
    <row r="313" ht="16.5" customHeight="1" s="85">
      <c r="A313" s="46" t="inlineStr">
        <is>
          <t>Binci</t>
        </is>
      </c>
      <c r="B313" s="46" t="n">
        <v>7897103077</v>
      </c>
      <c r="C313" s="46" t="inlineStr">
        <is>
          <t>Customer</t>
        </is>
      </c>
      <c r="D313" s="46" t="inlineStr">
        <is>
          <t>₹ 0</t>
        </is>
      </c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</row>
    <row r="314" ht="16.5" customHeight="1" s="85">
      <c r="A314" s="46" t="inlineStr">
        <is>
          <t>Rashami</t>
        </is>
      </c>
      <c r="B314" s="46" t="n">
        <v>7897281888</v>
      </c>
      <c r="C314" s="46" t="inlineStr">
        <is>
          <t>Customer</t>
        </is>
      </c>
      <c r="D314" s="46" t="inlineStr">
        <is>
          <t>₹ 0</t>
        </is>
      </c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</row>
    <row r="315" ht="16.5" customHeight="1" s="85">
      <c r="A315" s="46" t="inlineStr">
        <is>
          <t>Rajkishor Siswa ICT 2021</t>
        </is>
      </c>
      <c r="B315" s="46" t="n">
        <v>7897468967</v>
      </c>
      <c r="C315" s="46" t="inlineStr">
        <is>
          <t>Customer</t>
        </is>
      </c>
      <c r="D315" s="46" t="inlineStr">
        <is>
          <t>₹ 0</t>
        </is>
      </c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</row>
    <row r="316" ht="16.5" customHeight="1" s="85">
      <c r="A316" s="46" t="inlineStr">
        <is>
          <t>Jainy Aunty</t>
        </is>
      </c>
      <c r="B316" s="46" t="n">
        <v>7897656074</v>
      </c>
      <c r="C316" s="46" t="inlineStr">
        <is>
          <t>Customer</t>
        </is>
      </c>
      <c r="D316" s="46" t="inlineStr">
        <is>
          <t>₹ 0</t>
        </is>
      </c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</row>
    <row r="317" ht="16.5" customHeight="1" s="85">
      <c r="A317" s="46" t="inlineStr">
        <is>
          <t>Providence Home</t>
        </is>
      </c>
      <c r="B317" s="46" t="n">
        <v>7897849970</v>
      </c>
      <c r="C317" s="46" t="inlineStr">
        <is>
          <t>Customer</t>
        </is>
      </c>
      <c r="D317" s="46" t="inlineStr">
        <is>
          <t>₹ 0</t>
        </is>
      </c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</row>
    <row r="318" ht="16.5" customHeight="1" s="85">
      <c r="A318" s="46" t="inlineStr">
        <is>
          <t>Awdhesh Nepal</t>
        </is>
      </c>
      <c r="B318" s="46" t="n">
        <v>7897977394</v>
      </c>
      <c r="C318" s="46" t="inlineStr">
        <is>
          <t>Customer</t>
        </is>
      </c>
      <c r="D318" s="46" t="inlineStr">
        <is>
          <t>₹ 0</t>
        </is>
      </c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</row>
    <row r="319" ht="16.5" customHeight="1" s="85">
      <c r="A319" s="46" t="inlineStr">
        <is>
          <t>Rambhavan</t>
        </is>
      </c>
      <c r="B319" s="46" t="n">
        <v>7902816072</v>
      </c>
      <c r="C319" s="46" t="inlineStr">
        <is>
          <t>Customer</t>
        </is>
      </c>
      <c r="D319" s="46" t="inlineStr">
        <is>
          <t>₹ 0</t>
        </is>
      </c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</row>
    <row r="320" ht="16.5" customHeight="1" s="85">
      <c r="A320" s="46" t="inlineStr">
        <is>
          <t>Dony MD</t>
        </is>
      </c>
      <c r="B320" s="46" t="n">
        <v>7905171672</v>
      </c>
      <c r="C320" s="46" t="inlineStr">
        <is>
          <t>Customer</t>
        </is>
      </c>
      <c r="D320" s="46" t="inlineStr">
        <is>
          <t>₹ 0</t>
        </is>
      </c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</row>
    <row r="321" ht="16.5" customHeight="1" s="85">
      <c r="A321" s="46" t="inlineStr">
        <is>
          <t>aryan Singh</t>
        </is>
      </c>
      <c r="B321" s="46" t="n">
        <v>7905203534</v>
      </c>
      <c r="C321" s="46" t="inlineStr">
        <is>
          <t>Customer</t>
        </is>
      </c>
      <c r="D321" s="46" t="inlineStr">
        <is>
          <t>₹ 0</t>
        </is>
      </c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</row>
    <row r="322" ht="16.5" customHeight="1" s="85">
      <c r="A322" s="46" t="inlineStr">
        <is>
          <t>Arti</t>
        </is>
      </c>
      <c r="B322" s="46" t="n">
        <v>7905218627</v>
      </c>
      <c r="C322" s="46" t="inlineStr">
        <is>
          <t>Customer</t>
        </is>
      </c>
      <c r="D322" s="46" t="inlineStr">
        <is>
          <t>₹ 0</t>
        </is>
      </c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</row>
    <row r="323" ht="16.5" customHeight="1" s="85">
      <c r="A323" s="46" t="inlineStr">
        <is>
          <t>Angel</t>
        </is>
      </c>
      <c r="B323" s="46" t="n">
        <v>7905303382</v>
      </c>
      <c r="C323" s="46" t="inlineStr">
        <is>
          <t>Customer</t>
        </is>
      </c>
      <c r="D323" s="46" t="inlineStr">
        <is>
          <t>₹ 0</t>
        </is>
      </c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</row>
    <row r="324" ht="16.5" customHeight="1" s="85">
      <c r="A324" s="46" t="inlineStr">
        <is>
          <t>Chandan Singh</t>
        </is>
      </c>
      <c r="B324" s="46" t="n">
        <v>7905579681</v>
      </c>
      <c r="C324" s="46" t="inlineStr">
        <is>
          <t>Customer</t>
        </is>
      </c>
      <c r="D324" s="46" t="inlineStr">
        <is>
          <t>₹ 0</t>
        </is>
      </c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</row>
    <row r="325" ht="16.5" customHeight="1" s="85">
      <c r="A325" s="46" t="inlineStr">
        <is>
          <t>Reji Mathew Salempur</t>
        </is>
      </c>
      <c r="B325" s="46" t="n">
        <v>7905604729</v>
      </c>
      <c r="C325" s="46" t="inlineStr">
        <is>
          <t>Customer</t>
        </is>
      </c>
      <c r="D325" s="46" t="inlineStr">
        <is>
          <t>₹ 0</t>
        </is>
      </c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</row>
    <row r="326" ht="16.5" customHeight="1" s="85">
      <c r="A326" s="46" t="inlineStr">
        <is>
          <t>Shruti</t>
        </is>
      </c>
      <c r="B326" s="46" t="n">
        <v>7905616355</v>
      </c>
      <c r="C326" s="46" t="inlineStr">
        <is>
          <t>Customer</t>
        </is>
      </c>
      <c r="D326" s="46" t="inlineStr">
        <is>
          <t>₹ 0</t>
        </is>
      </c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</row>
    <row r="327" ht="16.5" customHeight="1" s="85">
      <c r="A327" s="46" t="inlineStr">
        <is>
          <t>Shibani</t>
        </is>
      </c>
      <c r="B327" s="46" t="n">
        <v>7905749275</v>
      </c>
      <c r="C327" s="46" t="inlineStr">
        <is>
          <t>Customer</t>
        </is>
      </c>
      <c r="D327" s="46" t="inlineStr">
        <is>
          <t>₹ 0</t>
        </is>
      </c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</row>
    <row r="328" ht="16.5" customHeight="1" s="85">
      <c r="A328" s="46" t="inlineStr">
        <is>
          <t>Vinit</t>
        </is>
      </c>
      <c r="B328" s="46" t="n">
        <v>7905795471</v>
      </c>
      <c r="C328" s="46" t="inlineStr">
        <is>
          <t>Customer</t>
        </is>
      </c>
      <c r="D328" s="46" t="inlineStr">
        <is>
          <t>₹ 0</t>
        </is>
      </c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</row>
    <row r="329" ht="16.5" customHeight="1" s="85">
      <c r="A329" s="46" t="inlineStr">
        <is>
          <t>Jolly</t>
        </is>
      </c>
      <c r="B329" s="46" t="n">
        <v>7905969582</v>
      </c>
      <c r="C329" s="46" t="inlineStr">
        <is>
          <t>Customer</t>
        </is>
      </c>
      <c r="D329" s="46" t="inlineStr">
        <is>
          <t>₹ 0</t>
        </is>
      </c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</row>
    <row r="330" ht="16.5" customHeight="1" s="85">
      <c r="A330" s="46" t="inlineStr">
        <is>
          <t>Animesh Simon</t>
        </is>
      </c>
      <c r="B330" s="46" t="n">
        <v>7905972523</v>
      </c>
      <c r="C330" s="46" t="inlineStr">
        <is>
          <t>Customer</t>
        </is>
      </c>
      <c r="D330" s="46" t="inlineStr">
        <is>
          <t>₹ 0</t>
        </is>
      </c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</row>
    <row r="331" ht="16.5" customHeight="1" s="85">
      <c r="A331" s="46" t="inlineStr">
        <is>
          <t>Khushi</t>
        </is>
      </c>
      <c r="B331" s="46" t="n">
        <v>7906282901</v>
      </c>
      <c r="C331" s="46" t="inlineStr">
        <is>
          <t>Customer</t>
        </is>
      </c>
      <c r="D331" s="46" t="inlineStr">
        <is>
          <t>₹ 0</t>
        </is>
      </c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</row>
    <row r="332" ht="16.5" customHeight="1" s="85">
      <c r="A332" s="46" t="inlineStr">
        <is>
          <t>Emmanuel</t>
        </is>
      </c>
      <c r="B332" s="46" t="n">
        <v>7906908575</v>
      </c>
      <c r="C332" s="46" t="inlineStr">
        <is>
          <t>Customer</t>
        </is>
      </c>
      <c r="D332" s="46" t="inlineStr">
        <is>
          <t>₹ 0</t>
        </is>
      </c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</row>
    <row r="333" ht="16.5" customHeight="1" s="85">
      <c r="A333" s="46" t="inlineStr">
        <is>
          <t>G.G Joseph</t>
        </is>
      </c>
      <c r="B333" s="46" t="n">
        <v>7907186159</v>
      </c>
      <c r="C333" s="46" t="inlineStr">
        <is>
          <t>Customer</t>
        </is>
      </c>
      <c r="D333" s="46" t="inlineStr">
        <is>
          <t>₹ 0</t>
        </is>
      </c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</row>
    <row r="334" ht="16.5" customHeight="1" s="85">
      <c r="A334" s="46" t="inlineStr">
        <is>
          <t>Jiji Joseph</t>
        </is>
      </c>
      <c r="B334" s="46" t="n">
        <v>7907186759</v>
      </c>
      <c r="C334" s="46" t="inlineStr">
        <is>
          <t>Customer</t>
        </is>
      </c>
      <c r="D334" s="46" t="inlineStr">
        <is>
          <t>₹ 0</t>
        </is>
      </c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</row>
    <row r="335" ht="16.5" customHeight="1" s="85">
      <c r="A335" s="46" t="inlineStr">
        <is>
          <t>Denny Sir</t>
        </is>
      </c>
      <c r="B335" s="46" t="n">
        <v>7907660144</v>
      </c>
      <c r="C335" s="46" t="inlineStr">
        <is>
          <t>Customer</t>
        </is>
      </c>
      <c r="D335" s="46" t="inlineStr">
        <is>
          <t>₹ 0</t>
        </is>
      </c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</row>
    <row r="336" ht="16.5" customHeight="1" s="85">
      <c r="A336" s="46" t="inlineStr">
        <is>
          <t>Ambily</t>
        </is>
      </c>
      <c r="B336" s="46" t="n">
        <v>7907791346</v>
      </c>
      <c r="C336" s="46" t="inlineStr">
        <is>
          <t>Customer</t>
        </is>
      </c>
      <c r="D336" s="46" t="inlineStr">
        <is>
          <t>₹ 0</t>
        </is>
      </c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</row>
    <row r="337" ht="16.5" customHeight="1" s="85">
      <c r="A337" s="46" t="inlineStr">
        <is>
          <t>Rajesh</t>
        </is>
      </c>
      <c r="B337" s="46" t="n">
        <v>7907988596</v>
      </c>
      <c r="C337" s="46" t="inlineStr">
        <is>
          <t>Customer</t>
        </is>
      </c>
      <c r="D337" s="46" t="inlineStr">
        <is>
          <t>₹ 0</t>
        </is>
      </c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</row>
    <row r="338" ht="16.5" customHeight="1" s="85">
      <c r="A338" s="46" t="inlineStr">
        <is>
          <t>Akhilesh Malayalee Air Force Gkp</t>
        </is>
      </c>
      <c r="B338" s="46" t="n">
        <v>7907992845</v>
      </c>
      <c r="C338" s="46" t="inlineStr">
        <is>
          <t>Customer</t>
        </is>
      </c>
      <c r="D338" s="46" t="inlineStr">
        <is>
          <t>₹ 58,935.32</t>
        </is>
      </c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</row>
    <row r="339" ht="16.5" customHeight="1" s="85">
      <c r="A339" s="46" t="inlineStr">
        <is>
          <t>Shubham Rungta</t>
        </is>
      </c>
      <c r="B339" s="46" t="n">
        <v>7972405161</v>
      </c>
      <c r="C339" s="46" t="inlineStr">
        <is>
          <t>Customer</t>
        </is>
      </c>
      <c r="D339" s="46" t="inlineStr">
        <is>
          <t>₹ 0</t>
        </is>
      </c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</row>
    <row r="340" ht="16.5" customHeight="1" s="85">
      <c r="A340" s="46" t="inlineStr">
        <is>
          <t>HURL Gorakhpur</t>
        </is>
      </c>
      <c r="B340" s="46" t="n">
        <v>7973142034</v>
      </c>
      <c r="C340" s="46" t="inlineStr">
        <is>
          <t>Customer</t>
        </is>
      </c>
      <c r="D340" s="46" t="inlineStr">
        <is>
          <t>₹ 0</t>
        </is>
      </c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</row>
    <row r="341" ht="16.5" customHeight="1" s="85">
      <c r="A341" s="46" t="inlineStr">
        <is>
          <t>Chamberleen</t>
        </is>
      </c>
      <c r="B341" s="46" t="n">
        <v>7979872243</v>
      </c>
      <c r="C341" s="46" t="inlineStr">
        <is>
          <t>Customer</t>
        </is>
      </c>
      <c r="D341" s="46" t="inlineStr">
        <is>
          <t>₹ 0</t>
        </is>
      </c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</row>
    <row r="342" ht="16.5" customHeight="1" s="85">
      <c r="A342" s="46" t="inlineStr">
        <is>
          <t>Ravi Near GMS</t>
        </is>
      </c>
      <c r="B342" s="46" t="n">
        <v>7985161738</v>
      </c>
      <c r="C342" s="46" t="inlineStr">
        <is>
          <t>Customer</t>
        </is>
      </c>
      <c r="D342" s="46" t="inlineStr">
        <is>
          <t>₹ 0</t>
        </is>
      </c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</row>
    <row r="343" ht="16.5" customHeight="1" s="85">
      <c r="A343" s="46" t="inlineStr">
        <is>
          <t>Shalini James</t>
        </is>
      </c>
      <c r="B343" s="46" t="n">
        <v>7985352559</v>
      </c>
      <c r="C343" s="46" t="inlineStr">
        <is>
          <t>Customer</t>
        </is>
      </c>
      <c r="D343" s="46" t="inlineStr">
        <is>
          <t>₹ 0</t>
        </is>
      </c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</row>
    <row r="344" ht="16.5" customHeight="1" s="85">
      <c r="A344" s="46" t="inlineStr">
        <is>
          <t>Saloni</t>
        </is>
      </c>
      <c r="B344" s="46" t="n">
        <v>7985409327</v>
      </c>
      <c r="C344" s="46" t="inlineStr">
        <is>
          <t>Customer</t>
        </is>
      </c>
      <c r="D344" s="46" t="inlineStr">
        <is>
          <t>₹ 0</t>
        </is>
      </c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</row>
    <row r="345" ht="16.5" customHeight="1" s="85">
      <c r="A345" s="46" t="inlineStr">
        <is>
          <t>Tania John</t>
        </is>
      </c>
      <c r="B345" s="46" t="n">
        <v>7985411836</v>
      </c>
      <c r="C345" s="46" t="inlineStr">
        <is>
          <t>Customer</t>
        </is>
      </c>
      <c r="D345" s="46" t="inlineStr">
        <is>
          <t>₹ 0</t>
        </is>
      </c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</row>
    <row r="346" ht="16.5" customHeight="1" s="85">
      <c r="A346" s="46" t="inlineStr">
        <is>
          <t>William Hizkiel</t>
        </is>
      </c>
      <c r="B346" s="46" t="n">
        <v>7985516466</v>
      </c>
      <c r="C346" s="46" t="inlineStr">
        <is>
          <t>Customer</t>
        </is>
      </c>
      <c r="D346" s="46" t="inlineStr">
        <is>
          <t>₹ 0</t>
        </is>
      </c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</row>
    <row r="347" ht="16.5" customHeight="1" s="85">
      <c r="A347" s="46" t="inlineStr">
        <is>
          <t>op Gupta 2019</t>
        </is>
      </c>
      <c r="B347" s="46" t="n">
        <v>7985547415</v>
      </c>
      <c r="C347" s="46" t="inlineStr">
        <is>
          <t>Customer</t>
        </is>
      </c>
      <c r="D347" s="46" t="inlineStr">
        <is>
          <t>₹ 0</t>
        </is>
      </c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</row>
    <row r="348" ht="16.5" customHeight="1" s="85">
      <c r="A348" s="46" t="inlineStr">
        <is>
          <t>Arihant</t>
        </is>
      </c>
      <c r="B348" s="46" t="n">
        <v>7985751547</v>
      </c>
      <c r="C348" s="46" t="inlineStr">
        <is>
          <t>Customer</t>
        </is>
      </c>
      <c r="D348" s="46" t="inlineStr">
        <is>
          <t>₹ 0</t>
        </is>
      </c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</row>
    <row r="349" ht="16.5" customHeight="1" s="85">
      <c r="A349" s="46" t="inlineStr">
        <is>
          <t>Aarti</t>
        </is>
      </c>
      <c r="B349" s="46" t="n">
        <v>7985871043</v>
      </c>
      <c r="C349" s="46" t="inlineStr">
        <is>
          <t>Customer</t>
        </is>
      </c>
      <c r="D349" s="46" t="inlineStr">
        <is>
          <t>₹ 0</t>
        </is>
      </c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</row>
    <row r="350" ht="16.5" customHeight="1" s="85">
      <c r="A350" s="46" t="inlineStr">
        <is>
          <t>Sarkar</t>
        </is>
      </c>
      <c r="B350" s="46" t="n">
        <v>7985963138</v>
      </c>
      <c r="C350" s="46" t="inlineStr">
        <is>
          <t>Customer</t>
        </is>
      </c>
      <c r="D350" s="46" t="inlineStr">
        <is>
          <t>₹ 0</t>
        </is>
      </c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</row>
    <row r="351" ht="16.5" customHeight="1" s="85">
      <c r="A351" s="46" t="inlineStr">
        <is>
          <t>Barthalom</t>
        </is>
      </c>
      <c r="B351" s="46" t="n">
        <v>7989298973</v>
      </c>
      <c r="C351" s="46" t="inlineStr">
        <is>
          <t>Customer</t>
        </is>
      </c>
      <c r="D351" s="46" t="inlineStr">
        <is>
          <t>₹ 0</t>
        </is>
      </c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</row>
    <row r="352" ht="16.5" customHeight="1" s="85">
      <c r="A352" s="46" t="inlineStr">
        <is>
          <t>St.Joseph</t>
        </is>
      </c>
      <c r="B352" s="46" t="n">
        <v>7991355517</v>
      </c>
      <c r="C352" s="46" t="inlineStr">
        <is>
          <t>Customer</t>
        </is>
      </c>
      <c r="D352" s="46" t="inlineStr">
        <is>
          <t>₹ 0</t>
        </is>
      </c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</row>
    <row r="353" ht="16.5" customHeight="1" s="85">
      <c r="A353" s="46" t="inlineStr">
        <is>
          <t>Anish</t>
        </is>
      </c>
      <c r="B353" s="46" t="n">
        <v>7991597579</v>
      </c>
      <c r="C353" s="46" t="inlineStr">
        <is>
          <t>Customer</t>
        </is>
      </c>
      <c r="D353" s="46" t="inlineStr">
        <is>
          <t>₹ 0</t>
        </is>
      </c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</row>
    <row r="354" ht="16.5" customHeight="1" s="85">
      <c r="A354" s="46" t="inlineStr">
        <is>
          <t>Deendayal</t>
        </is>
      </c>
      <c r="B354" s="46" t="n">
        <v>7991671228</v>
      </c>
      <c r="C354" s="46" t="inlineStr">
        <is>
          <t>Customer</t>
        </is>
      </c>
      <c r="D354" s="46" t="inlineStr">
        <is>
          <t>₹ 0</t>
        </is>
      </c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</row>
    <row r="355" ht="16.5" customHeight="1" s="85">
      <c r="A355" s="46" t="inlineStr">
        <is>
          <t>Sister Anita</t>
        </is>
      </c>
      <c r="B355" s="46" t="n">
        <v>7991690559</v>
      </c>
      <c r="C355" s="46" t="inlineStr">
        <is>
          <t>Customer</t>
        </is>
      </c>
      <c r="D355" s="46" t="inlineStr">
        <is>
          <t>₹ 0</t>
        </is>
      </c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</row>
    <row r="356" ht="16.5" customHeight="1" s="85">
      <c r="A356" s="46" t="inlineStr">
        <is>
          <t>Sis Prema</t>
        </is>
      </c>
      <c r="B356" s="46" t="n">
        <v>7991917357</v>
      </c>
      <c r="C356" s="46" t="inlineStr">
        <is>
          <t>Customer</t>
        </is>
      </c>
      <c r="D356" s="46" t="inlineStr">
        <is>
          <t>₹ 0</t>
        </is>
      </c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</row>
    <row r="357" ht="16.5" customHeight="1" s="85">
      <c r="A357" s="46" t="inlineStr">
        <is>
          <t>Amreesh -1</t>
        </is>
      </c>
      <c r="B357" s="46" t="n">
        <v>7992098856</v>
      </c>
      <c r="C357" s="46" t="inlineStr">
        <is>
          <t>Customer</t>
        </is>
      </c>
      <c r="D357" s="46" t="inlineStr">
        <is>
          <t>₹ 0</t>
        </is>
      </c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</row>
    <row r="358" ht="16.5" customHeight="1" s="85">
      <c r="A358" s="46" t="inlineStr">
        <is>
          <t>St.Annes Convent</t>
        </is>
      </c>
      <c r="B358" s="46" t="n">
        <v>7992121167</v>
      </c>
      <c r="C358" s="46" t="inlineStr">
        <is>
          <t>Customer</t>
        </is>
      </c>
      <c r="D358" s="46" t="inlineStr">
        <is>
          <t>₹ 0</t>
        </is>
      </c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</row>
    <row r="359" ht="16.5" customHeight="1" s="85">
      <c r="A359" s="46" t="inlineStr">
        <is>
          <t>Sareniya</t>
        </is>
      </c>
      <c r="B359" s="46" t="n">
        <v>7993292962</v>
      </c>
      <c r="C359" s="46" t="inlineStr">
        <is>
          <t>Customer</t>
        </is>
      </c>
      <c r="D359" s="46" t="inlineStr">
        <is>
          <t>₹ 0</t>
        </is>
      </c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</row>
    <row r="360" ht="16.5" customHeight="1" s="85">
      <c r="A360" s="46" t="inlineStr">
        <is>
          <t>Yesuraj</t>
        </is>
      </c>
      <c r="B360" s="46" t="n">
        <v>7999894214</v>
      </c>
      <c r="C360" s="46" t="inlineStr">
        <is>
          <t>Customer</t>
        </is>
      </c>
      <c r="D360" s="46" t="inlineStr">
        <is>
          <t>₹ 0</t>
        </is>
      </c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</row>
    <row r="361" ht="16.5" customHeight="1" s="85">
      <c r="A361" s="46" t="inlineStr">
        <is>
          <t>Kishore Reddy</t>
        </is>
      </c>
      <c r="B361" s="46" t="n">
        <v>8002007643</v>
      </c>
      <c r="C361" s="46" t="inlineStr">
        <is>
          <t>Customer</t>
        </is>
      </c>
      <c r="D361" s="46" t="inlineStr">
        <is>
          <t>₹ 0</t>
        </is>
      </c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</row>
    <row r="362" ht="16.5" customHeight="1" s="85">
      <c r="A362" s="46" t="inlineStr">
        <is>
          <t>Nirbhay</t>
        </is>
      </c>
      <c r="B362" s="46" t="n">
        <v>8004099000</v>
      </c>
      <c r="C362" s="46" t="inlineStr">
        <is>
          <t>Customer</t>
        </is>
      </c>
      <c r="D362" s="46" t="inlineStr">
        <is>
          <t>₹ 0</t>
        </is>
      </c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</row>
    <row r="363" ht="16.5" customHeight="1" s="85">
      <c r="A363" s="46" t="inlineStr">
        <is>
          <t>Navneet</t>
        </is>
      </c>
      <c r="B363" s="46" t="n">
        <v>8004333133</v>
      </c>
      <c r="C363" s="46" t="inlineStr">
        <is>
          <t>Customer</t>
        </is>
      </c>
      <c r="D363" s="46" t="inlineStr">
        <is>
          <t>₹ 0</t>
        </is>
      </c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</row>
    <row r="364" ht="16.5" customHeight="1" s="85">
      <c r="A364" s="46" t="inlineStr">
        <is>
          <t>Pradeep</t>
        </is>
      </c>
      <c r="B364" s="46" t="n">
        <v>8004758166</v>
      </c>
      <c r="C364" s="46" t="inlineStr">
        <is>
          <t>Customer</t>
        </is>
      </c>
      <c r="D364" s="46" t="inlineStr">
        <is>
          <t>₹ 0</t>
        </is>
      </c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</row>
    <row r="365" ht="16.5" customHeight="1" s="85">
      <c r="A365" s="46" t="inlineStr">
        <is>
          <t>father George</t>
        </is>
      </c>
      <c r="B365" s="46" t="n">
        <v>8005077468</v>
      </c>
      <c r="C365" s="46" t="inlineStr">
        <is>
          <t>Customer</t>
        </is>
      </c>
      <c r="D365" s="46" t="inlineStr">
        <is>
          <t>₹ 0</t>
        </is>
      </c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</row>
    <row r="366" ht="16.5" customHeight="1" s="85">
      <c r="A366" s="46" t="inlineStr">
        <is>
          <t>Binu</t>
        </is>
      </c>
      <c r="B366" s="46" t="n">
        <v>8005105171</v>
      </c>
      <c r="C366" s="46" t="inlineStr">
        <is>
          <t>Customer</t>
        </is>
      </c>
      <c r="D366" s="46" t="inlineStr">
        <is>
          <t>₹ 0</t>
        </is>
      </c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</row>
    <row r="367" ht="16.5" customHeight="1" s="85">
      <c r="A367" s="46" t="inlineStr">
        <is>
          <t>Smi Gorakhpur</t>
        </is>
      </c>
      <c r="B367" s="46" t="n">
        <v>8005200217</v>
      </c>
      <c r="C367" s="46" t="inlineStr">
        <is>
          <t>Customer</t>
        </is>
      </c>
      <c r="D367" s="46" t="inlineStr">
        <is>
          <t>₹ 0</t>
        </is>
      </c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</row>
    <row r="368" ht="16.5" customHeight="1" s="85">
      <c r="A368" s="46" t="inlineStr">
        <is>
          <t>Cash Sale</t>
        </is>
      </c>
      <c r="B368" s="46" t="n">
        <v>8005455291</v>
      </c>
      <c r="C368" s="46" t="inlineStr">
        <is>
          <t>Customer</t>
        </is>
      </c>
      <c r="D368" s="46" t="inlineStr">
        <is>
          <t>₹ 0</t>
        </is>
      </c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</row>
    <row r="369" ht="16.5" customHeight="1" s="85">
      <c r="A369" s="46" t="inlineStr">
        <is>
          <t>Bijumon Salempur</t>
        </is>
      </c>
      <c r="B369" s="46" t="n">
        <v>8005911825</v>
      </c>
      <c r="C369" s="46" t="inlineStr">
        <is>
          <t>Customer</t>
        </is>
      </c>
      <c r="D369" s="46" t="inlineStr">
        <is>
          <t>₹ 0</t>
        </is>
      </c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</row>
    <row r="370" ht="16.5" customHeight="1" s="85">
      <c r="A370" s="46" t="inlineStr">
        <is>
          <t>Anish Malayali meeran</t>
        </is>
      </c>
      <c r="B370" s="46" t="n">
        <v>8009220031</v>
      </c>
      <c r="C370" s="46" t="inlineStr">
        <is>
          <t>Customer</t>
        </is>
      </c>
      <c r="D370" s="46" t="inlineStr">
        <is>
          <t>₹ 0</t>
        </is>
      </c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</row>
    <row r="371" ht="16.5" customHeight="1" s="85">
      <c r="A371" s="46" t="inlineStr">
        <is>
          <t>Meera Union Church Gkp</t>
        </is>
      </c>
      <c r="B371" s="46" t="n">
        <v>8009276612</v>
      </c>
      <c r="C371" s="46" t="inlineStr">
        <is>
          <t>Customer</t>
        </is>
      </c>
      <c r="D371" s="46" t="inlineStr">
        <is>
          <t>₹ 0</t>
        </is>
      </c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</row>
    <row r="372" ht="16.5" customHeight="1" s="85">
      <c r="A372" s="46" t="inlineStr">
        <is>
          <t>Amit Tripathi</t>
        </is>
      </c>
      <c r="B372" s="46" t="n">
        <v>8009836952</v>
      </c>
      <c r="C372" s="46" t="inlineStr">
        <is>
          <t>Customer</t>
        </is>
      </c>
      <c r="D372" s="46" t="inlineStr">
        <is>
          <t>₹ 0</t>
        </is>
      </c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</row>
    <row r="373" ht="16.5" customHeight="1" s="85">
      <c r="A373" s="46" t="inlineStr">
        <is>
          <t>Kailas Masih</t>
        </is>
      </c>
      <c r="B373" s="46" t="n">
        <v>8009973503</v>
      </c>
      <c r="C373" s="46" t="inlineStr">
        <is>
          <t>Customer</t>
        </is>
      </c>
      <c r="D373" s="46" t="inlineStr">
        <is>
          <t>₹ 0</t>
        </is>
      </c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</row>
    <row r="374" ht="16.5" customHeight="1" s="85">
      <c r="A374" s="46" t="inlineStr">
        <is>
          <t>Sr Arpana</t>
        </is>
      </c>
      <c r="B374" s="46" t="n">
        <v>8010815732</v>
      </c>
      <c r="C374" s="46" t="inlineStr">
        <is>
          <t>Customer</t>
        </is>
      </c>
      <c r="D374" s="46" t="inlineStr">
        <is>
          <t>₹ 0</t>
        </is>
      </c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</row>
    <row r="375" ht="16.5" customHeight="1" s="85">
      <c r="A375" s="46" t="inlineStr">
        <is>
          <t>ICT SUKHVINDER ICT 2021</t>
        </is>
      </c>
      <c r="B375" s="46" t="n">
        <v>8052516979</v>
      </c>
      <c r="C375" s="46" t="inlineStr">
        <is>
          <t>Customer</t>
        </is>
      </c>
      <c r="D375" s="46" t="inlineStr">
        <is>
          <t>₹ 0</t>
        </is>
      </c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</row>
    <row r="376" ht="16.5" customHeight="1" s="85">
      <c r="A376" s="46" t="inlineStr">
        <is>
          <t>Deepak kumar mhrjgnj ICT 2021</t>
        </is>
      </c>
      <c r="B376" s="46" t="n">
        <v>8054232161</v>
      </c>
      <c r="C376" s="46" t="inlineStr">
        <is>
          <t>Customer</t>
        </is>
      </c>
      <c r="D376" s="46" t="inlineStr">
        <is>
          <t>₹ 0</t>
        </is>
      </c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</row>
    <row r="377" ht="16.5" customHeight="1" s="85">
      <c r="A377" s="46" t="inlineStr">
        <is>
          <t>Mayank</t>
        </is>
      </c>
      <c r="B377" s="46" t="n">
        <v>8073851259</v>
      </c>
      <c r="C377" s="46" t="inlineStr">
        <is>
          <t>Customer</t>
        </is>
      </c>
      <c r="D377" s="46" t="inlineStr">
        <is>
          <t>₹ 0</t>
        </is>
      </c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</row>
    <row r="378" ht="16.5" customHeight="1" s="85">
      <c r="A378" s="46" t="inlineStr">
        <is>
          <t>George</t>
        </is>
      </c>
      <c r="B378" s="46" t="n">
        <v>8075495602</v>
      </c>
      <c r="C378" s="46" t="inlineStr">
        <is>
          <t>Customer</t>
        </is>
      </c>
      <c r="D378" s="46" t="inlineStr">
        <is>
          <t>₹ 0</t>
        </is>
      </c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</row>
    <row r="379" ht="16.5" customHeight="1" s="85">
      <c r="A379" s="46" t="inlineStr">
        <is>
          <t>George Padrauna</t>
        </is>
      </c>
      <c r="B379" s="46" t="n">
        <v>8075498602</v>
      </c>
      <c r="C379" s="46" t="inlineStr">
        <is>
          <t>Customer</t>
        </is>
      </c>
      <c r="D379" s="46" t="inlineStr">
        <is>
          <t>₹ 0</t>
        </is>
      </c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</row>
    <row r="380" ht="16.5" customHeight="1" s="85">
      <c r="A380" s="46" t="inlineStr">
        <is>
          <t>Sisters Of Mercy Immaculate Kaptanganj</t>
        </is>
      </c>
      <c r="B380" s="46" t="n">
        <v>8076716771</v>
      </c>
      <c r="C380" s="46" t="inlineStr">
        <is>
          <t>Customer</t>
        </is>
      </c>
      <c r="D380" s="46" t="inlineStr">
        <is>
          <t>₹ 0</t>
        </is>
      </c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</row>
    <row r="381" ht="16.5" customHeight="1" s="85">
      <c r="A381" s="46" t="inlineStr">
        <is>
          <t>Asif</t>
        </is>
      </c>
      <c r="B381" s="46" t="n">
        <v>8077655531</v>
      </c>
      <c r="C381" s="46" t="inlineStr">
        <is>
          <t>Customer</t>
        </is>
      </c>
      <c r="D381" s="46" t="inlineStr">
        <is>
          <t>₹ 0</t>
        </is>
      </c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</row>
    <row r="382" ht="16.5" customHeight="1" s="85">
      <c r="A382" s="46" t="inlineStr">
        <is>
          <t>Sabu Holy cross School</t>
        </is>
      </c>
      <c r="B382" s="46" t="n">
        <v>8078071285</v>
      </c>
      <c r="C382" s="46" t="inlineStr">
        <is>
          <t>Customer</t>
        </is>
      </c>
      <c r="D382" s="46" t="inlineStr">
        <is>
          <t>₹ 0</t>
        </is>
      </c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</row>
    <row r="383" ht="16.5" customHeight="1" s="85">
      <c r="A383" s="46" t="inlineStr">
        <is>
          <t>Amal</t>
        </is>
      </c>
      <c r="B383" s="46" t="n">
        <v>8081474978</v>
      </c>
      <c r="C383" s="46" t="inlineStr">
        <is>
          <t>Customer</t>
        </is>
      </c>
      <c r="D383" s="46" t="inlineStr">
        <is>
          <t>₹ 0</t>
        </is>
      </c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</row>
    <row r="384" ht="16.5" customHeight="1" s="85">
      <c r="A384" s="46" t="inlineStr">
        <is>
          <t>Amit Yadav</t>
        </is>
      </c>
      <c r="B384" s="46" t="n">
        <v>8081492314</v>
      </c>
      <c r="C384" s="46" t="inlineStr">
        <is>
          <t>Customer</t>
        </is>
      </c>
      <c r="D384" s="46" t="inlineStr">
        <is>
          <t>₹ 0</t>
        </is>
      </c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</row>
    <row r="385" ht="16.5" customHeight="1" s="85">
      <c r="A385" s="46" t="inlineStr">
        <is>
          <t>Krishna</t>
        </is>
      </c>
      <c r="B385" s="46" t="n">
        <v>8081503278</v>
      </c>
      <c r="C385" s="46" t="inlineStr">
        <is>
          <t>Customer</t>
        </is>
      </c>
      <c r="D385" s="46" t="inlineStr">
        <is>
          <t>₹ 0</t>
        </is>
      </c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</row>
    <row r="386" ht="16.5" customHeight="1" s="85">
      <c r="A386" s="46" t="inlineStr">
        <is>
          <t>Pinko</t>
        </is>
      </c>
      <c r="B386" s="46" t="n">
        <v>8081612421</v>
      </c>
      <c r="C386" s="46" t="inlineStr">
        <is>
          <t>Customer</t>
        </is>
      </c>
      <c r="D386" s="46" t="inlineStr">
        <is>
          <t>₹ 0</t>
        </is>
      </c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</row>
    <row r="387" ht="16.5" customHeight="1" s="85">
      <c r="A387" s="46" t="inlineStr">
        <is>
          <t>Sister Ancy</t>
        </is>
      </c>
      <c r="B387" s="46" t="n">
        <v>8081752261</v>
      </c>
      <c r="C387" s="46" t="inlineStr">
        <is>
          <t>Customer</t>
        </is>
      </c>
      <c r="D387" s="46" t="inlineStr">
        <is>
          <t>₹ 0</t>
        </is>
      </c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</row>
    <row r="388" ht="16.5" customHeight="1" s="85">
      <c r="A388" s="46" t="inlineStr">
        <is>
          <t>LST Convent</t>
        </is>
      </c>
      <c r="B388" s="46" t="n">
        <v>8081752262</v>
      </c>
      <c r="C388" s="46" t="inlineStr">
        <is>
          <t>Customer</t>
        </is>
      </c>
      <c r="D388" s="46" t="inlineStr">
        <is>
          <t>₹ 0</t>
        </is>
      </c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</row>
    <row r="389" ht="16.5" customHeight="1" s="85">
      <c r="A389" s="46" t="inlineStr">
        <is>
          <t>Aditi</t>
        </is>
      </c>
      <c r="B389" s="46" t="n">
        <v>8081775835</v>
      </c>
      <c r="C389" s="46" t="inlineStr">
        <is>
          <t>Customer</t>
        </is>
      </c>
      <c r="D389" s="46" t="inlineStr">
        <is>
          <t>₹ 0</t>
        </is>
      </c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</row>
    <row r="390" ht="16.5" customHeight="1" s="85">
      <c r="A390" s="46" t="inlineStr">
        <is>
          <t>Arya Satish Basti</t>
        </is>
      </c>
      <c r="B390" s="46" t="n">
        <v>8081801212</v>
      </c>
      <c r="C390" s="46" t="inlineStr">
        <is>
          <t>Customer</t>
        </is>
      </c>
      <c r="D390" s="46" t="inlineStr">
        <is>
          <t>₹ 0</t>
        </is>
      </c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</row>
    <row r="391" ht="16.5" customHeight="1" s="85">
      <c r="A391" s="46" t="inlineStr">
        <is>
          <t>Ashutosh</t>
        </is>
      </c>
      <c r="B391" s="46" t="n">
        <v>8081928456</v>
      </c>
      <c r="C391" s="46" t="inlineStr">
        <is>
          <t>Customer</t>
        </is>
      </c>
      <c r="D391" s="46" t="inlineStr">
        <is>
          <t>₹ 0</t>
        </is>
      </c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</row>
    <row r="392" ht="16.5" customHeight="1" s="85">
      <c r="A392" s="46" t="inlineStr">
        <is>
          <t>Jeny</t>
        </is>
      </c>
      <c r="B392" s="46" t="n">
        <v>8086180616</v>
      </c>
      <c r="C392" s="46" t="inlineStr">
        <is>
          <t>Customer</t>
        </is>
      </c>
      <c r="D392" s="46" t="inlineStr">
        <is>
          <t>₹ 0</t>
        </is>
      </c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</row>
    <row r="393" ht="16.5" customHeight="1" s="85">
      <c r="A393" s="46" t="inlineStr">
        <is>
          <t>Jibin</t>
        </is>
      </c>
      <c r="B393" s="46" t="n">
        <v>8086896853</v>
      </c>
      <c r="C393" s="46" t="inlineStr">
        <is>
          <t>Customer</t>
        </is>
      </c>
      <c r="D393" s="46" t="inlineStr">
        <is>
          <t>₹ 0</t>
        </is>
      </c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</row>
    <row r="394" ht="16.5" customHeight="1" s="85">
      <c r="A394" s="46" t="inlineStr">
        <is>
          <t>Prakash</t>
        </is>
      </c>
      <c r="B394" s="46" t="n">
        <v>8086924660</v>
      </c>
      <c r="C394" s="46" t="inlineStr">
        <is>
          <t>Customer</t>
        </is>
      </c>
      <c r="D394" s="46" t="inlineStr">
        <is>
          <t>₹ 0</t>
        </is>
      </c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</row>
    <row r="395" ht="16.5" customHeight="1" s="85">
      <c r="A395" s="46" t="inlineStr">
        <is>
          <t>Nishi</t>
        </is>
      </c>
      <c r="B395" s="46" t="n">
        <v>8089380677</v>
      </c>
      <c r="C395" s="46" t="inlineStr">
        <is>
          <t>Customer</t>
        </is>
      </c>
      <c r="D395" s="46" t="inlineStr">
        <is>
          <t>₹ 0</t>
        </is>
      </c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</row>
    <row r="396" ht="16.5" customHeight="1" s="85">
      <c r="A396" s="46" t="inlineStr">
        <is>
          <t>Abhisho</t>
        </is>
      </c>
      <c r="B396" s="46" t="n">
        <v>8089389214</v>
      </c>
      <c r="C396" s="46" t="inlineStr">
        <is>
          <t>Customer</t>
        </is>
      </c>
      <c r="D396" s="46" t="inlineStr">
        <is>
          <t>₹ 0</t>
        </is>
      </c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</row>
    <row r="397" ht="16.5" customHeight="1" s="85">
      <c r="A397" s="46" t="inlineStr">
        <is>
          <t>Mohammad Dilshad</t>
        </is>
      </c>
      <c r="B397" s="46" t="n">
        <v>8089531869</v>
      </c>
      <c r="C397" s="46" t="inlineStr">
        <is>
          <t>Customer</t>
        </is>
      </c>
      <c r="D397" s="46" t="inlineStr">
        <is>
          <t>₹ 0</t>
        </is>
      </c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</row>
    <row r="398" ht="16.5" customHeight="1" s="85">
      <c r="A398" s="46" t="inlineStr">
        <is>
          <t>Dimal</t>
        </is>
      </c>
      <c r="B398" s="46" t="n">
        <v>8089719281</v>
      </c>
      <c r="C398" s="46" t="inlineStr">
        <is>
          <t>Customer</t>
        </is>
      </c>
      <c r="D398" s="46" t="inlineStr">
        <is>
          <t>₹ 0</t>
        </is>
      </c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</row>
    <row r="399" ht="16.5" customHeight="1" s="85">
      <c r="A399" s="46" t="inlineStr">
        <is>
          <t>Sanju</t>
        </is>
      </c>
      <c r="B399" s="46" t="n">
        <v>8089843678</v>
      </c>
      <c r="C399" s="46" t="inlineStr">
        <is>
          <t>Customer</t>
        </is>
      </c>
      <c r="D399" s="46" t="inlineStr">
        <is>
          <t>₹ 0</t>
        </is>
      </c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</row>
    <row r="400" ht="16.5" customHeight="1" s="85">
      <c r="A400" s="46" t="inlineStr">
        <is>
          <t>Ranjeet</t>
        </is>
      </c>
      <c r="B400" s="46" t="n">
        <v>8089876241</v>
      </c>
      <c r="C400" s="46" t="inlineStr">
        <is>
          <t>Customer</t>
        </is>
      </c>
      <c r="D400" s="46" t="inlineStr">
        <is>
          <t>₹ 0</t>
        </is>
      </c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</row>
    <row r="401" ht="16.5" customHeight="1" s="85">
      <c r="A401" s="46" t="inlineStr">
        <is>
          <t>Arya</t>
        </is>
      </c>
      <c r="B401" s="46" t="n">
        <v>8089888051</v>
      </c>
      <c r="C401" s="46" t="inlineStr">
        <is>
          <t>Customer</t>
        </is>
      </c>
      <c r="D401" s="46" t="inlineStr">
        <is>
          <t>₹ 0</t>
        </is>
      </c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</row>
    <row r="402" ht="16.5" customHeight="1" s="85">
      <c r="A402" s="46" t="inlineStr">
        <is>
          <t>Fiyas Medical College Malayali</t>
        </is>
      </c>
      <c r="B402" s="46" t="n">
        <v>8089999846</v>
      </c>
      <c r="C402" s="46" t="inlineStr">
        <is>
          <t>Customer</t>
        </is>
      </c>
      <c r="D402" s="46" t="inlineStr">
        <is>
          <t>₹ 0</t>
        </is>
      </c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</row>
    <row r="403" ht="16.5" customHeight="1" s="85">
      <c r="A403" s="46" t="inlineStr">
        <is>
          <t>Sister Sneha</t>
        </is>
      </c>
      <c r="B403" s="46" t="n">
        <v>8090063474</v>
      </c>
      <c r="C403" s="46" t="inlineStr">
        <is>
          <t>Customer</t>
        </is>
      </c>
      <c r="D403" s="46" t="inlineStr">
        <is>
          <t>₹ 0</t>
        </is>
      </c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</row>
    <row r="404" ht="16.5" customHeight="1" s="85">
      <c r="A404" s="46" t="inlineStr">
        <is>
          <t>Jinumon Joseph</t>
        </is>
      </c>
      <c r="B404" s="46" t="n">
        <v>8090203680</v>
      </c>
      <c r="C404" s="46" t="inlineStr">
        <is>
          <t>Customer</t>
        </is>
      </c>
      <c r="D404" s="46" t="inlineStr">
        <is>
          <t>₹ 0</t>
        </is>
      </c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</row>
    <row r="405" ht="16.5" customHeight="1" s="85">
      <c r="A405" s="46" t="inlineStr">
        <is>
          <t>Pankaj Peter</t>
        </is>
      </c>
      <c r="B405" s="46" t="n">
        <v>8102951778</v>
      </c>
      <c r="C405" s="46" t="inlineStr">
        <is>
          <t>Customer</t>
        </is>
      </c>
      <c r="D405" s="46" t="inlineStr">
        <is>
          <t>₹ 0</t>
        </is>
      </c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</row>
    <row r="406" ht="16.5" customHeight="1" s="85">
      <c r="A406" s="46" t="inlineStr">
        <is>
          <t>Hasan</t>
        </is>
      </c>
      <c r="B406" s="46" t="n">
        <v>8105180916</v>
      </c>
      <c r="C406" s="46" t="inlineStr">
        <is>
          <t>Customer</t>
        </is>
      </c>
      <c r="D406" s="46" t="inlineStr">
        <is>
          <t>₹ 0</t>
        </is>
      </c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</row>
    <row r="407" ht="16.5" customHeight="1" s="85">
      <c r="A407" s="46" t="inlineStr">
        <is>
          <t>Akash</t>
        </is>
      </c>
      <c r="B407" s="46" t="n">
        <v>8111951567</v>
      </c>
      <c r="C407" s="46" t="inlineStr">
        <is>
          <t>Customer</t>
        </is>
      </c>
      <c r="D407" s="46" t="inlineStr">
        <is>
          <t>₹ 0</t>
        </is>
      </c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</row>
    <row r="408" ht="16.5" customHeight="1" s="85">
      <c r="A408" s="46" t="inlineStr">
        <is>
          <t>Father Lona</t>
        </is>
      </c>
      <c r="B408" s="46" t="n">
        <v>8113964816</v>
      </c>
      <c r="C408" s="46" t="inlineStr">
        <is>
          <t>Customer</t>
        </is>
      </c>
      <c r="D408" s="46" t="inlineStr">
        <is>
          <t>₹ 0</t>
        </is>
      </c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</row>
    <row r="409" ht="16.5" customHeight="1" s="85">
      <c r="A409" s="46" t="inlineStr">
        <is>
          <t>Rev.D.K.</t>
        </is>
      </c>
      <c r="B409" s="46" t="n">
        <v>8115071133</v>
      </c>
      <c r="C409" s="46" t="inlineStr">
        <is>
          <t>Customer</t>
        </is>
      </c>
      <c r="D409" s="46" t="inlineStr">
        <is>
          <t>₹ 0</t>
        </is>
      </c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</row>
    <row r="410" ht="16.5" customHeight="1" s="85">
      <c r="A410" s="46" t="inlineStr">
        <is>
          <t>Abhishek St Andrews</t>
        </is>
      </c>
      <c r="B410" s="46" t="n">
        <v>8115209425</v>
      </c>
      <c r="C410" s="46" t="inlineStr">
        <is>
          <t>Customer</t>
        </is>
      </c>
      <c r="D410" s="46" t="inlineStr">
        <is>
          <t>₹ 0</t>
        </is>
      </c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</row>
    <row r="411" ht="16.5" customHeight="1" s="85">
      <c r="A411" s="46" t="inlineStr">
        <is>
          <t>Rafeek</t>
        </is>
      </c>
      <c r="B411" s="46" t="n">
        <v>8115240224</v>
      </c>
      <c r="C411" s="46" t="inlineStr">
        <is>
          <t>Customer</t>
        </is>
      </c>
      <c r="D411" s="46" t="inlineStr">
        <is>
          <t>₹ 0</t>
        </is>
      </c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</row>
    <row r="412" ht="16.5" customHeight="1" s="85">
      <c r="A412" s="46" t="inlineStr">
        <is>
          <t>Rafi</t>
        </is>
      </c>
      <c r="B412" s="46" t="n">
        <v>8115249224</v>
      </c>
      <c r="C412" s="46" t="inlineStr">
        <is>
          <t>Customer</t>
        </is>
      </c>
      <c r="D412" s="46" t="inlineStr">
        <is>
          <t>₹ 0</t>
        </is>
      </c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</row>
    <row r="413" ht="16.5" customHeight="1" s="85">
      <c r="A413" s="46" t="inlineStr">
        <is>
          <t>Sister Lioni</t>
        </is>
      </c>
      <c r="B413" s="46" t="n">
        <v>8122154352</v>
      </c>
      <c r="C413" s="46" t="inlineStr">
        <is>
          <t>Customer</t>
        </is>
      </c>
      <c r="D413" s="46" t="inlineStr">
        <is>
          <t>₹ 0</t>
        </is>
      </c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</row>
    <row r="414" ht="16.5" customHeight="1" s="85">
      <c r="A414" s="46" t="inlineStr">
        <is>
          <t>Bharat</t>
        </is>
      </c>
      <c r="B414" s="46" t="n">
        <v>8126384378</v>
      </c>
      <c r="C414" s="46" t="inlineStr">
        <is>
          <t>Customer</t>
        </is>
      </c>
      <c r="D414" s="46" t="inlineStr">
        <is>
          <t>₹ 0</t>
        </is>
      </c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</row>
    <row r="415" ht="16.5" customHeight="1" s="85">
      <c r="A415" s="46" t="inlineStr">
        <is>
          <t>Missionaries Of Charity Moti Nagar</t>
        </is>
      </c>
      <c r="B415" s="46" t="n">
        <v>8126629717</v>
      </c>
      <c r="C415" s="46" t="inlineStr">
        <is>
          <t>Customer</t>
        </is>
      </c>
      <c r="D415" s="46" t="inlineStr">
        <is>
          <t>₹ 0</t>
        </is>
      </c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</row>
    <row r="416" ht="16.5" customHeight="1" s="85">
      <c r="A416" s="46" t="inlineStr">
        <is>
          <t>Pr rajkumar</t>
        </is>
      </c>
      <c r="B416" s="46" t="n">
        <v>8127108756</v>
      </c>
      <c r="C416" s="46" t="inlineStr">
        <is>
          <t>Customer</t>
        </is>
      </c>
      <c r="D416" s="46" t="inlineStr">
        <is>
          <t>₹ 0</t>
        </is>
      </c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</row>
    <row r="417" ht="16.5" customHeight="1" s="85">
      <c r="A417" s="46" t="inlineStr">
        <is>
          <t>Satyam Sundar</t>
        </is>
      </c>
      <c r="B417" s="46" t="n">
        <v>8127276070</v>
      </c>
      <c r="C417" s="46" t="inlineStr">
        <is>
          <t>Customer</t>
        </is>
      </c>
      <c r="D417" s="46" t="inlineStr">
        <is>
          <t>₹ 0</t>
        </is>
      </c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</row>
    <row r="418" ht="16.5" customHeight="1" s="85">
      <c r="A418" s="46" t="inlineStr">
        <is>
          <t>St Thomas School, Khajo</t>
        </is>
      </c>
      <c r="B418" s="46" t="n">
        <v>8127277847</v>
      </c>
      <c r="C418" s="46" t="inlineStr">
        <is>
          <t>Customer</t>
        </is>
      </c>
      <c r="D418" s="46" t="inlineStr">
        <is>
          <t>₹ 0</t>
        </is>
      </c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</row>
    <row r="419" ht="16.5" customHeight="1" s="85">
      <c r="A419" s="46" t="inlineStr">
        <is>
          <t>Paul Xavier</t>
        </is>
      </c>
      <c r="B419" s="46" t="n">
        <v>8127302634</v>
      </c>
      <c r="C419" s="46" t="inlineStr">
        <is>
          <t>Customer</t>
        </is>
      </c>
      <c r="D419" s="46" t="inlineStr">
        <is>
          <t>₹ 0</t>
        </is>
      </c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</row>
    <row r="420" ht="16.5" customHeight="1" s="85">
      <c r="A420" s="46" t="inlineStr">
        <is>
          <t>Ashutosh</t>
        </is>
      </c>
      <c r="B420" s="46" t="n">
        <v>8127564645</v>
      </c>
      <c r="C420" s="46" t="inlineStr">
        <is>
          <t>Customer</t>
        </is>
      </c>
      <c r="D420" s="46" t="inlineStr">
        <is>
          <t>₹ 0</t>
        </is>
      </c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</row>
    <row r="421" ht="16.5" customHeight="1" s="85">
      <c r="A421" s="46" t="inlineStr">
        <is>
          <t>Jaison</t>
        </is>
      </c>
      <c r="B421" s="46" t="n">
        <v>8127838459</v>
      </c>
      <c r="C421" s="46" t="inlineStr">
        <is>
          <t>Customer</t>
        </is>
      </c>
      <c r="D421" s="46" t="inlineStr">
        <is>
          <t>₹ 0</t>
        </is>
      </c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</row>
    <row r="422" ht="16.5" customHeight="1" s="85">
      <c r="A422" s="46" t="inlineStr">
        <is>
          <t>Radhesyam ICT 2021</t>
        </is>
      </c>
      <c r="B422" s="46" t="n">
        <v>8127888831</v>
      </c>
      <c r="C422" s="46" t="inlineStr">
        <is>
          <t>Customer</t>
        </is>
      </c>
      <c r="D422" s="46" t="inlineStr">
        <is>
          <t>₹ 0</t>
        </is>
      </c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</row>
    <row r="423" ht="16.5" customHeight="1" s="85">
      <c r="A423" s="46" t="inlineStr">
        <is>
          <t>Prem</t>
        </is>
      </c>
      <c r="B423" s="46" t="n">
        <v>8127951080</v>
      </c>
      <c r="C423" s="46" t="inlineStr">
        <is>
          <t>Customer</t>
        </is>
      </c>
      <c r="D423" s="46" t="inlineStr">
        <is>
          <t>₹ 0</t>
        </is>
      </c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</row>
    <row r="424" ht="16.5" customHeight="1" s="85">
      <c r="A424" s="46" t="inlineStr">
        <is>
          <t>Mamta</t>
        </is>
      </c>
      <c r="B424" s="46" t="n">
        <v>8127982077</v>
      </c>
      <c r="C424" s="46" t="inlineStr">
        <is>
          <t>Customer</t>
        </is>
      </c>
      <c r="D424" s="46" t="inlineStr">
        <is>
          <t>₹ 0</t>
        </is>
      </c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</row>
    <row r="425" ht="16.5" customHeight="1" s="85">
      <c r="A425" s="46" t="inlineStr">
        <is>
          <t>Bijoy Kurian</t>
        </is>
      </c>
      <c r="B425" s="46" t="n">
        <v>8129788353</v>
      </c>
      <c r="C425" s="46" t="inlineStr">
        <is>
          <t>Customer</t>
        </is>
      </c>
      <c r="D425" s="46" t="inlineStr">
        <is>
          <t>₹ 0</t>
        </is>
      </c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</row>
    <row r="426" ht="16.5" customHeight="1" s="85">
      <c r="A426" s="46" t="inlineStr">
        <is>
          <t>Saji</t>
        </is>
      </c>
      <c r="B426" s="46" t="n">
        <v>8139067641</v>
      </c>
      <c r="C426" s="46" t="inlineStr">
        <is>
          <t>Customer</t>
        </is>
      </c>
      <c r="D426" s="46" t="inlineStr">
        <is>
          <t>₹ 0</t>
        </is>
      </c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</row>
    <row r="427" ht="16.5" customHeight="1" s="85">
      <c r="A427" s="46" t="inlineStr">
        <is>
          <t>Anita Masih</t>
        </is>
      </c>
      <c r="B427" s="46" t="n">
        <v>8172989992</v>
      </c>
      <c r="C427" s="46" t="inlineStr">
        <is>
          <t>Customer</t>
        </is>
      </c>
      <c r="D427" s="46" t="inlineStr">
        <is>
          <t>₹ 0</t>
        </is>
      </c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</row>
    <row r="428" ht="16.5" customHeight="1" s="85">
      <c r="A428" s="46" t="inlineStr">
        <is>
          <t>Alveena</t>
        </is>
      </c>
      <c r="B428" s="46" t="n">
        <v>8174092739</v>
      </c>
      <c r="C428" s="46" t="inlineStr">
        <is>
          <t>Customer</t>
        </is>
      </c>
      <c r="D428" s="46" t="inlineStr">
        <is>
          <t>₹ 0</t>
        </is>
      </c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</row>
    <row r="429" ht="16.5" customHeight="1" s="85">
      <c r="A429" s="46" t="inlineStr">
        <is>
          <t>Nidhi Lal</t>
        </is>
      </c>
      <c r="B429" s="46" t="n">
        <v>8174808125</v>
      </c>
      <c r="C429" s="46" t="inlineStr">
        <is>
          <t>Customer</t>
        </is>
      </c>
      <c r="D429" s="46" t="inlineStr">
        <is>
          <t>₹ 0</t>
        </is>
      </c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</row>
    <row r="430" ht="16.5" customHeight="1" s="85">
      <c r="A430" s="46" t="inlineStr">
        <is>
          <t>Ellison Lal</t>
        </is>
      </c>
      <c r="B430" s="46" t="n">
        <v>8174988350</v>
      </c>
      <c r="C430" s="46" t="inlineStr">
        <is>
          <t>Customer</t>
        </is>
      </c>
      <c r="D430" s="46" t="inlineStr">
        <is>
          <t>₹ 0</t>
        </is>
      </c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</row>
    <row r="431" ht="16.5" customHeight="1" s="85">
      <c r="A431" s="46" t="inlineStr">
        <is>
          <t>Mahima</t>
        </is>
      </c>
      <c r="B431" s="46" t="n">
        <v>8175008318</v>
      </c>
      <c r="C431" s="46" t="inlineStr">
        <is>
          <t>Customer</t>
        </is>
      </c>
      <c r="D431" s="46" t="inlineStr">
        <is>
          <t>₹ 0</t>
        </is>
      </c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</row>
    <row r="432" ht="16.5" customHeight="1" s="85">
      <c r="A432" s="46" t="inlineStr">
        <is>
          <t>Tintu Jinesh</t>
        </is>
      </c>
      <c r="B432" s="46" t="n">
        <v>8175990875</v>
      </c>
      <c r="C432" s="46" t="inlineStr">
        <is>
          <t>Customer</t>
        </is>
      </c>
      <c r="D432" s="46" t="inlineStr">
        <is>
          <t>₹ 0</t>
        </is>
      </c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</row>
    <row r="433" ht="16.5" customHeight="1" s="85">
      <c r="A433" s="46" t="inlineStr">
        <is>
          <t>Pappu</t>
        </is>
      </c>
      <c r="B433" s="46" t="n">
        <v>8178148843</v>
      </c>
      <c r="C433" s="46" t="inlineStr">
        <is>
          <t>Customer</t>
        </is>
      </c>
      <c r="D433" s="46" t="inlineStr">
        <is>
          <t>₹ 0</t>
        </is>
      </c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</row>
    <row r="434" ht="16.5" customHeight="1" s="85">
      <c r="A434" s="46" t="inlineStr">
        <is>
          <t>Devash Pandey</t>
        </is>
      </c>
      <c r="B434" s="46" t="n">
        <v>8185823464</v>
      </c>
      <c r="C434" s="46" t="inlineStr">
        <is>
          <t>Customer</t>
        </is>
      </c>
      <c r="D434" s="46" t="inlineStr">
        <is>
          <t>₹ 0</t>
        </is>
      </c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</row>
    <row r="435" ht="16.5" customHeight="1" s="85">
      <c r="A435" s="46" t="inlineStr">
        <is>
          <t>Lst Convent</t>
        </is>
      </c>
      <c r="B435" s="46" t="n">
        <v>8188087909</v>
      </c>
      <c r="C435" s="46" t="inlineStr">
        <is>
          <t>Customer</t>
        </is>
      </c>
      <c r="D435" s="46" t="inlineStr">
        <is>
          <t>₹ 0</t>
        </is>
      </c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</row>
    <row r="436" ht="16.5" customHeight="1" s="85">
      <c r="A436" s="46" t="inlineStr">
        <is>
          <t>Arun</t>
        </is>
      </c>
      <c r="B436" s="46" t="n">
        <v>8194009109</v>
      </c>
      <c r="C436" s="46" t="inlineStr">
        <is>
          <t>Customer</t>
        </is>
      </c>
      <c r="D436" s="46" t="inlineStr">
        <is>
          <t>₹ 0</t>
        </is>
      </c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</row>
    <row r="437" ht="16.5" customHeight="1" s="85">
      <c r="A437" s="46" t="inlineStr">
        <is>
          <t>Vivek</t>
        </is>
      </c>
      <c r="B437" s="46" t="n">
        <v>8197314667</v>
      </c>
      <c r="C437" s="46" t="inlineStr">
        <is>
          <t>Customer</t>
        </is>
      </c>
      <c r="D437" s="46" t="inlineStr">
        <is>
          <t>₹ 0</t>
        </is>
      </c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</row>
    <row r="438" ht="16.5" customHeight="1" s="85">
      <c r="A438" s="46" t="inlineStr">
        <is>
          <t>Sneha</t>
        </is>
      </c>
      <c r="B438" s="46" t="n">
        <v>8210023330</v>
      </c>
      <c r="C438" s="46" t="inlineStr">
        <is>
          <t>Customer</t>
        </is>
      </c>
      <c r="D438" s="46" t="inlineStr">
        <is>
          <t>₹ 0</t>
        </is>
      </c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</row>
    <row r="439" ht="16.5" customHeight="1" s="85">
      <c r="A439" s="46" t="inlineStr">
        <is>
          <t>Arun</t>
        </is>
      </c>
      <c r="B439" s="46" t="n">
        <v>8218460180</v>
      </c>
      <c r="C439" s="46" t="inlineStr">
        <is>
          <t>Customer</t>
        </is>
      </c>
      <c r="D439" s="46" t="inlineStr">
        <is>
          <t>₹ 0</t>
        </is>
      </c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</row>
    <row r="440" ht="16.5" customHeight="1" s="85">
      <c r="A440" s="46" t="inlineStr">
        <is>
          <t>Narendra</t>
        </is>
      </c>
      <c r="B440" s="46" t="n">
        <v>8218954956</v>
      </c>
      <c r="C440" s="46" t="inlineStr">
        <is>
          <t>Customer</t>
        </is>
      </c>
      <c r="D440" s="46" t="inlineStr">
        <is>
          <t>₹ 0</t>
        </is>
      </c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</row>
    <row r="441" ht="16.5" customHeight="1" s="85">
      <c r="A441" s="46" t="inlineStr">
        <is>
          <t>Anubhav Gupta</t>
        </is>
      </c>
      <c r="B441" s="46" t="n">
        <v>8240348787</v>
      </c>
      <c r="C441" s="46" t="inlineStr">
        <is>
          <t>Customer</t>
        </is>
      </c>
      <c r="D441" s="46" t="inlineStr">
        <is>
          <t>₹ 0</t>
        </is>
      </c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</row>
    <row r="442" ht="16.5" customHeight="1" s="85">
      <c r="A442" s="46" t="inlineStr">
        <is>
          <t>Ratheesh</t>
        </is>
      </c>
      <c r="B442" s="46" t="n">
        <v>8247673631</v>
      </c>
      <c r="C442" s="46" t="inlineStr">
        <is>
          <t>Customer</t>
        </is>
      </c>
      <c r="D442" s="46" t="inlineStr">
        <is>
          <t>₹ 0</t>
        </is>
      </c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</row>
    <row r="443" ht="16.5" customHeight="1" s="85">
      <c r="A443" s="46" t="inlineStr">
        <is>
          <t>Tessy</t>
        </is>
      </c>
      <c r="B443" s="46" t="n">
        <v>8264745841</v>
      </c>
      <c r="C443" s="46" t="inlineStr">
        <is>
          <t>Customer</t>
        </is>
      </c>
      <c r="D443" s="46" t="inlineStr">
        <is>
          <t>₹ 0</t>
        </is>
      </c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</row>
    <row r="444" ht="16.5" customHeight="1" s="85">
      <c r="A444" s="46" t="inlineStr">
        <is>
          <t>Jobin</t>
        </is>
      </c>
      <c r="B444" s="46" t="n">
        <v>8281448447</v>
      </c>
      <c r="C444" s="46" t="inlineStr">
        <is>
          <t>Customer</t>
        </is>
      </c>
      <c r="D444" s="46" t="inlineStr">
        <is>
          <t>₹ 0</t>
        </is>
      </c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</row>
    <row r="445" ht="16.5" customHeight="1" s="85">
      <c r="A445" s="46" t="inlineStr">
        <is>
          <t>Dr. Dipu</t>
        </is>
      </c>
      <c r="B445" s="46" t="n">
        <v>8281626936</v>
      </c>
      <c r="C445" s="46" t="inlineStr">
        <is>
          <t>Customer</t>
        </is>
      </c>
      <c r="D445" s="46" t="inlineStr">
        <is>
          <t>₹ 0</t>
        </is>
      </c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</row>
    <row r="446" ht="16.5" customHeight="1" s="85">
      <c r="A446" s="46" t="inlineStr">
        <is>
          <t>Shaji C C</t>
        </is>
      </c>
      <c r="B446" s="46" t="n">
        <v>8281961088</v>
      </c>
      <c r="C446" s="46" t="inlineStr">
        <is>
          <t>Customer</t>
        </is>
      </c>
      <c r="D446" s="46" t="inlineStr">
        <is>
          <t>₹ 0</t>
        </is>
      </c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</row>
    <row r="447" ht="16.5" customHeight="1" s="85">
      <c r="A447" s="46" t="inlineStr">
        <is>
          <t>Rashmi</t>
        </is>
      </c>
      <c r="B447" s="46" t="n">
        <v>8289933175</v>
      </c>
      <c r="C447" s="46" t="inlineStr">
        <is>
          <t>Customer</t>
        </is>
      </c>
      <c r="D447" s="46" t="inlineStr">
        <is>
          <t>₹ 0</t>
        </is>
      </c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</row>
    <row r="448" ht="16.5" customHeight="1" s="85">
      <c r="A448" s="46" t="inlineStr">
        <is>
          <t>Christy</t>
        </is>
      </c>
      <c r="B448" s="46" t="n">
        <v>8294677148</v>
      </c>
      <c r="C448" s="46" t="inlineStr">
        <is>
          <t>Customer</t>
        </is>
      </c>
      <c r="D448" s="46" t="inlineStr">
        <is>
          <t>₹ 0</t>
        </is>
      </c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</row>
    <row r="449" ht="16.5" customHeight="1" s="85">
      <c r="A449" s="46" t="inlineStr">
        <is>
          <t>Bholendra Singh</t>
        </is>
      </c>
      <c r="B449" s="46" t="n">
        <v>8295854322</v>
      </c>
      <c r="C449" s="46" t="inlineStr">
        <is>
          <t>Customer</t>
        </is>
      </c>
      <c r="D449" s="46" t="inlineStr">
        <is>
          <t>₹ 0</t>
        </is>
      </c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</row>
    <row r="450" ht="16.5" customHeight="1" s="85">
      <c r="A450" s="46" t="inlineStr">
        <is>
          <t>Harshit</t>
        </is>
      </c>
      <c r="B450" s="46" t="n">
        <v>8299279108</v>
      </c>
      <c r="C450" s="46" t="inlineStr">
        <is>
          <t>Customer</t>
        </is>
      </c>
      <c r="D450" s="46" t="inlineStr">
        <is>
          <t>₹ 0</t>
        </is>
      </c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</row>
    <row r="451" ht="16.5" customHeight="1" s="85">
      <c r="A451" s="46" t="inlineStr">
        <is>
          <t>FAMILY SUPER MARKET</t>
        </is>
      </c>
      <c r="B451" s="46" t="n">
        <v>8299361145</v>
      </c>
      <c r="C451" s="46" t="inlineStr">
        <is>
          <t>Supplier</t>
        </is>
      </c>
      <c r="D451" s="46" t="inlineStr">
        <is>
          <t>₹ 0</t>
        </is>
      </c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</row>
    <row r="452" ht="16.5" customHeight="1" s="85">
      <c r="A452" s="46" t="inlineStr">
        <is>
          <t>Neetu Singh</t>
        </is>
      </c>
      <c r="B452" s="46" t="n">
        <v>8299481530</v>
      </c>
      <c r="C452" s="46" t="inlineStr">
        <is>
          <t>Customer</t>
        </is>
      </c>
      <c r="D452" s="46" t="inlineStr">
        <is>
          <t>₹ 0</t>
        </is>
      </c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</row>
    <row r="453" ht="16.5" customHeight="1" s="85">
      <c r="A453" s="46" t="inlineStr">
        <is>
          <t>Shivendu</t>
        </is>
      </c>
      <c r="B453" s="46" t="n">
        <v>8299649583</v>
      </c>
      <c r="C453" s="46" t="inlineStr">
        <is>
          <t>Customer</t>
        </is>
      </c>
      <c r="D453" s="46" t="inlineStr">
        <is>
          <t>₹ 0</t>
        </is>
      </c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</row>
    <row r="454" ht="16.5" customHeight="1" s="85">
      <c r="A454" s="46" t="inlineStr">
        <is>
          <t>Manoj Sir</t>
        </is>
      </c>
      <c r="B454" s="46" t="n">
        <v>8299660546</v>
      </c>
      <c r="C454" s="46" t="inlineStr">
        <is>
          <t>Customer</t>
        </is>
      </c>
      <c r="D454" s="46" t="inlineStr">
        <is>
          <t>₹ 0</t>
        </is>
      </c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</row>
    <row r="455" ht="16.5" customHeight="1" s="85">
      <c r="A455" s="46" t="inlineStr">
        <is>
          <t>Naval David</t>
        </is>
      </c>
      <c r="B455" s="46" t="n">
        <v>8299665838</v>
      </c>
      <c r="C455" s="46" t="inlineStr">
        <is>
          <t>Customer</t>
        </is>
      </c>
      <c r="D455" s="46" t="inlineStr">
        <is>
          <t>₹ 0</t>
        </is>
      </c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</row>
    <row r="456" ht="16.5" customHeight="1" s="85">
      <c r="A456" s="46" t="inlineStr">
        <is>
          <t>Pappu</t>
        </is>
      </c>
      <c r="B456" s="46" t="n">
        <v>8299686900</v>
      </c>
      <c r="C456" s="46" t="inlineStr">
        <is>
          <t>Customer</t>
        </is>
      </c>
      <c r="D456" s="46" t="inlineStr">
        <is>
          <t>₹ 0</t>
        </is>
      </c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</row>
    <row r="457" ht="16.5" customHeight="1" s="85">
      <c r="A457" s="46" t="inlineStr">
        <is>
          <t>Stuti</t>
        </is>
      </c>
      <c r="B457" s="46" t="n">
        <v>8299890489</v>
      </c>
      <c r="C457" s="46" t="inlineStr">
        <is>
          <t>Customer</t>
        </is>
      </c>
      <c r="D457" s="46" t="inlineStr">
        <is>
          <t>₹ 0</t>
        </is>
      </c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</row>
    <row r="458" ht="16.5" customHeight="1" s="85">
      <c r="A458" s="46" t="inlineStr">
        <is>
          <t>Nimisha</t>
        </is>
      </c>
      <c r="B458" s="46" t="n">
        <v>8303135898</v>
      </c>
      <c r="C458" s="46" t="inlineStr">
        <is>
          <t>Customer</t>
        </is>
      </c>
      <c r="D458" s="46" t="inlineStr">
        <is>
          <t>₹ 0</t>
        </is>
      </c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</row>
    <row r="459" ht="16.5" customHeight="1" s="85">
      <c r="A459" s="46" t="inlineStr">
        <is>
          <t>Archana Di</t>
        </is>
      </c>
      <c r="B459" s="46" t="n">
        <v>8303281878</v>
      </c>
      <c r="C459" s="46" t="inlineStr">
        <is>
          <t>Customer</t>
        </is>
      </c>
      <c r="D459" s="46" t="inlineStr">
        <is>
          <t>₹ 0</t>
        </is>
      </c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</row>
    <row r="460" ht="16.5" customHeight="1" s="85">
      <c r="A460" s="46" t="inlineStr">
        <is>
          <t>Shaji Sir</t>
        </is>
      </c>
      <c r="B460" s="46" t="n">
        <v>8303360948</v>
      </c>
      <c r="C460" s="46" t="inlineStr">
        <is>
          <t>Customer</t>
        </is>
      </c>
      <c r="D460" s="46" t="inlineStr">
        <is>
          <t>₹ 0</t>
        </is>
      </c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</row>
    <row r="461" ht="16.5" customHeight="1" s="85">
      <c r="A461" s="46" t="inlineStr">
        <is>
          <t>Pr.Abhishek Abc Church Om Nagar</t>
        </is>
      </c>
      <c r="B461" s="46" t="n">
        <v>8303501881</v>
      </c>
      <c r="C461" s="46" t="inlineStr">
        <is>
          <t>Customer</t>
        </is>
      </c>
      <c r="D461" s="46" t="inlineStr">
        <is>
          <t>₹ 0</t>
        </is>
      </c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</row>
    <row r="462" ht="16.5" customHeight="1" s="85">
      <c r="A462" s="46" t="inlineStr">
        <is>
          <t>Sister</t>
        </is>
      </c>
      <c r="B462" s="46" t="n">
        <v>8303547194</v>
      </c>
      <c r="C462" s="46" t="inlineStr">
        <is>
          <t>Customer</t>
        </is>
      </c>
      <c r="D462" s="46" t="inlineStr">
        <is>
          <t>₹ 0</t>
        </is>
      </c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</row>
    <row r="463" ht="16.5" customHeight="1" s="85">
      <c r="A463" s="46" t="inlineStr">
        <is>
          <t>Santosh Hatta</t>
        </is>
      </c>
      <c r="B463" s="46" t="n">
        <v>8303613047</v>
      </c>
      <c r="C463" s="46" t="inlineStr">
        <is>
          <t>Customer</t>
        </is>
      </c>
      <c r="D463" s="46" t="inlineStr">
        <is>
          <t>₹ 0</t>
        </is>
      </c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</row>
    <row r="464" ht="16.5" customHeight="1" s="85">
      <c r="A464" s="46" t="inlineStr">
        <is>
          <t>Shipra</t>
        </is>
      </c>
      <c r="B464" s="46" t="n">
        <v>8318064991</v>
      </c>
      <c r="C464" s="46" t="inlineStr">
        <is>
          <t>Customer</t>
        </is>
      </c>
      <c r="D464" s="46" t="inlineStr">
        <is>
          <t>₹ 0</t>
        </is>
      </c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</row>
    <row r="465" ht="16.5" customHeight="1" s="85">
      <c r="A465" s="46" t="inlineStr">
        <is>
          <t>Gorvi</t>
        </is>
      </c>
      <c r="B465" s="46" t="n">
        <v>8318090462</v>
      </c>
      <c r="C465" s="46" t="inlineStr">
        <is>
          <t>Customer</t>
        </is>
      </c>
      <c r="D465" s="46" t="inlineStr">
        <is>
          <t>₹ 0</t>
        </is>
      </c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</row>
    <row r="466" ht="16.5" customHeight="1" s="85">
      <c r="A466" s="46" t="inlineStr">
        <is>
          <t>Simon Gilbert</t>
        </is>
      </c>
      <c r="B466" s="46" t="n">
        <v>8318233481</v>
      </c>
      <c r="C466" s="46" t="inlineStr">
        <is>
          <t>Customer</t>
        </is>
      </c>
      <c r="D466" s="46" t="inlineStr">
        <is>
          <t>₹ 0</t>
        </is>
      </c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</row>
    <row r="467" ht="16.5" customHeight="1" s="85">
      <c r="A467" s="46" t="inlineStr">
        <is>
          <t>Sajima</t>
        </is>
      </c>
      <c r="B467" s="46" t="n">
        <v>8318488522</v>
      </c>
      <c r="C467" s="46" t="inlineStr">
        <is>
          <t>Customer</t>
        </is>
      </c>
      <c r="D467" s="46" t="inlineStr">
        <is>
          <t>₹ 0</t>
        </is>
      </c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</row>
    <row r="468" ht="16.5" customHeight="1" s="85">
      <c r="A468" s="46" t="inlineStr">
        <is>
          <t>Rashmi</t>
        </is>
      </c>
      <c r="B468" s="46" t="n">
        <v>8318494807</v>
      </c>
      <c r="C468" s="46" t="inlineStr">
        <is>
          <t>Customer</t>
        </is>
      </c>
      <c r="D468" s="46" t="inlineStr">
        <is>
          <t>₹ 0</t>
        </is>
      </c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</row>
    <row r="469" ht="16.5" customHeight="1" s="85">
      <c r="A469" s="46" t="inlineStr">
        <is>
          <t>Joswin</t>
        </is>
      </c>
      <c r="B469" s="46" t="n">
        <v>8318585363</v>
      </c>
      <c r="C469" s="46" t="inlineStr">
        <is>
          <t>Customer</t>
        </is>
      </c>
      <c r="D469" s="46" t="inlineStr">
        <is>
          <t>₹ 0</t>
        </is>
      </c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</row>
    <row r="470" ht="16.5" customHeight="1" s="85">
      <c r="A470" s="46" t="inlineStr">
        <is>
          <t>Francis</t>
        </is>
      </c>
      <c r="B470" s="46" t="n">
        <v>8318674566</v>
      </c>
      <c r="C470" s="46" t="inlineStr">
        <is>
          <t>Customer</t>
        </is>
      </c>
      <c r="D470" s="46" t="inlineStr">
        <is>
          <t>₹ 0</t>
        </is>
      </c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</row>
    <row r="471" ht="16.5" customHeight="1" s="85">
      <c r="A471" s="46" t="inlineStr">
        <is>
          <t>Shanshank</t>
        </is>
      </c>
      <c r="B471" s="46" t="n">
        <v>8318732105</v>
      </c>
      <c r="C471" s="46" t="inlineStr">
        <is>
          <t>Customer</t>
        </is>
      </c>
      <c r="D471" s="46" t="inlineStr">
        <is>
          <t>₹ 0</t>
        </is>
      </c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</row>
    <row r="472" ht="16.5" customHeight="1" s="85">
      <c r="A472" s="46" t="inlineStr">
        <is>
          <t>Jiju</t>
        </is>
      </c>
      <c r="B472" s="46" t="n">
        <v>8318853832</v>
      </c>
      <c r="C472" s="46" t="inlineStr">
        <is>
          <t>Customer</t>
        </is>
      </c>
      <c r="D472" s="46" t="inlineStr">
        <is>
          <t>₹ 0</t>
        </is>
      </c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</row>
    <row r="473" ht="16.5" customHeight="1" s="85">
      <c r="A473" s="46" t="inlineStr">
        <is>
          <t>Ramesh Baby</t>
        </is>
      </c>
      <c r="B473" s="46" t="n">
        <v>8318888678</v>
      </c>
      <c r="C473" s="46" t="inlineStr">
        <is>
          <t>Customer</t>
        </is>
      </c>
      <c r="D473" s="46" t="inlineStr">
        <is>
          <t>₹ 0</t>
        </is>
      </c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</row>
    <row r="474" ht="16.5" customHeight="1" s="85">
      <c r="A474" s="46" t="inlineStr">
        <is>
          <t>Sis Pauline</t>
        </is>
      </c>
      <c r="B474" s="46" t="n">
        <v>8318961755</v>
      </c>
      <c r="C474" s="46" t="inlineStr">
        <is>
          <t>Customer</t>
        </is>
      </c>
      <c r="D474" s="46" t="inlineStr">
        <is>
          <t>₹ 0</t>
        </is>
      </c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</row>
    <row r="475" ht="16.5" customHeight="1" s="85">
      <c r="A475" s="46" t="inlineStr">
        <is>
          <t>Srihari</t>
        </is>
      </c>
      <c r="B475" s="46" t="n">
        <v>8318973367</v>
      </c>
      <c r="C475" s="46" t="inlineStr">
        <is>
          <t>Customer</t>
        </is>
      </c>
      <c r="D475" s="46" t="inlineStr">
        <is>
          <t>₹ 0</t>
        </is>
      </c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</row>
    <row r="476" ht="16.5" customHeight="1" s="85">
      <c r="A476" s="46" t="inlineStr">
        <is>
          <t>Telesphor</t>
        </is>
      </c>
      <c r="B476" s="46" t="n">
        <v>8329906315</v>
      </c>
      <c r="C476" s="46" t="inlineStr">
        <is>
          <t>Customer</t>
        </is>
      </c>
      <c r="D476" s="46" t="inlineStr">
        <is>
          <t>₹ 0</t>
        </is>
      </c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</row>
    <row r="477" ht="16.5" customHeight="1" s="85">
      <c r="A477" s="46" t="inlineStr">
        <is>
          <t>Biju</t>
        </is>
      </c>
      <c r="B477" s="46" t="n">
        <v>8339992905</v>
      </c>
      <c r="C477" s="46" t="inlineStr">
        <is>
          <t>Customer</t>
        </is>
      </c>
      <c r="D477" s="46" t="inlineStr">
        <is>
          <t>₹ 0</t>
        </is>
      </c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</row>
    <row r="478" ht="16.5" customHeight="1" s="85">
      <c r="A478" s="46" t="inlineStr">
        <is>
          <t>Saji Gopal Ganj</t>
        </is>
      </c>
      <c r="B478" s="46" t="n">
        <v>8340785942</v>
      </c>
      <c r="C478" s="46" t="inlineStr">
        <is>
          <t>Customer</t>
        </is>
      </c>
      <c r="D478" s="46" t="inlineStr">
        <is>
          <t>₹ 0</t>
        </is>
      </c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</row>
    <row r="479" ht="16.5" customHeight="1" s="85">
      <c r="A479" s="46" t="inlineStr">
        <is>
          <t>Jagdish Prasad</t>
        </is>
      </c>
      <c r="B479" s="46" t="n">
        <v>8354035121</v>
      </c>
      <c r="C479" s="46" t="inlineStr">
        <is>
          <t>Customer</t>
        </is>
      </c>
      <c r="D479" s="46" t="inlineStr">
        <is>
          <t>₹ 0</t>
        </is>
      </c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</row>
    <row r="480" ht="16.5" customHeight="1" s="85">
      <c r="A480" s="46" t="inlineStr">
        <is>
          <t>Reeba Chechi 2022</t>
        </is>
      </c>
      <c r="B480" s="46" t="n">
        <v>8354054607</v>
      </c>
      <c r="C480" s="46" t="inlineStr">
        <is>
          <t>Customer</t>
        </is>
      </c>
      <c r="D480" s="46" t="inlineStr">
        <is>
          <t>₹ 24,746.80</t>
        </is>
      </c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</row>
    <row r="481" ht="16.5" customHeight="1" s="85">
      <c r="A481" s="46" t="inlineStr">
        <is>
          <t>Babu Kolhui</t>
        </is>
      </c>
      <c r="B481" s="46" t="n">
        <v>8354096422</v>
      </c>
      <c r="C481" s="46" t="inlineStr">
        <is>
          <t>Customer</t>
        </is>
      </c>
      <c r="D481" s="46" t="inlineStr">
        <is>
          <t>₹ 0</t>
        </is>
      </c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</row>
    <row r="482" ht="16.5" customHeight="1" s="85">
      <c r="A482" s="46" t="inlineStr">
        <is>
          <t>Dhainya</t>
        </is>
      </c>
      <c r="B482" s="46" t="n">
        <v>8354847884</v>
      </c>
      <c r="C482" s="46" t="inlineStr">
        <is>
          <t>Customer</t>
        </is>
      </c>
      <c r="D482" s="46" t="inlineStr">
        <is>
          <t>₹ 0</t>
        </is>
      </c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</row>
    <row r="483" ht="16.5" customHeight="1" s="85">
      <c r="A483" s="46" t="inlineStr">
        <is>
          <t>Budhiram Nathnagar</t>
        </is>
      </c>
      <c r="B483" s="46" t="n">
        <v>8354916602</v>
      </c>
      <c r="C483" s="46" t="inlineStr">
        <is>
          <t>Customer</t>
        </is>
      </c>
      <c r="D483" s="46" t="inlineStr">
        <is>
          <t>₹ 0</t>
        </is>
      </c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</row>
    <row r="484" ht="16.5" customHeight="1" s="85">
      <c r="A484" s="46" t="inlineStr">
        <is>
          <t>Josan Easo</t>
        </is>
      </c>
      <c r="B484" s="46" t="n">
        <v>8355054806</v>
      </c>
      <c r="C484" s="46" t="inlineStr">
        <is>
          <t>Customer</t>
        </is>
      </c>
      <c r="D484" s="46" t="inlineStr">
        <is>
          <t>₹ 0</t>
        </is>
      </c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</row>
    <row r="485" ht="16.5" customHeight="1" s="85">
      <c r="A485" s="46" t="inlineStr">
        <is>
          <t>Jeevan Jobi</t>
        </is>
      </c>
      <c r="B485" s="46" t="n">
        <v>8355065987</v>
      </c>
      <c r="C485" s="46" t="inlineStr">
        <is>
          <t>Customer</t>
        </is>
      </c>
      <c r="D485" s="46" t="inlineStr">
        <is>
          <t>₹ 0</t>
        </is>
      </c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</row>
    <row r="486" ht="16.5" customHeight="1" s="85">
      <c r="A486" s="46" t="inlineStr">
        <is>
          <t>Pr.Anil</t>
        </is>
      </c>
      <c r="B486" s="46" t="n">
        <v>8355073606</v>
      </c>
      <c r="C486" s="46" t="inlineStr">
        <is>
          <t>Customer</t>
        </is>
      </c>
      <c r="D486" s="46" t="inlineStr">
        <is>
          <t>₹ 0</t>
        </is>
      </c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</row>
    <row r="487" ht="16.5" customHeight="1" s="85">
      <c r="A487" s="46" t="inlineStr">
        <is>
          <t>Dr. Vinil, Airport</t>
        </is>
      </c>
      <c r="B487" s="46" t="n">
        <v>8356994690</v>
      </c>
      <c r="C487" s="46" t="inlineStr">
        <is>
          <t>Customer</t>
        </is>
      </c>
      <c r="D487" s="46" t="inlineStr">
        <is>
          <t>₹ 0</t>
        </is>
      </c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</row>
    <row r="488" ht="16.5" customHeight="1" s="85">
      <c r="A488" s="46" t="inlineStr">
        <is>
          <t>Raymond</t>
        </is>
      </c>
      <c r="B488" s="46" t="n">
        <v>8382080095</v>
      </c>
      <c r="C488" s="46" t="inlineStr">
        <is>
          <t>Customer</t>
        </is>
      </c>
      <c r="D488" s="46" t="inlineStr">
        <is>
          <t>₹ 0</t>
        </is>
      </c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</row>
    <row r="489" ht="16.5" customHeight="1" s="85">
      <c r="A489" s="46" t="inlineStr">
        <is>
          <t>Dhirendra</t>
        </is>
      </c>
      <c r="B489" s="46" t="n">
        <v>8382992623</v>
      </c>
      <c r="C489" s="46" t="inlineStr">
        <is>
          <t>Customer</t>
        </is>
      </c>
      <c r="D489" s="46" t="inlineStr">
        <is>
          <t>₹ 0</t>
        </is>
      </c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</row>
    <row r="490" ht="16.5" customHeight="1" s="85">
      <c r="A490" s="46" t="inlineStr">
        <is>
          <t>Bablu Gupta</t>
        </is>
      </c>
      <c r="B490" s="46" t="n">
        <v>8400057464</v>
      </c>
      <c r="C490" s="46" t="inlineStr">
        <is>
          <t>Customer</t>
        </is>
      </c>
      <c r="D490" s="46" t="inlineStr">
        <is>
          <t>₹ 0</t>
        </is>
      </c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</row>
    <row r="491" ht="16.5" customHeight="1" s="85">
      <c r="A491" s="46" t="inlineStr">
        <is>
          <t>Vijay ICT 2024 Mathew Brightson</t>
        </is>
      </c>
      <c r="B491" s="46" t="n">
        <v>8400093567</v>
      </c>
      <c r="C491" s="46" t="inlineStr">
        <is>
          <t>Customer</t>
        </is>
      </c>
      <c r="D491" s="46" t="inlineStr">
        <is>
          <t>₹ 0</t>
        </is>
      </c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</row>
    <row r="492" ht="16.5" customHeight="1" s="85">
      <c r="A492" s="46" t="inlineStr">
        <is>
          <t>Shinto</t>
        </is>
      </c>
      <c r="B492" s="46" t="n">
        <v>8400106596</v>
      </c>
      <c r="C492" s="46" t="inlineStr">
        <is>
          <t>Customer</t>
        </is>
      </c>
      <c r="D492" s="46" t="inlineStr">
        <is>
          <t>₹ 0</t>
        </is>
      </c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</row>
    <row r="493" ht="16.5" customHeight="1" s="85">
      <c r="A493" s="46" t="inlineStr">
        <is>
          <t>Maicl</t>
        </is>
      </c>
      <c r="B493" s="46" t="n">
        <v>8400507891</v>
      </c>
      <c r="C493" s="46" t="inlineStr">
        <is>
          <t>Customer</t>
        </is>
      </c>
      <c r="D493" s="46" t="inlineStr">
        <is>
          <t>₹ 0</t>
        </is>
      </c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</row>
    <row r="494" ht="16.5" customHeight="1" s="85">
      <c r="A494" s="46" t="inlineStr">
        <is>
          <t>Balram Gootam</t>
        </is>
      </c>
      <c r="B494" s="46" t="n">
        <v>8418898389</v>
      </c>
      <c r="C494" s="46" t="inlineStr">
        <is>
          <t>Customer</t>
        </is>
      </c>
      <c r="D494" s="46" t="inlineStr">
        <is>
          <t>₹ 0</t>
        </is>
      </c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</row>
    <row r="495" ht="16.5" customHeight="1" s="85">
      <c r="A495" s="46" t="inlineStr">
        <is>
          <t>Anil Khalilabad</t>
        </is>
      </c>
      <c r="B495" s="46" t="n">
        <v>8418969807</v>
      </c>
      <c r="C495" s="46" t="inlineStr">
        <is>
          <t>Customer</t>
        </is>
      </c>
      <c r="D495" s="46" t="inlineStr">
        <is>
          <t>₹ 0</t>
        </is>
      </c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</row>
    <row r="496" ht="16.5" customHeight="1" s="85">
      <c r="A496" s="46" t="inlineStr">
        <is>
          <t>Pramod, Nepal</t>
        </is>
      </c>
      <c r="B496" s="46" t="n">
        <v>8423065056</v>
      </c>
      <c r="C496" s="46" t="inlineStr">
        <is>
          <t>Customer</t>
        </is>
      </c>
      <c r="D496" s="46" t="inlineStr">
        <is>
          <t>₹ 0</t>
        </is>
      </c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</row>
    <row r="497" ht="16.5" customHeight="1" s="85">
      <c r="A497" s="46" t="inlineStr">
        <is>
          <t>Akshar</t>
        </is>
      </c>
      <c r="B497" s="46" t="n">
        <v>8423103018</v>
      </c>
      <c r="C497" s="46" t="inlineStr">
        <is>
          <t>Customer</t>
        </is>
      </c>
      <c r="D497" s="46" t="inlineStr">
        <is>
          <t>₹ 0</t>
        </is>
      </c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</row>
    <row r="498" ht="16.5" customHeight="1" s="85">
      <c r="A498" s="46" t="inlineStr">
        <is>
          <t>Madan</t>
        </is>
      </c>
      <c r="B498" s="46" t="n">
        <v>8423967988</v>
      </c>
      <c r="C498" s="46" t="inlineStr">
        <is>
          <t>Customer</t>
        </is>
      </c>
      <c r="D498" s="46" t="inlineStr">
        <is>
          <t>₹ 0</t>
        </is>
      </c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</row>
    <row r="499" ht="16.5" customHeight="1" s="85">
      <c r="A499" s="46" t="inlineStr">
        <is>
          <t>Vimal Raj</t>
        </is>
      </c>
      <c r="B499" s="46" t="n">
        <v>8428085187</v>
      </c>
      <c r="C499" s="46" t="inlineStr">
        <is>
          <t>Customer</t>
        </is>
      </c>
      <c r="D499" s="46" t="inlineStr">
        <is>
          <t>₹ 0</t>
        </is>
      </c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</row>
    <row r="500" ht="16.5" customHeight="1" s="85">
      <c r="A500" s="46" t="inlineStr">
        <is>
          <t>Joseph</t>
        </is>
      </c>
      <c r="B500" s="46" t="n">
        <v>8433394732</v>
      </c>
      <c r="C500" s="46" t="inlineStr">
        <is>
          <t>Customer</t>
        </is>
      </c>
      <c r="D500" s="46" t="inlineStr">
        <is>
          <t>₹ 0</t>
        </is>
      </c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</row>
    <row r="501" ht="16.5" customHeight="1" s="85">
      <c r="A501" s="46" t="inlineStr">
        <is>
          <t>Somnath</t>
        </is>
      </c>
      <c r="B501" s="46" t="n">
        <v>8436477828</v>
      </c>
      <c r="C501" s="46" t="inlineStr">
        <is>
          <t>Customer</t>
        </is>
      </c>
      <c r="D501" s="46" t="inlineStr">
        <is>
          <t>₹ 0</t>
        </is>
      </c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</row>
    <row r="502" ht="16.5" customHeight="1" s="85">
      <c r="A502" s="46" t="inlineStr">
        <is>
          <t>Danesh</t>
        </is>
      </c>
      <c r="B502" s="46" t="n">
        <v>8438430441</v>
      </c>
      <c r="C502" s="46" t="inlineStr">
        <is>
          <t>Customer</t>
        </is>
      </c>
      <c r="D502" s="46" t="inlineStr">
        <is>
          <t>₹ 0</t>
        </is>
      </c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</row>
    <row r="503" ht="16.5" customHeight="1" s="85">
      <c r="A503" s="46" t="inlineStr">
        <is>
          <t>Frankly</t>
        </is>
      </c>
      <c r="B503" s="46" t="n">
        <v>8445600266</v>
      </c>
      <c r="C503" s="46" t="inlineStr">
        <is>
          <t>Customer</t>
        </is>
      </c>
      <c r="D503" s="46" t="inlineStr">
        <is>
          <t>₹ 0</t>
        </is>
      </c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</row>
    <row r="504" ht="16.5" customHeight="1" s="85">
      <c r="A504" s="46" t="inlineStr">
        <is>
          <t>Dr Mimna</t>
        </is>
      </c>
      <c r="B504" s="46" t="n">
        <v>8447840886</v>
      </c>
      <c r="C504" s="46" t="inlineStr">
        <is>
          <t>Customer</t>
        </is>
      </c>
      <c r="D504" s="46" t="inlineStr">
        <is>
          <t>₹ 0</t>
        </is>
      </c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</row>
    <row r="505" ht="16.5" customHeight="1" s="85">
      <c r="A505" s="46" t="inlineStr">
        <is>
          <t>Ebince Malayalee LFS Dharampur</t>
        </is>
      </c>
      <c r="B505" s="46" t="n">
        <v>8500100127</v>
      </c>
      <c r="C505" s="46" t="inlineStr">
        <is>
          <t>Customer</t>
        </is>
      </c>
      <c r="D505" s="46" t="inlineStr">
        <is>
          <t>₹ 0</t>
        </is>
      </c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</row>
    <row r="506" ht="16.5" customHeight="1" s="85">
      <c r="A506" s="46" t="inlineStr">
        <is>
          <t>Sanjay Sahajanwa</t>
        </is>
      </c>
      <c r="B506" s="46" t="n">
        <v>8521336814</v>
      </c>
      <c r="C506" s="46" t="inlineStr">
        <is>
          <t>Customer</t>
        </is>
      </c>
      <c r="D506" s="46" t="inlineStr">
        <is>
          <t>₹ 0</t>
        </is>
      </c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</row>
    <row r="507" ht="16.5" customHeight="1" s="85">
      <c r="A507" s="46" t="inlineStr">
        <is>
          <t>Reghu K</t>
        </is>
      </c>
      <c r="B507" s="46" t="n">
        <v>8527378820</v>
      </c>
      <c r="C507" s="46" t="inlineStr">
        <is>
          <t>Customer</t>
        </is>
      </c>
      <c r="D507" s="46" t="inlineStr">
        <is>
          <t>₹ 0</t>
        </is>
      </c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</row>
    <row r="508" ht="16.5" customHeight="1" s="85">
      <c r="A508" s="46" t="inlineStr">
        <is>
          <t>Biju</t>
        </is>
      </c>
      <c r="B508" s="46" t="n">
        <v>8527638285</v>
      </c>
      <c r="C508" s="46" t="inlineStr">
        <is>
          <t>Customer</t>
        </is>
      </c>
      <c r="D508" s="46" t="inlineStr">
        <is>
          <t>₹ 0</t>
        </is>
      </c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</row>
    <row r="509" ht="16.5" customHeight="1" s="85">
      <c r="A509" s="46" t="inlineStr">
        <is>
          <t>Bima</t>
        </is>
      </c>
      <c r="B509" s="46" t="n">
        <v>8527672234</v>
      </c>
      <c r="C509" s="46" t="inlineStr">
        <is>
          <t>Customer</t>
        </is>
      </c>
      <c r="D509" s="46" t="inlineStr">
        <is>
          <t>₹ 0</t>
        </is>
      </c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</row>
    <row r="510" ht="16.5" customHeight="1" s="85">
      <c r="A510" s="46" t="inlineStr">
        <is>
          <t>Ranjan Charles</t>
        </is>
      </c>
      <c r="B510" s="46" t="n">
        <v>8528067543</v>
      </c>
      <c r="C510" s="46" t="inlineStr">
        <is>
          <t>Customer</t>
        </is>
      </c>
      <c r="D510" s="46" t="inlineStr">
        <is>
          <t>₹ 0</t>
        </is>
      </c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</row>
    <row r="511" ht="16.5" customHeight="1" s="85">
      <c r="A511" s="46" t="inlineStr">
        <is>
          <t>Little Flower School Dharampur</t>
        </is>
      </c>
      <c r="B511" s="46" t="n">
        <v>8528068563</v>
      </c>
      <c r="C511" s="46" t="inlineStr">
        <is>
          <t>Customer</t>
        </is>
      </c>
      <c r="D511" s="46" t="inlineStr">
        <is>
          <t>₹ 0</t>
        </is>
      </c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</row>
    <row r="512" ht="16.5" customHeight="1" s="85">
      <c r="A512" s="46" t="inlineStr">
        <is>
          <t>Allen</t>
        </is>
      </c>
      <c r="B512" s="46" t="n">
        <v>8528204695</v>
      </c>
      <c r="C512" s="46" t="inlineStr">
        <is>
          <t>Customer</t>
        </is>
      </c>
      <c r="D512" s="46" t="inlineStr">
        <is>
          <t>₹ 0</t>
        </is>
      </c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</row>
    <row r="513" ht="16.5" customHeight="1" s="85">
      <c r="A513" s="46" t="inlineStr">
        <is>
          <t>Jagat Natayan</t>
        </is>
      </c>
      <c r="B513" s="46" t="n">
        <v>8528443486</v>
      </c>
      <c r="C513" s="46" t="inlineStr">
        <is>
          <t>Customer</t>
        </is>
      </c>
      <c r="D513" s="46" t="inlineStr">
        <is>
          <t>₹ 0</t>
        </is>
      </c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</row>
    <row r="514" ht="16.5" customHeight="1" s="85">
      <c r="A514" s="46" t="inlineStr">
        <is>
          <t>Devendra</t>
        </is>
      </c>
      <c r="B514" s="46" t="n">
        <v>8528735158</v>
      </c>
      <c r="C514" s="46" t="inlineStr">
        <is>
          <t>Customer</t>
        </is>
      </c>
      <c r="D514" s="46" t="inlineStr">
        <is>
          <t>₹ 0</t>
        </is>
      </c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</row>
    <row r="515" ht="16.5" customHeight="1" s="85">
      <c r="A515" s="46" t="inlineStr">
        <is>
          <t>Sharda</t>
        </is>
      </c>
      <c r="B515" s="46" t="n">
        <v>8543987356</v>
      </c>
      <c r="C515" s="46" t="inlineStr">
        <is>
          <t>Customer</t>
        </is>
      </c>
      <c r="D515" s="46" t="inlineStr">
        <is>
          <t>₹ 0</t>
        </is>
      </c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</row>
    <row r="516" ht="16.5" customHeight="1" s="85">
      <c r="A516" s="46" t="inlineStr">
        <is>
          <t>Mohnesh</t>
        </is>
      </c>
      <c r="B516" s="46" t="n">
        <v>8545075150</v>
      </c>
      <c r="C516" s="46" t="inlineStr">
        <is>
          <t>Customer</t>
        </is>
      </c>
      <c r="D516" s="46" t="inlineStr">
        <is>
          <t>₹ 0</t>
        </is>
      </c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</row>
    <row r="517" ht="16.5" customHeight="1" s="85">
      <c r="A517" s="46" t="inlineStr">
        <is>
          <t>Sharad</t>
        </is>
      </c>
      <c r="B517" s="46" t="n">
        <v>8547630620</v>
      </c>
      <c r="C517" s="46" t="inlineStr">
        <is>
          <t>Customer</t>
        </is>
      </c>
      <c r="D517" s="46" t="inlineStr">
        <is>
          <t>₹ 0</t>
        </is>
      </c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</row>
    <row r="518" ht="16.5" customHeight="1" s="85">
      <c r="A518" s="46" t="inlineStr">
        <is>
          <t>Shamseer Khan</t>
        </is>
      </c>
      <c r="B518" s="46" t="n">
        <v>8547681025</v>
      </c>
      <c r="C518" s="46" t="inlineStr">
        <is>
          <t>Customer</t>
        </is>
      </c>
      <c r="D518" s="46" t="inlineStr">
        <is>
          <t>₹ 0</t>
        </is>
      </c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</row>
    <row r="519" ht="16.5" customHeight="1" s="85">
      <c r="A519" s="46" t="inlineStr">
        <is>
          <t>Gibya</t>
        </is>
      </c>
      <c r="B519" s="46" t="n">
        <v>8547841675</v>
      </c>
      <c r="C519" s="46" t="inlineStr">
        <is>
          <t>Customer</t>
        </is>
      </c>
      <c r="D519" s="46" t="inlineStr">
        <is>
          <t>₹ 0</t>
        </is>
      </c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</row>
    <row r="520" ht="16.5" customHeight="1" s="85">
      <c r="A520" s="46" t="inlineStr">
        <is>
          <t>Aman</t>
        </is>
      </c>
      <c r="B520" s="46" t="n">
        <v>8564922581</v>
      </c>
      <c r="C520" s="46" t="inlineStr">
        <is>
          <t>Customer</t>
        </is>
      </c>
      <c r="D520" s="46" t="inlineStr">
        <is>
          <t>₹ 0</t>
        </is>
      </c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</row>
    <row r="521" ht="16.5" customHeight="1" s="85">
      <c r="A521" s="46" t="inlineStr">
        <is>
          <t>Fransis, Fatima, Milan Chowk</t>
        </is>
      </c>
      <c r="B521" s="46" t="n">
        <v>8564976593</v>
      </c>
      <c r="C521" s="46" t="inlineStr">
        <is>
          <t>Customer</t>
        </is>
      </c>
      <c r="D521" s="46" t="inlineStr">
        <is>
          <t>₹ 0</t>
        </is>
      </c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</row>
    <row r="522" ht="16.5" customHeight="1" s="85">
      <c r="A522" s="46" t="inlineStr">
        <is>
          <t>Neha J Dixon</t>
        </is>
      </c>
      <c r="B522" s="46" t="n">
        <v>8564981830</v>
      </c>
      <c r="C522" s="46" t="inlineStr">
        <is>
          <t>Customer</t>
        </is>
      </c>
      <c r="D522" s="46" t="inlineStr">
        <is>
          <t>₹ 0</t>
        </is>
      </c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</row>
    <row r="523" ht="16.5" customHeight="1" s="85">
      <c r="A523" s="46" t="inlineStr">
        <is>
          <t>Monalisa Dutta</t>
        </is>
      </c>
      <c r="B523" s="46" t="n">
        <v>8570869062</v>
      </c>
      <c r="C523" s="46" t="inlineStr">
        <is>
          <t>Customer</t>
        </is>
      </c>
      <c r="D523" s="46" t="inlineStr">
        <is>
          <t>₹ 0</t>
        </is>
      </c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</row>
    <row r="524" ht="16.5" customHeight="1" s="85">
      <c r="A524" s="46" t="inlineStr">
        <is>
          <t>Lijo</t>
        </is>
      </c>
      <c r="B524" s="46" t="n">
        <v>8573993703</v>
      </c>
      <c r="C524" s="46" t="inlineStr">
        <is>
          <t>Customer</t>
        </is>
      </c>
      <c r="D524" s="46" t="inlineStr">
        <is>
          <t>₹ 0</t>
        </is>
      </c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</row>
    <row r="525" ht="16.5" customHeight="1" s="85">
      <c r="A525" s="46" t="inlineStr">
        <is>
          <t>Arpan</t>
        </is>
      </c>
      <c r="B525" s="46" t="n">
        <v>8574010236</v>
      </c>
      <c r="C525" s="46" t="inlineStr">
        <is>
          <t>Customer</t>
        </is>
      </c>
      <c r="D525" s="46" t="inlineStr">
        <is>
          <t>₹ 0</t>
        </is>
      </c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</row>
    <row r="526" ht="16.5" customHeight="1" s="85">
      <c r="A526" s="46" t="inlineStr">
        <is>
          <t>Satyen</t>
        </is>
      </c>
      <c r="B526" s="46" t="n">
        <v>8574502984</v>
      </c>
      <c r="C526" s="46" t="inlineStr">
        <is>
          <t>Customer</t>
        </is>
      </c>
      <c r="D526" s="46" t="inlineStr">
        <is>
          <t>₹ 0</t>
        </is>
      </c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</row>
    <row r="527" ht="16.5" customHeight="1" s="85">
      <c r="A527" s="46" t="inlineStr">
        <is>
          <t>Punkaj</t>
        </is>
      </c>
      <c r="B527" s="46" t="n">
        <v>8574859114</v>
      </c>
      <c r="C527" s="46" t="inlineStr">
        <is>
          <t>Customer</t>
        </is>
      </c>
      <c r="D527" s="46" t="inlineStr">
        <is>
          <t>₹ 0</t>
        </is>
      </c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</row>
    <row r="528" ht="16.5" customHeight="1" s="85">
      <c r="A528" s="46" t="inlineStr">
        <is>
          <t>Roli Pandey</t>
        </is>
      </c>
      <c r="B528" s="46" t="n">
        <v>8574899763</v>
      </c>
      <c r="C528" s="46" t="inlineStr">
        <is>
          <t>Customer</t>
        </is>
      </c>
      <c r="D528" s="46" t="inlineStr">
        <is>
          <t>₹ 0</t>
        </is>
      </c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</row>
    <row r="529" ht="16.5" customHeight="1" s="85">
      <c r="A529" s="46" t="inlineStr">
        <is>
          <t>Vishal</t>
        </is>
      </c>
      <c r="B529" s="46" t="n">
        <v>8577027810</v>
      </c>
      <c r="C529" s="46" t="inlineStr">
        <is>
          <t>Customer</t>
        </is>
      </c>
      <c r="D529" s="46" t="inlineStr">
        <is>
          <t>₹ 0</t>
        </is>
      </c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</row>
    <row r="530" ht="16.5" customHeight="1" s="85">
      <c r="A530" s="46" t="inlineStr">
        <is>
          <t>Rajita</t>
        </is>
      </c>
      <c r="B530" s="46" t="n">
        <v>8577955617</v>
      </c>
      <c r="C530" s="46" t="inlineStr">
        <is>
          <t>Customer</t>
        </is>
      </c>
      <c r="D530" s="46" t="inlineStr">
        <is>
          <t>₹ 0</t>
        </is>
      </c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</row>
    <row r="531" ht="16.5" customHeight="1" s="85">
      <c r="A531" s="46" t="inlineStr">
        <is>
          <t>Fr. Manoj</t>
        </is>
      </c>
      <c r="B531" s="46" t="n">
        <v>8578863297</v>
      </c>
      <c r="C531" s="46" t="inlineStr">
        <is>
          <t>Customer</t>
        </is>
      </c>
      <c r="D531" s="46" t="inlineStr">
        <is>
          <t>₹ 0</t>
        </is>
      </c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</row>
    <row r="532" ht="16.5" customHeight="1" s="85">
      <c r="A532" s="46" t="inlineStr">
        <is>
          <t>Aparna</t>
        </is>
      </c>
      <c r="B532" s="46" t="n">
        <v>8590031122</v>
      </c>
      <c r="C532" s="46" t="inlineStr">
        <is>
          <t>Customer</t>
        </is>
      </c>
      <c r="D532" s="46" t="inlineStr">
        <is>
          <t>₹ 0</t>
        </is>
      </c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</row>
    <row r="533" ht="16.5" customHeight="1" s="85">
      <c r="A533" s="46" t="inlineStr">
        <is>
          <t>Sajin</t>
        </is>
      </c>
      <c r="B533" s="46" t="n">
        <v>8590134179</v>
      </c>
      <c r="C533" s="46" t="inlineStr">
        <is>
          <t>Customer</t>
        </is>
      </c>
      <c r="D533" s="46" t="inlineStr">
        <is>
          <t>₹ 0</t>
        </is>
      </c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</row>
    <row r="534" ht="16.5" customHeight="1" s="85">
      <c r="A534" s="46" t="inlineStr">
        <is>
          <t>Abin</t>
        </is>
      </c>
      <c r="B534" s="46" t="n">
        <v>8590659947</v>
      </c>
      <c r="C534" s="46" t="inlineStr">
        <is>
          <t>Customer</t>
        </is>
      </c>
      <c r="D534" s="46" t="inlineStr">
        <is>
          <t>₹ 0</t>
        </is>
      </c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</row>
    <row r="535" ht="16.5" customHeight="1" s="85">
      <c r="A535" s="46" t="inlineStr">
        <is>
          <t>Sis Majida</t>
        </is>
      </c>
      <c r="B535" s="46" t="n">
        <v>8590789399</v>
      </c>
      <c r="C535" s="46" t="inlineStr">
        <is>
          <t>Customer</t>
        </is>
      </c>
      <c r="D535" s="46" t="inlineStr">
        <is>
          <t>₹ 0</t>
        </is>
      </c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</row>
    <row r="536" ht="16.5" customHeight="1" s="85">
      <c r="A536" s="46" t="inlineStr">
        <is>
          <t>Sandana Sanal</t>
        </is>
      </c>
      <c r="B536" s="46" t="n">
        <v>8590952176</v>
      </c>
      <c r="C536" s="46" t="inlineStr">
        <is>
          <t>Customer</t>
        </is>
      </c>
      <c r="D536" s="46" t="inlineStr">
        <is>
          <t>₹ 0</t>
        </is>
      </c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</row>
    <row r="537" ht="16.5" customHeight="1" s="85">
      <c r="A537" s="46" t="inlineStr">
        <is>
          <t>Vikash</t>
        </is>
      </c>
      <c r="B537" s="46" t="n">
        <v>8593028875</v>
      </c>
      <c r="C537" s="46" t="inlineStr">
        <is>
          <t>Customer</t>
        </is>
      </c>
      <c r="D537" s="46" t="inlineStr">
        <is>
          <t>₹ 0</t>
        </is>
      </c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</row>
    <row r="538" ht="16.5" customHeight="1" s="85">
      <c r="A538" s="46" t="inlineStr">
        <is>
          <t>St, Xavier's Siddharth Nagar</t>
        </is>
      </c>
      <c r="B538" s="46" t="n">
        <v>8593031658</v>
      </c>
      <c r="C538" s="46" t="inlineStr">
        <is>
          <t>Customer</t>
        </is>
      </c>
      <c r="D538" s="46" t="inlineStr">
        <is>
          <t>₹ 0</t>
        </is>
      </c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</row>
    <row r="539" ht="16.5" customHeight="1" s="85">
      <c r="A539" s="46" t="inlineStr">
        <is>
          <t>L. S. C Convent Kasiya</t>
        </is>
      </c>
      <c r="B539" s="46" t="n">
        <v>8593055681</v>
      </c>
      <c r="C539" s="46" t="inlineStr">
        <is>
          <t>Customer</t>
        </is>
      </c>
      <c r="D539" s="46" t="inlineStr">
        <is>
          <t>₹ 0</t>
        </is>
      </c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</row>
    <row r="540" ht="16.5" customHeight="1" s="85">
      <c r="A540" s="46" t="inlineStr">
        <is>
          <t>Anjali Sreenath</t>
        </is>
      </c>
      <c r="B540" s="46" t="n">
        <v>8595661942</v>
      </c>
      <c r="C540" s="46" t="inlineStr">
        <is>
          <t>Customer</t>
        </is>
      </c>
      <c r="D540" s="46" t="inlineStr">
        <is>
          <t>₹ 0</t>
        </is>
      </c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</row>
    <row r="541" ht="16.5" customHeight="1" s="85">
      <c r="A541" s="46" t="inlineStr">
        <is>
          <t>Raj Pk</t>
        </is>
      </c>
      <c r="B541" s="46" t="n">
        <v>8601131315</v>
      </c>
      <c r="C541" s="46" t="inlineStr">
        <is>
          <t>Customer</t>
        </is>
      </c>
      <c r="D541" s="46" t="inlineStr">
        <is>
          <t>₹ 0</t>
        </is>
      </c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</row>
    <row r="542" ht="16.5" customHeight="1" s="85">
      <c r="A542" s="46" t="inlineStr">
        <is>
          <t>Bliss Arora</t>
        </is>
      </c>
      <c r="B542" s="46" t="n">
        <v>8601498960</v>
      </c>
      <c r="C542" s="46" t="inlineStr">
        <is>
          <t>Customer</t>
        </is>
      </c>
      <c r="D542" s="46" t="inlineStr">
        <is>
          <t>₹ 0</t>
        </is>
      </c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</row>
    <row r="543" ht="16.5" customHeight="1" s="85">
      <c r="A543" s="46" t="inlineStr">
        <is>
          <t>Amar Nath Nath Nagar</t>
        </is>
      </c>
      <c r="B543" s="46" t="n">
        <v>8604262084</v>
      </c>
      <c r="C543" s="46" t="inlineStr">
        <is>
          <t>Customer</t>
        </is>
      </c>
      <c r="D543" s="46" t="inlineStr">
        <is>
          <t>₹ 0</t>
        </is>
      </c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</row>
    <row r="544" ht="16.5" customHeight="1" s="85">
      <c r="A544" s="46" t="inlineStr">
        <is>
          <t>Shinto Gopalganj</t>
        </is>
      </c>
      <c r="B544" s="46" t="n">
        <v>8604747489</v>
      </c>
      <c r="C544" s="46" t="inlineStr">
        <is>
          <t>Customer</t>
        </is>
      </c>
      <c r="D544" s="46" t="inlineStr">
        <is>
          <t>₹ 0</t>
        </is>
      </c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</row>
    <row r="545" ht="16.5" customHeight="1" s="85">
      <c r="A545" s="46" t="inlineStr">
        <is>
          <t>Ashwin</t>
        </is>
      </c>
      <c r="B545" s="46" t="n">
        <v>8606581432</v>
      </c>
      <c r="C545" s="46" t="inlineStr">
        <is>
          <t>Customer</t>
        </is>
      </c>
      <c r="D545" s="46" t="inlineStr">
        <is>
          <t>₹ 0</t>
        </is>
      </c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</row>
    <row r="546" ht="16.5" customHeight="1" s="85">
      <c r="A546" s="46" t="inlineStr">
        <is>
          <t>Tomin Chargawa Malayalee</t>
        </is>
      </c>
      <c r="B546" s="46" t="n">
        <v>8606582430</v>
      </c>
      <c r="C546" s="46" t="inlineStr">
        <is>
          <t>Customer</t>
        </is>
      </c>
      <c r="D546" s="46" t="inlineStr">
        <is>
          <t>₹ 0</t>
        </is>
      </c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</row>
    <row r="547" ht="16.5" customHeight="1" s="85">
      <c r="A547" s="46" t="inlineStr">
        <is>
          <t>Niranjana</t>
        </is>
      </c>
      <c r="B547" s="46" t="n">
        <v>8606702818</v>
      </c>
      <c r="C547" s="46" t="inlineStr">
        <is>
          <t>Customer</t>
        </is>
      </c>
      <c r="D547" s="46" t="inlineStr">
        <is>
          <t>₹ 0</t>
        </is>
      </c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</row>
    <row r="548" ht="16.5" customHeight="1" s="85">
      <c r="A548" s="46" t="inlineStr">
        <is>
          <t>Anagha Malayalee Gkp Working</t>
        </is>
      </c>
      <c r="B548" s="46" t="n">
        <v>8606892930</v>
      </c>
      <c r="C548" s="46" t="inlineStr">
        <is>
          <t>Customer</t>
        </is>
      </c>
      <c r="D548" s="46" t="inlineStr">
        <is>
          <t>₹ 0</t>
        </is>
      </c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</row>
    <row r="549" ht="16.5" customHeight="1" s="85">
      <c r="A549" s="46" t="inlineStr">
        <is>
          <t>Sis Shakila</t>
        </is>
      </c>
      <c r="B549" s="46" t="n">
        <v>8610791563</v>
      </c>
      <c r="C549" s="46" t="inlineStr">
        <is>
          <t>Customer</t>
        </is>
      </c>
      <c r="D549" s="46" t="inlineStr">
        <is>
          <t>₹ 0</t>
        </is>
      </c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</row>
    <row r="550" ht="16.5" customHeight="1" s="85">
      <c r="A550" s="46" t="inlineStr">
        <is>
          <t>Vijay</t>
        </is>
      </c>
      <c r="B550" s="46" t="n">
        <v>8667061805</v>
      </c>
      <c r="C550" s="46" t="inlineStr">
        <is>
          <t>Customer</t>
        </is>
      </c>
      <c r="D550" s="46" t="inlineStr">
        <is>
          <t>₹ 0</t>
        </is>
      </c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</row>
    <row r="551" ht="16.5" customHeight="1" s="85">
      <c r="A551" s="46" t="inlineStr">
        <is>
          <t>Surendra</t>
        </is>
      </c>
      <c r="B551" s="46" t="n">
        <v>8668107282</v>
      </c>
      <c r="C551" s="46" t="inlineStr">
        <is>
          <t>Customer</t>
        </is>
      </c>
      <c r="D551" s="46" t="inlineStr">
        <is>
          <t>₹ 0</t>
        </is>
      </c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</row>
    <row r="552" ht="16.5" customHeight="1" s="85">
      <c r="A552" s="46" t="inlineStr">
        <is>
          <t>Robin</t>
        </is>
      </c>
      <c r="B552" s="46" t="n">
        <v>8682823368</v>
      </c>
      <c r="C552" s="46" t="inlineStr">
        <is>
          <t>Customer</t>
        </is>
      </c>
      <c r="D552" s="46" t="inlineStr">
        <is>
          <t>₹ 0</t>
        </is>
      </c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</row>
    <row r="553" ht="16.5" customHeight="1" s="85">
      <c r="A553" s="46" t="inlineStr">
        <is>
          <t>Jatin</t>
        </is>
      </c>
      <c r="B553" s="46" t="n">
        <v>8686646354</v>
      </c>
      <c r="C553" s="46" t="inlineStr">
        <is>
          <t>Customer</t>
        </is>
      </c>
      <c r="D553" s="46" t="inlineStr">
        <is>
          <t>₹ 0</t>
        </is>
      </c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</row>
    <row r="554" ht="16.5" customHeight="1" s="85">
      <c r="A554" s="46" t="inlineStr">
        <is>
          <t>Ravi</t>
        </is>
      </c>
      <c r="B554" s="46" t="n">
        <v>8687828819</v>
      </c>
      <c r="C554" s="46" t="inlineStr">
        <is>
          <t>Customer</t>
        </is>
      </c>
      <c r="D554" s="46" t="inlineStr">
        <is>
          <t>₹ 0</t>
        </is>
      </c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</row>
    <row r="555" ht="16.5" customHeight="1" s="85">
      <c r="A555" s="46" t="inlineStr">
        <is>
          <t>Shweta</t>
        </is>
      </c>
      <c r="B555" s="46" t="n">
        <v>8687894954</v>
      </c>
      <c r="C555" s="46" t="inlineStr">
        <is>
          <t>Customer</t>
        </is>
      </c>
      <c r="D555" s="46" t="inlineStr">
        <is>
          <t>₹ 0</t>
        </is>
      </c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</row>
    <row r="556" ht="16.5" customHeight="1" s="85">
      <c r="A556" s="46" t="inlineStr">
        <is>
          <t>FLAG</t>
        </is>
      </c>
      <c r="B556" s="46" t="n">
        <v>8700450713</v>
      </c>
      <c r="C556" s="46" t="inlineStr">
        <is>
          <t>Customer</t>
        </is>
      </c>
      <c r="D556" s="46" t="inlineStr">
        <is>
          <t>₹ 0</t>
        </is>
      </c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</row>
    <row r="557" ht="16.5" customHeight="1" s="85">
      <c r="A557" s="46" t="inlineStr">
        <is>
          <t>Rashika</t>
        </is>
      </c>
      <c r="B557" s="46" t="n">
        <v>8707022313</v>
      </c>
      <c r="C557" s="46" t="inlineStr">
        <is>
          <t>Customer</t>
        </is>
      </c>
      <c r="D557" s="46" t="inlineStr">
        <is>
          <t>₹ 0</t>
        </is>
      </c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</row>
    <row r="558" ht="16.5" customHeight="1" s="85">
      <c r="A558" s="46" t="inlineStr">
        <is>
          <t>Lino</t>
        </is>
      </c>
      <c r="B558" s="46" t="n">
        <v>8707024645</v>
      </c>
      <c r="C558" s="46" t="inlineStr">
        <is>
          <t>Customer</t>
        </is>
      </c>
      <c r="D558" s="46" t="inlineStr">
        <is>
          <t>₹ 0</t>
        </is>
      </c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</row>
    <row r="559" ht="16.5" customHeight="1" s="85">
      <c r="A559" s="46" t="inlineStr">
        <is>
          <t>Jills</t>
        </is>
      </c>
      <c r="B559" s="46" t="n">
        <v>8707389096</v>
      </c>
      <c r="C559" s="46" t="inlineStr">
        <is>
          <t>Customer</t>
        </is>
      </c>
      <c r="D559" s="46" t="inlineStr">
        <is>
          <t>₹ 0</t>
        </is>
      </c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</row>
    <row r="560" ht="16.5" customHeight="1" s="85">
      <c r="A560" s="46" t="inlineStr">
        <is>
          <t>Jagrani</t>
        </is>
      </c>
      <c r="B560" s="46" t="n">
        <v>8707542274</v>
      </c>
      <c r="C560" s="46" t="inlineStr">
        <is>
          <t>Customer</t>
        </is>
      </c>
      <c r="D560" s="46" t="inlineStr">
        <is>
          <t>₹ 0</t>
        </is>
      </c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</row>
    <row r="561" ht="16.5" customHeight="1" s="85">
      <c r="A561" s="46" t="inlineStr">
        <is>
          <t>Ritu</t>
        </is>
      </c>
      <c r="B561" s="46" t="n">
        <v>8707724993</v>
      </c>
      <c r="C561" s="46" t="inlineStr">
        <is>
          <t>Customer</t>
        </is>
      </c>
      <c r="D561" s="46" t="inlineStr">
        <is>
          <t>₹ 0</t>
        </is>
      </c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</row>
    <row r="562" ht="16.5" customHeight="1" s="85">
      <c r="A562" s="46" t="inlineStr">
        <is>
          <t>Sr. Amrita</t>
        </is>
      </c>
      <c r="B562" s="46" t="n">
        <v>8714031994</v>
      </c>
      <c r="C562" s="46" t="inlineStr">
        <is>
          <t>Customer</t>
        </is>
      </c>
      <c r="D562" s="46" t="inlineStr">
        <is>
          <t>₹ 0</t>
        </is>
      </c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</row>
    <row r="563" ht="16.5" customHeight="1" s="85">
      <c r="A563" s="46" t="inlineStr">
        <is>
          <t>Gibya</t>
        </is>
      </c>
      <c r="B563" s="46" t="n">
        <v>8714401675</v>
      </c>
      <c r="C563" s="46" t="inlineStr">
        <is>
          <t>Customer</t>
        </is>
      </c>
      <c r="D563" s="46" t="inlineStr">
        <is>
          <t>₹ 0</t>
        </is>
      </c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</row>
    <row r="564" ht="16.5" customHeight="1" s="85">
      <c r="A564" s="46" t="inlineStr">
        <is>
          <t>Narayan Basgau</t>
        </is>
      </c>
      <c r="B564" s="46" t="n">
        <v>8726224085</v>
      </c>
      <c r="C564" s="46" t="inlineStr">
        <is>
          <t>Customer</t>
        </is>
      </c>
      <c r="D564" s="46" t="inlineStr">
        <is>
          <t>₹ 0</t>
        </is>
      </c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</row>
    <row r="565" ht="16.5" customHeight="1" s="85">
      <c r="A565" s="46" t="inlineStr">
        <is>
          <t>Manish</t>
        </is>
      </c>
      <c r="B565" s="46" t="n">
        <v>8726381793</v>
      </c>
      <c r="C565" s="46" t="inlineStr">
        <is>
          <t>Customer</t>
        </is>
      </c>
      <c r="D565" s="46" t="inlineStr">
        <is>
          <t>₹ 0</t>
        </is>
      </c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</row>
    <row r="566" ht="16.5" customHeight="1" s="85">
      <c r="A566" s="46" t="inlineStr">
        <is>
          <t>Dhruv Chandra 2021</t>
        </is>
      </c>
      <c r="B566" s="46" t="n">
        <v>8726607243</v>
      </c>
      <c r="C566" s="46" t="inlineStr">
        <is>
          <t>Customer</t>
        </is>
      </c>
      <c r="D566" s="46" t="inlineStr">
        <is>
          <t>₹ 0</t>
        </is>
      </c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</row>
    <row r="567" ht="16.5" customHeight="1" s="85">
      <c r="A567" s="46" t="inlineStr">
        <is>
          <t>Avinash</t>
        </is>
      </c>
      <c r="B567" s="46" t="n">
        <v>8726665608</v>
      </c>
      <c r="C567" s="46" t="inlineStr">
        <is>
          <t>Customer</t>
        </is>
      </c>
      <c r="D567" s="46" t="inlineStr">
        <is>
          <t>₹ 0</t>
        </is>
      </c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</row>
    <row r="568" ht="16.5" customHeight="1" s="85">
      <c r="A568" s="46" t="inlineStr">
        <is>
          <t>Sharukutty Sharon Paul 2024</t>
        </is>
      </c>
      <c r="B568" s="46" t="n">
        <v>8738969815</v>
      </c>
      <c r="C568" s="46" t="inlineStr">
        <is>
          <t>Customer</t>
        </is>
      </c>
      <c r="D568" s="46" t="inlineStr">
        <is>
          <t>₹ 0</t>
        </is>
      </c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</row>
    <row r="569" ht="16.5" customHeight="1" s="85">
      <c r="A569" s="46" t="inlineStr">
        <is>
          <t>Nicy</t>
        </is>
      </c>
      <c r="B569" s="46" t="n">
        <v>8745885366</v>
      </c>
      <c r="C569" s="46" t="inlineStr">
        <is>
          <t>Customer</t>
        </is>
      </c>
      <c r="D569" s="46" t="inlineStr">
        <is>
          <t>₹ 0</t>
        </is>
      </c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</row>
    <row r="570" ht="16.5" customHeight="1" s="85">
      <c r="A570" s="46" t="inlineStr">
        <is>
          <t>Anish</t>
        </is>
      </c>
      <c r="B570" s="46" t="n">
        <v>8754188953</v>
      </c>
      <c r="C570" s="46" t="inlineStr">
        <is>
          <t>Customer</t>
        </is>
      </c>
      <c r="D570" s="46" t="inlineStr">
        <is>
          <t>₹ 0</t>
        </is>
      </c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</row>
    <row r="571" ht="16.5" customHeight="1" s="85">
      <c r="A571" s="46" t="inlineStr">
        <is>
          <t>Alex Wife Fatima, Malayali</t>
        </is>
      </c>
      <c r="B571" s="46" t="n">
        <v>8754965532</v>
      </c>
      <c r="C571" s="46" t="inlineStr">
        <is>
          <t>Customer</t>
        </is>
      </c>
      <c r="D571" s="46" t="inlineStr">
        <is>
          <t>₹ 0</t>
        </is>
      </c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</row>
    <row r="572" ht="16.5" customHeight="1" s="85">
      <c r="A572" s="46" t="inlineStr">
        <is>
          <t>Sosan</t>
        </is>
      </c>
      <c r="B572" s="46" t="n">
        <v>8755542070</v>
      </c>
      <c r="C572" s="46" t="inlineStr">
        <is>
          <t>Customer</t>
        </is>
      </c>
      <c r="D572" s="46" t="inlineStr">
        <is>
          <t>₹ 0</t>
        </is>
      </c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</row>
    <row r="573" ht="16.5" customHeight="1" s="85">
      <c r="A573" s="46" t="inlineStr">
        <is>
          <t>Shalini</t>
        </is>
      </c>
      <c r="B573" s="46" t="n">
        <v>8756393201</v>
      </c>
      <c r="C573" s="46" t="inlineStr">
        <is>
          <t>Customer</t>
        </is>
      </c>
      <c r="D573" s="46" t="inlineStr">
        <is>
          <t>₹ 0</t>
        </is>
      </c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</row>
    <row r="574" ht="16.5" customHeight="1" s="85">
      <c r="A574" s="46" t="inlineStr">
        <is>
          <t>Aryan Ram</t>
        </is>
      </c>
      <c r="B574" s="46" t="n">
        <v>8756557346</v>
      </c>
      <c r="C574" s="46" t="inlineStr">
        <is>
          <t>Customer</t>
        </is>
      </c>
      <c r="D574" s="46" t="inlineStr">
        <is>
          <t>₹ 0</t>
        </is>
      </c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</row>
    <row r="575" ht="16.5" customHeight="1" s="85">
      <c r="A575" s="46" t="inlineStr">
        <is>
          <t>Pr Harilal Hatta</t>
        </is>
      </c>
      <c r="B575" s="46" t="n">
        <v>8756678499</v>
      </c>
      <c r="C575" s="46" t="inlineStr">
        <is>
          <t>Customer</t>
        </is>
      </c>
      <c r="D575" s="46" t="inlineStr">
        <is>
          <t>₹ 0</t>
        </is>
      </c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</row>
    <row r="576" ht="16.5" customHeight="1" s="85">
      <c r="A576" s="46" t="inlineStr">
        <is>
          <t>Aavni</t>
        </is>
      </c>
      <c r="B576" s="46" t="n">
        <v>8765554515</v>
      </c>
      <c r="C576" s="46" t="inlineStr">
        <is>
          <t>Customer</t>
        </is>
      </c>
      <c r="D576" s="46" t="inlineStr">
        <is>
          <t>₹ 0</t>
        </is>
      </c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</row>
    <row r="577" ht="16.5" customHeight="1" s="85">
      <c r="A577" s="46" t="inlineStr">
        <is>
          <t>Fr.Suresh</t>
        </is>
      </c>
      <c r="B577" s="46" t="n">
        <v>8765727713</v>
      </c>
      <c r="C577" s="46" t="inlineStr">
        <is>
          <t>Customer</t>
        </is>
      </c>
      <c r="D577" s="46" t="inlineStr">
        <is>
          <t>₹ 0</t>
        </is>
      </c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</row>
    <row r="578" ht="16.5" customHeight="1" s="85">
      <c r="A578" s="46" t="inlineStr">
        <is>
          <t>Benny Sidharth Nagar</t>
        </is>
      </c>
      <c r="B578" s="46" t="n">
        <v>8765751297</v>
      </c>
      <c r="C578" s="46" t="inlineStr">
        <is>
          <t>Customer</t>
        </is>
      </c>
      <c r="D578" s="46" t="inlineStr">
        <is>
          <t>₹ 0</t>
        </is>
      </c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</row>
    <row r="579" ht="16.5" customHeight="1" s="85">
      <c r="A579" s="46" t="inlineStr">
        <is>
          <t>Ranjita</t>
        </is>
      </c>
      <c r="B579" s="46" t="n">
        <v>8765816096</v>
      </c>
      <c r="C579" s="46" t="inlineStr">
        <is>
          <t>Customer</t>
        </is>
      </c>
      <c r="D579" s="46" t="inlineStr">
        <is>
          <t>₹ 0</t>
        </is>
      </c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</row>
    <row r="580" ht="16.5" customHeight="1" s="85">
      <c r="A580" s="46" t="inlineStr">
        <is>
          <t>Kala Niketan</t>
        </is>
      </c>
      <c r="B580" s="46" t="n">
        <v>8787057414</v>
      </c>
      <c r="C580" s="46" t="inlineStr">
        <is>
          <t>Customer</t>
        </is>
      </c>
      <c r="D580" s="46" t="inlineStr">
        <is>
          <t>₹ 0</t>
        </is>
      </c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</row>
    <row r="581" ht="16.5" customHeight="1" s="85">
      <c r="A581" s="46" t="inlineStr">
        <is>
          <t>Indu</t>
        </is>
      </c>
      <c r="B581" s="46" t="n">
        <v>8787214051</v>
      </c>
      <c r="C581" s="46" t="inlineStr">
        <is>
          <t>Customer</t>
        </is>
      </c>
      <c r="D581" s="46" t="inlineStr">
        <is>
          <t>₹ 0</t>
        </is>
      </c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</row>
    <row r="582" ht="16.5" customHeight="1" s="85">
      <c r="A582" s="46" t="inlineStr">
        <is>
          <t>Sister Jenita</t>
        </is>
      </c>
      <c r="B582" s="46" t="n">
        <v>8788645197</v>
      </c>
      <c r="C582" s="46" t="inlineStr">
        <is>
          <t>Customer</t>
        </is>
      </c>
      <c r="D582" s="46" t="inlineStr">
        <is>
          <t>₹ 0</t>
        </is>
      </c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</row>
    <row r="583" ht="16.5" customHeight="1" s="85">
      <c r="A583" s="46" t="inlineStr">
        <is>
          <t>Anu</t>
        </is>
      </c>
      <c r="B583" s="46" t="n">
        <v>8789051383</v>
      </c>
      <c r="C583" s="46" t="inlineStr">
        <is>
          <t>Customer</t>
        </is>
      </c>
      <c r="D583" s="46" t="inlineStr">
        <is>
          <t>₹ 0</t>
        </is>
      </c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</row>
    <row r="584" ht="16.5" customHeight="1" s="85">
      <c r="A584" s="46" t="inlineStr">
        <is>
          <t>Petor</t>
        </is>
      </c>
      <c r="B584" s="46" t="n">
        <v>8789161520</v>
      </c>
      <c r="C584" s="46" t="inlineStr">
        <is>
          <t>Customer</t>
        </is>
      </c>
      <c r="D584" s="46" t="inlineStr">
        <is>
          <t>₹ 0</t>
        </is>
      </c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</row>
    <row r="585" ht="16.5" customHeight="1" s="85">
      <c r="A585" s="46" t="inlineStr">
        <is>
          <t>Bishop Peter</t>
        </is>
      </c>
      <c r="B585" s="46" t="n">
        <v>8789816152</v>
      </c>
      <c r="C585" s="46" t="inlineStr">
        <is>
          <t>Customer</t>
        </is>
      </c>
      <c r="D585" s="46" t="inlineStr">
        <is>
          <t>₹ 0</t>
        </is>
      </c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</row>
    <row r="586" ht="16.5" customHeight="1" s="85">
      <c r="A586" s="46" t="inlineStr">
        <is>
          <t>Blessy</t>
        </is>
      </c>
      <c r="B586" s="46" t="n">
        <v>8795566826</v>
      </c>
      <c r="C586" s="46" t="inlineStr">
        <is>
          <t>Customer</t>
        </is>
      </c>
      <c r="D586" s="46" t="inlineStr">
        <is>
          <t>₹ 0</t>
        </is>
      </c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</row>
    <row r="587" ht="16.5" customHeight="1" s="85">
      <c r="A587" s="46" t="inlineStr">
        <is>
          <t>Fr. Praveen</t>
        </is>
      </c>
      <c r="B587" s="46" t="n">
        <v>8795785125</v>
      </c>
      <c r="C587" s="46" t="inlineStr">
        <is>
          <t>Customer</t>
        </is>
      </c>
      <c r="D587" s="46" t="inlineStr">
        <is>
          <t>₹ 0</t>
        </is>
      </c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</row>
    <row r="588" ht="16.5" customHeight="1" s="85">
      <c r="A588" s="46" t="inlineStr">
        <is>
          <t>Rohit</t>
        </is>
      </c>
      <c r="B588" s="46" t="n">
        <v>8795810992</v>
      </c>
      <c r="C588" s="46" t="inlineStr">
        <is>
          <t>Customer</t>
        </is>
      </c>
      <c r="D588" s="46" t="inlineStr">
        <is>
          <t>₹ 0</t>
        </is>
      </c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</row>
    <row r="589" ht="16.5" customHeight="1" s="85">
      <c r="A589" s="46" t="inlineStr">
        <is>
          <t>L.s.t Convent</t>
        </is>
      </c>
      <c r="B589" s="46" t="n">
        <v>8797880249</v>
      </c>
      <c r="C589" s="46" t="inlineStr">
        <is>
          <t>Customer</t>
        </is>
      </c>
      <c r="D589" s="46" t="inlineStr">
        <is>
          <t>₹ 0</t>
        </is>
      </c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</row>
    <row r="590" ht="16.5" customHeight="1" s="85">
      <c r="A590" s="46" t="inlineStr">
        <is>
          <t>Manish</t>
        </is>
      </c>
      <c r="B590" s="46" t="n">
        <v>8800114597</v>
      </c>
      <c r="C590" s="46" t="inlineStr">
        <is>
          <t>Customer</t>
        </is>
      </c>
      <c r="D590" s="46" t="inlineStr">
        <is>
          <t>₹ 0</t>
        </is>
      </c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</row>
    <row r="591" ht="16.5" customHeight="1" s="85">
      <c r="A591" s="46" t="inlineStr">
        <is>
          <t>Abhilasha</t>
        </is>
      </c>
      <c r="B591" s="46" t="n">
        <v>8800965245</v>
      </c>
      <c r="C591" s="46" t="inlineStr">
        <is>
          <t>Customer</t>
        </is>
      </c>
      <c r="D591" s="46" t="inlineStr">
        <is>
          <t>₹ 0</t>
        </is>
      </c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</row>
    <row r="592" ht="16.5" customHeight="1" s="85">
      <c r="A592" s="46" t="inlineStr">
        <is>
          <t>Utsav</t>
        </is>
      </c>
      <c r="B592" s="46" t="n">
        <v>8806149933</v>
      </c>
      <c r="C592" s="46" t="inlineStr">
        <is>
          <t>Customer</t>
        </is>
      </c>
      <c r="D592" s="46" t="inlineStr">
        <is>
          <t>₹ 0</t>
        </is>
      </c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</row>
    <row r="593" ht="16.5" customHeight="1" s="85">
      <c r="A593" s="46" t="inlineStr">
        <is>
          <t>Antonio Dan</t>
        </is>
      </c>
      <c r="B593" s="46" t="n">
        <v>8808551808</v>
      </c>
      <c r="C593" s="46" t="inlineStr">
        <is>
          <t>Customer</t>
        </is>
      </c>
      <c r="D593" s="46" t="inlineStr">
        <is>
          <t>₹ 0</t>
        </is>
      </c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</row>
    <row r="594" ht="16.5" customHeight="1" s="85">
      <c r="A594" s="46" t="inlineStr">
        <is>
          <t>Sanju</t>
        </is>
      </c>
      <c r="B594" s="46" t="n">
        <v>8808806878</v>
      </c>
      <c r="C594" s="46" t="inlineStr">
        <is>
          <t>Customer</t>
        </is>
      </c>
      <c r="D594" s="46" t="inlineStr">
        <is>
          <t>₹ 0</t>
        </is>
      </c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</row>
    <row r="595" ht="16.5" customHeight="1" s="85">
      <c r="A595" s="46" t="inlineStr">
        <is>
          <t>Bablu ICT 2022</t>
        </is>
      </c>
      <c r="B595" s="46" t="n">
        <v>8810835340</v>
      </c>
      <c r="C595" s="46" t="inlineStr">
        <is>
          <t>Customer</t>
        </is>
      </c>
      <c r="D595" s="46" t="inlineStr">
        <is>
          <t>₹ 0</t>
        </is>
      </c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</row>
    <row r="596" ht="16.5" customHeight="1" s="85">
      <c r="A596" s="46" t="inlineStr">
        <is>
          <t>Arpita Ramdsrsh</t>
        </is>
      </c>
      <c r="B596" s="46" t="n">
        <v>8810912064</v>
      </c>
      <c r="C596" s="46" t="inlineStr">
        <is>
          <t>Customer</t>
        </is>
      </c>
      <c r="D596" s="46" t="inlineStr">
        <is>
          <t>₹ 0</t>
        </is>
      </c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</row>
    <row r="597" ht="16.5" customHeight="1" s="85">
      <c r="A597" s="46" t="inlineStr">
        <is>
          <t>Indal ICT 2022</t>
        </is>
      </c>
      <c r="B597" s="46" t="n">
        <v>8810913106</v>
      </c>
      <c r="C597" s="46" t="inlineStr">
        <is>
          <t>Customer</t>
        </is>
      </c>
      <c r="D597" s="46" t="inlineStr">
        <is>
          <t>₹ 0</t>
        </is>
      </c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</row>
    <row r="598" ht="16.5" customHeight="1" s="85">
      <c r="A598" s="46" t="inlineStr">
        <is>
          <t>Avdhesh</t>
        </is>
      </c>
      <c r="B598" s="46" t="n">
        <v>8828279095</v>
      </c>
      <c r="C598" s="46" t="inlineStr">
        <is>
          <t>Customer</t>
        </is>
      </c>
      <c r="D598" s="46" t="inlineStr">
        <is>
          <t>₹ 18,570</t>
        </is>
      </c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</row>
    <row r="599" ht="16.5" customHeight="1" s="85">
      <c r="A599" s="46" t="inlineStr">
        <is>
          <t>Jitender Mhrjgnj ICT 2021</t>
        </is>
      </c>
      <c r="B599" s="46" t="n">
        <v>8840114533</v>
      </c>
      <c r="C599" s="46" t="inlineStr">
        <is>
          <t>Customer</t>
        </is>
      </c>
      <c r="D599" s="46" t="inlineStr">
        <is>
          <t>₹ 0</t>
        </is>
      </c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</row>
    <row r="600" ht="16.5" customHeight="1" s="85">
      <c r="A600" s="46" t="inlineStr">
        <is>
          <t>Shanky</t>
        </is>
      </c>
      <c r="B600" s="46" t="n">
        <v>8840248402</v>
      </c>
      <c r="C600" s="46" t="inlineStr">
        <is>
          <t>Customer</t>
        </is>
      </c>
      <c r="D600" s="46" t="inlineStr">
        <is>
          <t>₹ 0</t>
        </is>
      </c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</row>
    <row r="601" ht="16.5" customHeight="1" s="85">
      <c r="A601" s="46" t="inlineStr">
        <is>
          <t>Jacika</t>
        </is>
      </c>
      <c r="B601" s="46" t="n">
        <v>8840269157</v>
      </c>
      <c r="C601" s="46" t="inlineStr">
        <is>
          <t>Customer</t>
        </is>
      </c>
      <c r="D601" s="46" t="inlineStr">
        <is>
          <t>₹ 0</t>
        </is>
      </c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</row>
    <row r="602" ht="16.5" customHeight="1" s="85">
      <c r="A602" s="46" t="inlineStr">
        <is>
          <t>Sahil</t>
        </is>
      </c>
      <c r="B602" s="46" t="n">
        <v>8840387592</v>
      </c>
      <c r="C602" s="46" t="inlineStr">
        <is>
          <t>Customer</t>
        </is>
      </c>
      <c r="D602" s="46" t="inlineStr">
        <is>
          <t>₹ 0</t>
        </is>
      </c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</row>
    <row r="603" ht="16.5" customHeight="1" s="85">
      <c r="A603" s="46" t="inlineStr">
        <is>
          <t>Kamlesh Kumar</t>
        </is>
      </c>
      <c r="B603" s="46" t="n">
        <v>8840480434</v>
      </c>
      <c r="C603" s="46" t="inlineStr">
        <is>
          <t>Customer</t>
        </is>
      </c>
      <c r="D603" s="46" t="inlineStr">
        <is>
          <t>₹ 0</t>
        </is>
      </c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</row>
    <row r="604" ht="16.5" customHeight="1" s="85">
      <c r="A604" s="46" t="inlineStr">
        <is>
          <t>Sandeep</t>
        </is>
      </c>
      <c r="B604" s="46" t="n">
        <v>8840809070</v>
      </c>
      <c r="C604" s="46" t="inlineStr">
        <is>
          <t>Customer</t>
        </is>
      </c>
      <c r="D604" s="46" t="inlineStr">
        <is>
          <t>₹ 0</t>
        </is>
      </c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</row>
    <row r="605" ht="16.5" customHeight="1" s="85">
      <c r="A605" s="46" t="inlineStr">
        <is>
          <t>Anumol Saji</t>
        </is>
      </c>
      <c r="B605" s="46" t="n">
        <v>8840826594</v>
      </c>
      <c r="C605" s="46" t="inlineStr">
        <is>
          <t>Customer</t>
        </is>
      </c>
      <c r="D605" s="46" t="inlineStr">
        <is>
          <t>₹ 0</t>
        </is>
      </c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</row>
    <row r="606" ht="16.5" customHeight="1" s="85">
      <c r="A606" s="46" t="inlineStr">
        <is>
          <t>Dilip</t>
        </is>
      </c>
      <c r="B606" s="46" t="n">
        <v>8841611152</v>
      </c>
      <c r="C606" s="46" t="inlineStr">
        <is>
          <t>Customer</t>
        </is>
      </c>
      <c r="D606" s="46" t="inlineStr">
        <is>
          <t>₹ 0</t>
        </is>
      </c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</row>
    <row r="607" ht="16.5" customHeight="1" s="85">
      <c r="A607" s="46" t="inlineStr">
        <is>
          <t>Jinesh ET</t>
        </is>
      </c>
      <c r="B607" s="46" t="n">
        <v>8848041130</v>
      </c>
      <c r="C607" s="46" t="inlineStr">
        <is>
          <t>Customer</t>
        </is>
      </c>
      <c r="D607" s="46" t="inlineStr">
        <is>
          <t>₹ 0</t>
        </is>
      </c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</row>
    <row r="608" ht="16.5" customHeight="1" s="85">
      <c r="A608" s="46" t="inlineStr">
        <is>
          <t>Dhaniya</t>
        </is>
      </c>
      <c r="B608" s="46" t="n">
        <v>8848467745</v>
      </c>
      <c r="C608" s="46" t="inlineStr">
        <is>
          <t>Customer</t>
        </is>
      </c>
      <c r="D608" s="46" t="inlineStr">
        <is>
          <t>₹ 0</t>
        </is>
      </c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</row>
    <row r="609" ht="16.5" customHeight="1" s="85">
      <c r="A609" s="46" t="inlineStr">
        <is>
          <t>Unnikrishna</t>
        </is>
      </c>
      <c r="B609" s="46" t="n">
        <v>8848537192</v>
      </c>
      <c r="C609" s="46" t="inlineStr">
        <is>
          <t>Customer</t>
        </is>
      </c>
      <c r="D609" s="46" t="inlineStr">
        <is>
          <t>₹ 0</t>
        </is>
      </c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</row>
    <row r="610" ht="16.5" customHeight="1" s="85">
      <c r="A610" s="46" t="inlineStr">
        <is>
          <t>Richard</t>
        </is>
      </c>
      <c r="B610" s="46" t="n">
        <v>8848577032</v>
      </c>
      <c r="C610" s="46" t="inlineStr">
        <is>
          <t>Customer</t>
        </is>
      </c>
      <c r="D610" s="46" t="inlineStr">
        <is>
          <t>₹ 0</t>
        </is>
      </c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</row>
    <row r="611" ht="16.5" customHeight="1" s="85">
      <c r="A611" s="46" t="inlineStr">
        <is>
          <t>Fr. Bibin, Khorabar</t>
        </is>
      </c>
      <c r="B611" s="46" t="n">
        <v>8848626429</v>
      </c>
      <c r="C611" s="46" t="inlineStr">
        <is>
          <t>Customer</t>
        </is>
      </c>
      <c r="D611" s="46" t="inlineStr">
        <is>
          <t>₹ 0</t>
        </is>
      </c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</row>
    <row r="612" ht="16.5" customHeight="1" s="85">
      <c r="A612" s="46" t="inlineStr">
        <is>
          <t>Ragesh Maharajganj</t>
        </is>
      </c>
      <c r="B612" s="46" t="n">
        <v>8848835813</v>
      </c>
      <c r="C612" s="46" t="inlineStr">
        <is>
          <t>Customer</t>
        </is>
      </c>
      <c r="D612" s="46" t="inlineStr">
        <is>
          <t>₹ 0</t>
        </is>
      </c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</row>
    <row r="613" ht="16.5" customHeight="1" s="85">
      <c r="A613" s="46" t="inlineStr">
        <is>
          <t>Aslam</t>
        </is>
      </c>
      <c r="B613" s="46" t="n">
        <v>8848858706</v>
      </c>
      <c r="C613" s="46" t="inlineStr">
        <is>
          <t>Customer</t>
        </is>
      </c>
      <c r="D613" s="46" t="inlineStr">
        <is>
          <t>₹ 0</t>
        </is>
      </c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</row>
    <row r="614" ht="16.5" customHeight="1" s="85">
      <c r="A614" s="46" t="inlineStr">
        <is>
          <t>Arun Kumar</t>
        </is>
      </c>
      <c r="B614" s="46" t="n">
        <v>8848906957</v>
      </c>
      <c r="C614" s="46" t="inlineStr">
        <is>
          <t>Customer</t>
        </is>
      </c>
      <c r="D614" s="46" t="inlineStr">
        <is>
          <t>₹ 0</t>
        </is>
      </c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</row>
    <row r="615" ht="16.5" customHeight="1" s="85">
      <c r="A615" s="46" t="inlineStr">
        <is>
          <t>Mudit</t>
        </is>
      </c>
      <c r="B615" s="46" t="n">
        <v>8853013699</v>
      </c>
      <c r="C615" s="46" t="inlineStr">
        <is>
          <t>Customer</t>
        </is>
      </c>
      <c r="D615" s="46" t="inlineStr">
        <is>
          <t>₹ 0</t>
        </is>
      </c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</row>
    <row r="616" ht="16.5" customHeight="1" s="85">
      <c r="A616" s="46" t="inlineStr">
        <is>
          <t>Markandey</t>
        </is>
      </c>
      <c r="B616" s="46" t="n">
        <v>8853043407</v>
      </c>
      <c r="C616" s="46" t="inlineStr">
        <is>
          <t>Customer</t>
        </is>
      </c>
      <c r="D616" s="46" t="inlineStr">
        <is>
          <t>₹ 0</t>
        </is>
      </c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</row>
    <row r="617" ht="16.5" customHeight="1" s="85">
      <c r="A617" s="46" t="inlineStr">
        <is>
          <t>Arushi</t>
        </is>
      </c>
      <c r="B617" s="46" t="n">
        <v>8853116060</v>
      </c>
      <c r="C617" s="46" t="inlineStr">
        <is>
          <t>Customer</t>
        </is>
      </c>
      <c r="D617" s="46" t="inlineStr">
        <is>
          <t>₹ 0</t>
        </is>
      </c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</row>
    <row r="618" ht="16.5" customHeight="1" s="85">
      <c r="A618" s="46" t="inlineStr">
        <is>
          <t>Sonali</t>
        </is>
      </c>
      <c r="B618" s="46" t="n">
        <v>8853298114</v>
      </c>
      <c r="C618" s="46" t="inlineStr">
        <is>
          <t>Customer</t>
        </is>
      </c>
      <c r="D618" s="46" t="inlineStr">
        <is>
          <t>₹ 0</t>
        </is>
      </c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</row>
    <row r="619" ht="16.5" customHeight="1" s="85">
      <c r="A619" s="46" t="inlineStr">
        <is>
          <t>St Thomas School</t>
        </is>
      </c>
      <c r="B619" s="46" t="n">
        <v>8853337618</v>
      </c>
      <c r="C619" s="46" t="inlineStr">
        <is>
          <t>Customer</t>
        </is>
      </c>
      <c r="D619" s="46" t="inlineStr">
        <is>
          <t>₹ 0</t>
        </is>
      </c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</row>
    <row r="620" ht="16.5" customHeight="1" s="85">
      <c r="A620" s="46" t="inlineStr">
        <is>
          <t>Little Flower Convent</t>
        </is>
      </c>
      <c r="B620" s="46" t="n">
        <v>8853422727</v>
      </c>
      <c r="C620" s="46" t="inlineStr">
        <is>
          <t>Customer</t>
        </is>
      </c>
      <c r="D620" s="46" t="inlineStr">
        <is>
          <t>₹ 0</t>
        </is>
      </c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</row>
    <row r="621" ht="16.5" customHeight="1" s="85">
      <c r="A621" s="46" t="inlineStr">
        <is>
          <t>Lst Convent</t>
        </is>
      </c>
      <c r="B621" s="46" t="n">
        <v>8853422728</v>
      </c>
      <c r="C621" s="46" t="inlineStr">
        <is>
          <t>Customer</t>
        </is>
      </c>
      <c r="D621" s="46" t="inlineStr">
        <is>
          <t>₹ 0</t>
        </is>
      </c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</row>
    <row r="622" ht="16.5" customHeight="1" s="85">
      <c r="A622" s="46" t="inlineStr">
        <is>
          <t>Ashish</t>
        </is>
      </c>
      <c r="B622" s="46" t="n">
        <v>8853576440</v>
      </c>
      <c r="C622" s="46" t="inlineStr">
        <is>
          <t>Customer</t>
        </is>
      </c>
      <c r="D622" s="46" t="inlineStr">
        <is>
          <t>₹ 0</t>
        </is>
      </c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</row>
    <row r="623" ht="16.5" customHeight="1" s="85">
      <c r="A623" s="46" t="inlineStr">
        <is>
          <t>Sasi Prakash</t>
        </is>
      </c>
      <c r="B623" s="46" t="n">
        <v>8858214741</v>
      </c>
      <c r="C623" s="46" t="inlineStr">
        <is>
          <t>Customer</t>
        </is>
      </c>
      <c r="D623" s="46" t="inlineStr">
        <is>
          <t>₹ 0</t>
        </is>
      </c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</row>
    <row r="624" ht="16.5" customHeight="1" s="85">
      <c r="A624" s="46" t="inlineStr">
        <is>
          <t>Abhijith S/o Opg</t>
        </is>
      </c>
      <c r="B624" s="46" t="n">
        <v>8858617141</v>
      </c>
      <c r="C624" s="46" t="inlineStr">
        <is>
          <t>Customer</t>
        </is>
      </c>
      <c r="D624" s="46" t="inlineStr">
        <is>
          <t>₹ 0</t>
        </is>
      </c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</row>
    <row r="625" ht="16.5" customHeight="1" s="85">
      <c r="A625" s="46" t="inlineStr">
        <is>
          <t>Smi Gorakhpur</t>
        </is>
      </c>
      <c r="B625" s="46" t="n">
        <v>8858650063</v>
      </c>
      <c r="C625" s="46" t="inlineStr">
        <is>
          <t>Customer</t>
        </is>
      </c>
      <c r="D625" s="46" t="inlineStr">
        <is>
          <t>₹ 0</t>
        </is>
      </c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</row>
    <row r="626" ht="16.5" customHeight="1" s="85">
      <c r="A626" s="46" t="inlineStr">
        <is>
          <t>Das M.Narayen</t>
        </is>
      </c>
      <c r="B626" s="46" t="n">
        <v>8858807265</v>
      </c>
      <c r="C626" s="46" t="inlineStr">
        <is>
          <t>Customer</t>
        </is>
      </c>
      <c r="D626" s="46" t="inlineStr">
        <is>
          <t>₹ 0</t>
        </is>
      </c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</row>
    <row r="627" ht="16.5" customHeight="1" s="85">
      <c r="A627" s="46" t="inlineStr">
        <is>
          <t>Sarvan Kumar</t>
        </is>
      </c>
      <c r="B627" s="46" t="n">
        <v>8858926615</v>
      </c>
      <c r="C627" s="46" t="inlineStr">
        <is>
          <t>Customer</t>
        </is>
      </c>
      <c r="D627" s="46" t="inlineStr">
        <is>
          <t>₹ 0</t>
        </is>
      </c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</row>
    <row r="628" ht="16.5" customHeight="1" s="85">
      <c r="A628" s="46" t="inlineStr">
        <is>
          <t>Indrajeet</t>
        </is>
      </c>
      <c r="B628" s="46" t="n">
        <v>8867077630</v>
      </c>
      <c r="C628" s="46" t="inlineStr">
        <is>
          <t>Customer</t>
        </is>
      </c>
      <c r="D628" s="46" t="inlineStr">
        <is>
          <t>₹ 0</t>
        </is>
      </c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</row>
    <row r="629" ht="16.5" customHeight="1" s="85">
      <c r="A629" s="46" t="inlineStr">
        <is>
          <t>Pramod Yadav</t>
        </is>
      </c>
      <c r="B629" s="46" t="n">
        <v>8867165220</v>
      </c>
      <c r="C629" s="46" t="inlineStr">
        <is>
          <t>Customer</t>
        </is>
      </c>
      <c r="D629" s="46" t="inlineStr">
        <is>
          <t>₹ 0</t>
        </is>
      </c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</row>
    <row r="630" ht="16.5" customHeight="1" s="85">
      <c r="A630" s="46" t="inlineStr">
        <is>
          <t>Santosh Barhaj</t>
        </is>
      </c>
      <c r="B630" s="46" t="n">
        <v>8874153775</v>
      </c>
      <c r="C630" s="46" t="inlineStr">
        <is>
          <t>Customer</t>
        </is>
      </c>
      <c r="D630" s="46" t="inlineStr">
        <is>
          <t>₹ 0</t>
        </is>
      </c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</row>
    <row r="631" ht="16.5" customHeight="1" s="85">
      <c r="A631" s="46" t="inlineStr">
        <is>
          <t>Deepu</t>
        </is>
      </c>
      <c r="B631" s="46" t="n">
        <v>8874333765</v>
      </c>
      <c r="C631" s="46" t="inlineStr">
        <is>
          <t>Customer</t>
        </is>
      </c>
      <c r="D631" s="46" t="inlineStr">
        <is>
          <t>₹ 0</t>
        </is>
      </c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</row>
    <row r="632" ht="16.5" customHeight="1" s="85">
      <c r="A632" s="46" t="inlineStr">
        <is>
          <t>Fr.Mathew</t>
        </is>
      </c>
      <c r="B632" s="46" t="n">
        <v>8874808450</v>
      </c>
      <c r="C632" s="46" t="inlineStr">
        <is>
          <t>Customer</t>
        </is>
      </c>
      <c r="D632" s="46" t="inlineStr">
        <is>
          <t>₹ 0</t>
        </is>
      </c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</row>
    <row r="633" ht="16.5" customHeight="1" s="85">
      <c r="A633" s="46" t="inlineStr">
        <is>
          <t>Fr. Bipin</t>
        </is>
      </c>
      <c r="B633" s="46" t="n">
        <v>8877538008</v>
      </c>
      <c r="C633" s="46" t="inlineStr">
        <is>
          <t>Customer</t>
        </is>
      </c>
      <c r="D633" s="46" t="inlineStr">
        <is>
          <t>₹ 0</t>
        </is>
      </c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</row>
    <row r="634" ht="16.5" customHeight="1" s="85">
      <c r="A634" s="46" t="inlineStr">
        <is>
          <t>Pius Jose, Siddharth Nagar Malayali</t>
        </is>
      </c>
      <c r="B634" s="46" t="n">
        <v>8881147698</v>
      </c>
      <c r="C634" s="46" t="inlineStr">
        <is>
          <t>Customer</t>
        </is>
      </c>
      <c r="D634" s="46" t="inlineStr">
        <is>
          <t>₹ 0</t>
        </is>
      </c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</row>
    <row r="635" ht="16.5" customHeight="1" s="85">
      <c r="A635" s="46" t="inlineStr">
        <is>
          <t>Jitin</t>
        </is>
      </c>
      <c r="B635" s="46" t="n">
        <v>8881694206</v>
      </c>
      <c r="C635" s="46" t="inlineStr">
        <is>
          <t>Customer</t>
        </is>
      </c>
      <c r="D635" s="46" t="inlineStr">
        <is>
          <t>₹ 0</t>
        </is>
      </c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</row>
    <row r="636" ht="16.5" customHeight="1" s="85">
      <c r="A636" s="46" t="inlineStr">
        <is>
          <t>Ekla</t>
        </is>
      </c>
      <c r="B636" s="46" t="n">
        <v>8882632096</v>
      </c>
      <c r="C636" s="46" t="inlineStr">
        <is>
          <t>Customer</t>
        </is>
      </c>
      <c r="D636" s="46" t="inlineStr">
        <is>
          <t>₹ 0</t>
        </is>
      </c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</row>
    <row r="637" ht="16.5" customHeight="1" s="85">
      <c r="A637" s="46" t="inlineStr">
        <is>
          <t>Dr.Gouri</t>
        </is>
      </c>
      <c r="B637" s="46" t="n">
        <v>8884661993</v>
      </c>
      <c r="C637" s="46" t="inlineStr">
        <is>
          <t>Customer</t>
        </is>
      </c>
      <c r="D637" s="46" t="inlineStr">
        <is>
          <t>₹ 0</t>
        </is>
      </c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</row>
    <row r="638" ht="16.5" customHeight="1" s="85">
      <c r="A638" s="46" t="inlineStr">
        <is>
          <t>Babeesh</t>
        </is>
      </c>
      <c r="B638" s="46" t="n">
        <v>8887522286</v>
      </c>
      <c r="C638" s="46" t="inlineStr">
        <is>
          <t>Customer</t>
        </is>
      </c>
      <c r="D638" s="46" t="inlineStr">
        <is>
          <t>₹ 0</t>
        </is>
      </c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</row>
    <row r="639" ht="16.5" customHeight="1" s="85">
      <c r="A639" s="46" t="inlineStr">
        <is>
          <t>Arpana</t>
        </is>
      </c>
      <c r="B639" s="46" t="n">
        <v>8887606722</v>
      </c>
      <c r="C639" s="46" t="inlineStr">
        <is>
          <t>Customer</t>
        </is>
      </c>
      <c r="D639" s="46" t="inlineStr">
        <is>
          <t>₹ 0</t>
        </is>
      </c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</row>
    <row r="640" ht="16.5" customHeight="1" s="85">
      <c r="A640" s="46" t="inlineStr">
        <is>
          <t>Dharmveer</t>
        </is>
      </c>
      <c r="B640" s="46" t="n">
        <v>8887629751</v>
      </c>
      <c r="C640" s="46" t="inlineStr">
        <is>
          <t>Customer</t>
        </is>
      </c>
      <c r="D640" s="46" t="inlineStr">
        <is>
          <t>₹ 0</t>
        </is>
      </c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</row>
    <row r="641" ht="16.5" customHeight="1" s="85">
      <c r="A641" s="46" t="inlineStr">
        <is>
          <t>Stephy</t>
        </is>
      </c>
      <c r="B641" s="46" t="n">
        <v>8887765606</v>
      </c>
      <c r="C641" s="46" t="inlineStr">
        <is>
          <t>Customer</t>
        </is>
      </c>
      <c r="D641" s="46" t="inlineStr">
        <is>
          <t>₹ 0</t>
        </is>
      </c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</row>
    <row r="642" ht="16.5" customHeight="1" s="85">
      <c r="A642" s="46" t="inlineStr">
        <is>
          <t>Amita</t>
        </is>
      </c>
      <c r="B642" s="46" t="n">
        <v>8887858318</v>
      </c>
      <c r="C642" s="46" t="inlineStr">
        <is>
          <t>Customer</t>
        </is>
      </c>
      <c r="D642" s="46" t="inlineStr">
        <is>
          <t>₹ 0</t>
        </is>
      </c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</row>
    <row r="643" ht="16.5" customHeight="1" s="85">
      <c r="A643" s="46" t="inlineStr">
        <is>
          <t>Santosh Jabalpur books</t>
        </is>
      </c>
      <c r="B643" s="46" t="n">
        <v>8887942056</v>
      </c>
      <c r="C643" s="46" t="inlineStr">
        <is>
          <t>Supplier</t>
        </is>
      </c>
      <c r="D643" s="46" t="inlineStr">
        <is>
          <t>₹ 0</t>
        </is>
      </c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</row>
    <row r="644" ht="16.5" customHeight="1" s="85">
      <c r="A644" s="46" t="inlineStr">
        <is>
          <t>Anthoni</t>
        </is>
      </c>
      <c r="B644" s="46" t="n">
        <v>8887998299</v>
      </c>
      <c r="C644" s="46" t="inlineStr">
        <is>
          <t>Customer</t>
        </is>
      </c>
      <c r="D644" s="46" t="inlineStr">
        <is>
          <t>₹ 0</t>
        </is>
      </c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</row>
    <row r="645" ht="16.5" customHeight="1" s="85">
      <c r="A645" s="46" t="inlineStr">
        <is>
          <t>Ajit</t>
        </is>
      </c>
      <c r="B645" s="46" t="n">
        <v>8893070001</v>
      </c>
      <c r="C645" s="46" t="inlineStr">
        <is>
          <t>Customer</t>
        </is>
      </c>
      <c r="D645" s="46" t="inlineStr">
        <is>
          <t>₹ 0</t>
        </is>
      </c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</row>
    <row r="646" ht="16.5" customHeight="1" s="85">
      <c r="A646" s="46" t="inlineStr">
        <is>
          <t>Vinu</t>
        </is>
      </c>
      <c r="B646" s="46" t="n">
        <v>8895430297</v>
      </c>
      <c r="C646" s="46" t="inlineStr">
        <is>
          <t>Customer</t>
        </is>
      </c>
      <c r="D646" s="46" t="inlineStr">
        <is>
          <t>₹ 0</t>
        </is>
      </c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</row>
    <row r="647" ht="16.5" customHeight="1" s="85">
      <c r="A647" s="46" t="inlineStr">
        <is>
          <t>Deepika Singh</t>
        </is>
      </c>
      <c r="B647" s="46" t="n">
        <v>8896041483</v>
      </c>
      <c r="C647" s="46" t="inlineStr">
        <is>
          <t>Customer</t>
        </is>
      </c>
      <c r="D647" s="46" t="inlineStr">
        <is>
          <t>₹ 0</t>
        </is>
      </c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</row>
    <row r="648" ht="16.5" customHeight="1" s="85">
      <c r="A648" s="46" t="inlineStr">
        <is>
          <t>Minson</t>
        </is>
      </c>
      <c r="B648" s="46" t="n">
        <v>8896053494</v>
      </c>
      <c r="C648" s="46" t="inlineStr">
        <is>
          <t>Customer</t>
        </is>
      </c>
      <c r="D648" s="46" t="inlineStr">
        <is>
          <t>₹ 0</t>
        </is>
      </c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</row>
    <row r="649" ht="16.5" customHeight="1" s="85">
      <c r="A649" s="46" t="inlineStr">
        <is>
          <t>Jinesh Jk</t>
        </is>
      </c>
      <c r="B649" s="46" t="n">
        <v>8896385021</v>
      </c>
      <c r="C649" s="46" t="inlineStr">
        <is>
          <t>Customer</t>
        </is>
      </c>
      <c r="D649" s="46" t="inlineStr">
        <is>
          <t>₹ 0</t>
        </is>
      </c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</row>
    <row r="650" ht="16.5" customHeight="1" s="85">
      <c r="A650" s="46" t="inlineStr">
        <is>
          <t>Raja Vishvkarma</t>
        </is>
      </c>
      <c r="B650" s="46" t="n">
        <v>8896445549</v>
      </c>
      <c r="C650" s="46" t="inlineStr">
        <is>
          <t>Customer</t>
        </is>
      </c>
      <c r="D650" s="46" t="inlineStr">
        <is>
          <t>₹ 0</t>
        </is>
      </c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</row>
    <row r="651" ht="16.5" customHeight="1" s="85">
      <c r="A651" s="46" t="inlineStr">
        <is>
          <t>Ashana</t>
        </is>
      </c>
      <c r="B651" s="46" t="n">
        <v>8896606385</v>
      </c>
      <c r="C651" s="46" t="inlineStr">
        <is>
          <t>Customer</t>
        </is>
      </c>
      <c r="D651" s="46" t="inlineStr">
        <is>
          <t>₹ 0</t>
        </is>
      </c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</row>
    <row r="652" ht="16.5" customHeight="1" s="85">
      <c r="A652" s="46" t="inlineStr">
        <is>
          <t>Sanjeev John ABC</t>
        </is>
      </c>
      <c r="B652" s="46" t="n">
        <v>8896714033</v>
      </c>
      <c r="C652" s="46" t="inlineStr">
        <is>
          <t>Customer</t>
        </is>
      </c>
      <c r="D652" s="46" t="inlineStr">
        <is>
          <t>₹ 0</t>
        </is>
      </c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</row>
    <row r="653" ht="16.5" customHeight="1" s="85">
      <c r="A653" s="46" t="inlineStr">
        <is>
          <t>Jyoti</t>
        </is>
      </c>
      <c r="B653" s="46" t="n">
        <v>8897393228</v>
      </c>
      <c r="C653" s="46" t="inlineStr">
        <is>
          <t>Customer</t>
        </is>
      </c>
      <c r="D653" s="46" t="inlineStr">
        <is>
          <t>₹ 0</t>
        </is>
      </c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</row>
    <row r="654" ht="16.5" customHeight="1" s="85">
      <c r="A654" s="46" t="inlineStr">
        <is>
          <t>Vishnu Sajeevan</t>
        </is>
      </c>
      <c r="B654" s="46" t="n">
        <v>8907040608</v>
      </c>
      <c r="C654" s="46" t="inlineStr">
        <is>
          <t>Customer</t>
        </is>
      </c>
      <c r="D654" s="46" t="inlineStr">
        <is>
          <t>₹ 0</t>
        </is>
      </c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</row>
    <row r="655" ht="16.5" customHeight="1" s="85">
      <c r="A655" s="46" t="inlineStr">
        <is>
          <t>Jijo</t>
        </is>
      </c>
      <c r="B655" s="46" t="n">
        <v>8907856263</v>
      </c>
      <c r="C655" s="46" t="inlineStr">
        <is>
          <t>Customer</t>
        </is>
      </c>
      <c r="D655" s="46" t="inlineStr">
        <is>
          <t>₹ 0</t>
        </is>
      </c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</row>
    <row r="656" ht="16.5" customHeight="1" s="85">
      <c r="A656" s="46" t="inlineStr">
        <is>
          <t>Ajay Dumri</t>
        </is>
      </c>
      <c r="B656" s="46" t="n">
        <v>8917804592</v>
      </c>
      <c r="C656" s="46" t="inlineStr">
        <is>
          <t>Customer</t>
        </is>
      </c>
      <c r="D656" s="46" t="inlineStr">
        <is>
          <t>₹ 0</t>
        </is>
      </c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</row>
    <row r="657" ht="16.5" customHeight="1" s="85">
      <c r="A657" s="46" t="inlineStr">
        <is>
          <t>Santosh</t>
        </is>
      </c>
      <c r="B657" s="46" t="n">
        <v>8919835091</v>
      </c>
      <c r="C657" s="46" t="inlineStr">
        <is>
          <t>Customer</t>
        </is>
      </c>
      <c r="D657" s="46" t="inlineStr">
        <is>
          <t>₹ 0</t>
        </is>
      </c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</row>
    <row r="658" ht="16.5" customHeight="1" s="85">
      <c r="A658" s="46" t="inlineStr">
        <is>
          <t>Smita</t>
        </is>
      </c>
      <c r="B658" s="46" t="n">
        <v>8921094354</v>
      </c>
      <c r="C658" s="46" t="inlineStr">
        <is>
          <t>Customer</t>
        </is>
      </c>
      <c r="D658" s="46" t="inlineStr">
        <is>
          <t>₹ 0</t>
        </is>
      </c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</row>
    <row r="659" ht="16.5" customHeight="1" s="85">
      <c r="A659" s="46" t="inlineStr">
        <is>
          <t>Mufeed</t>
        </is>
      </c>
      <c r="B659" s="46" t="n">
        <v>8921216577</v>
      </c>
      <c r="C659" s="46" t="inlineStr">
        <is>
          <t>Customer</t>
        </is>
      </c>
      <c r="D659" s="46" t="inlineStr">
        <is>
          <t>₹ 0</t>
        </is>
      </c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</row>
    <row r="660" ht="16.5" customHeight="1" s="85">
      <c r="A660" s="46" t="inlineStr">
        <is>
          <t>Prince</t>
        </is>
      </c>
      <c r="B660" s="46" t="n">
        <v>8921602248</v>
      </c>
      <c r="C660" s="46" t="inlineStr">
        <is>
          <t>Customer</t>
        </is>
      </c>
      <c r="D660" s="46" t="inlineStr">
        <is>
          <t>₹ 0</t>
        </is>
      </c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</row>
    <row r="661" ht="16.5" customHeight="1" s="85">
      <c r="A661" s="46" t="inlineStr">
        <is>
          <t>Beny Mathew</t>
        </is>
      </c>
      <c r="B661" s="46" t="n">
        <v>8921751740</v>
      </c>
      <c r="C661" s="46" t="inlineStr">
        <is>
          <t>Customer</t>
        </is>
      </c>
      <c r="D661" s="46" t="inlineStr">
        <is>
          <t>₹ 0</t>
        </is>
      </c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</row>
    <row r="662" ht="16.5" customHeight="1" s="85">
      <c r="A662" s="46" t="inlineStr">
        <is>
          <t>Sarath</t>
        </is>
      </c>
      <c r="B662" s="46" t="n">
        <v>8921823535</v>
      </c>
      <c r="C662" s="46" t="inlineStr">
        <is>
          <t>Customer</t>
        </is>
      </c>
      <c r="D662" s="46" t="inlineStr">
        <is>
          <t>₹ 0</t>
        </is>
      </c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</row>
    <row r="663" ht="16.5" customHeight="1" s="85">
      <c r="A663" s="46" t="inlineStr">
        <is>
          <t>Sandeep</t>
        </is>
      </c>
      <c r="B663" s="46" t="n">
        <v>8921939686</v>
      </c>
      <c r="C663" s="46" t="inlineStr">
        <is>
          <t>Customer</t>
        </is>
      </c>
      <c r="D663" s="46" t="inlineStr">
        <is>
          <t>₹ 0</t>
        </is>
      </c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</row>
    <row r="664" ht="16.5" customHeight="1" s="85">
      <c r="A664" s="46" t="inlineStr">
        <is>
          <t>Krishna Airforce</t>
        </is>
      </c>
      <c r="B664" s="46" t="n">
        <v>8921997727</v>
      </c>
      <c r="C664" s="46" t="inlineStr">
        <is>
          <t>Customer</t>
        </is>
      </c>
      <c r="D664" s="46" t="inlineStr">
        <is>
          <t>₹ 0</t>
        </is>
      </c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</row>
    <row r="665" ht="16.5" customHeight="1" s="85">
      <c r="A665" s="46" t="inlineStr">
        <is>
          <t>Narendra Kumar Malayali Shope</t>
        </is>
      </c>
      <c r="B665" s="46" t="n">
        <v>8924039018</v>
      </c>
      <c r="C665" s="46" t="inlineStr">
        <is>
          <t>Customer</t>
        </is>
      </c>
      <c r="D665" s="46" t="inlineStr">
        <is>
          <t>₹ 0</t>
        </is>
      </c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</row>
    <row r="666" ht="16.5" customHeight="1" s="85">
      <c r="A666" s="46" t="inlineStr">
        <is>
          <t>Raja</t>
        </is>
      </c>
      <c r="B666" s="46" t="n">
        <v>8931094620</v>
      </c>
      <c r="C666" s="46" t="inlineStr">
        <is>
          <t>Customer</t>
        </is>
      </c>
      <c r="D666" s="46" t="inlineStr">
        <is>
          <t>₹ 0</t>
        </is>
      </c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</row>
    <row r="667" ht="16.5" customHeight="1" s="85">
      <c r="A667" s="46" t="inlineStr">
        <is>
          <t>Pr. Sheshmani</t>
        </is>
      </c>
      <c r="B667" s="46" t="n">
        <v>8931980619</v>
      </c>
      <c r="C667" s="46" t="inlineStr">
        <is>
          <t>Customer</t>
        </is>
      </c>
      <c r="D667" s="46" t="inlineStr">
        <is>
          <t>₹ 0</t>
        </is>
      </c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</row>
    <row r="668" ht="16.5" customHeight="1" s="85">
      <c r="A668" s="46" t="inlineStr">
        <is>
          <t>Lav Singh</t>
        </is>
      </c>
      <c r="B668" s="46" t="n">
        <v>8932901665</v>
      </c>
      <c r="C668" s="46" t="inlineStr">
        <is>
          <t>Customer</t>
        </is>
      </c>
      <c r="D668" s="46" t="inlineStr">
        <is>
          <t>₹ 0</t>
        </is>
      </c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</row>
    <row r="669" ht="16.5" customHeight="1" s="85">
      <c r="A669" s="46" t="inlineStr">
        <is>
          <t>Rahul Biriyani 2021</t>
        </is>
      </c>
      <c r="B669" s="46" t="n">
        <v>8933882104</v>
      </c>
      <c r="C669" s="46" t="inlineStr">
        <is>
          <t>Customer</t>
        </is>
      </c>
      <c r="D669" s="46" t="inlineStr">
        <is>
          <t>₹ 0</t>
        </is>
      </c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</row>
    <row r="670" ht="16.5" customHeight="1" s="85">
      <c r="A670" s="46" t="inlineStr">
        <is>
          <t>Ajita</t>
        </is>
      </c>
      <c r="B670" s="46" t="n">
        <v>8934947165</v>
      </c>
      <c r="C670" s="46" t="inlineStr">
        <is>
          <t>Customer</t>
        </is>
      </c>
      <c r="D670" s="46" t="inlineStr">
        <is>
          <t>₹ 0</t>
        </is>
      </c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</row>
    <row r="671" ht="16.5" customHeight="1" s="85">
      <c r="A671" s="46" t="inlineStr">
        <is>
          <t>Antony Samy</t>
        </is>
      </c>
      <c r="B671" s="46" t="n">
        <v>8940803390</v>
      </c>
      <c r="C671" s="46" t="inlineStr">
        <is>
          <t>Customer</t>
        </is>
      </c>
      <c r="D671" s="46" t="inlineStr">
        <is>
          <t>₹ 0</t>
        </is>
      </c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</row>
    <row r="672" ht="16.5" customHeight="1" s="85">
      <c r="A672" s="46" t="inlineStr">
        <is>
          <t>Shan Baby</t>
        </is>
      </c>
      <c r="B672" s="46" t="n">
        <v>8943060095</v>
      </c>
      <c r="C672" s="46" t="inlineStr">
        <is>
          <t>Customer</t>
        </is>
      </c>
      <c r="D672" s="46" t="inlineStr">
        <is>
          <t>₹ 0</t>
        </is>
      </c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</row>
    <row r="673" ht="16.5" customHeight="1" s="85">
      <c r="A673" s="46" t="inlineStr">
        <is>
          <t>Amal</t>
        </is>
      </c>
      <c r="B673" s="46" t="n">
        <v>8943114687</v>
      </c>
      <c r="C673" s="46" t="inlineStr">
        <is>
          <t>Customer</t>
        </is>
      </c>
      <c r="D673" s="46" t="inlineStr">
        <is>
          <t>₹ 0</t>
        </is>
      </c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</row>
    <row r="674" ht="16.5" customHeight="1" s="85">
      <c r="A674" s="46" t="inlineStr">
        <is>
          <t>Sree Charn</t>
        </is>
      </c>
      <c r="B674" s="46" t="n">
        <v>8943262054</v>
      </c>
      <c r="C674" s="46" t="inlineStr">
        <is>
          <t>Customer</t>
        </is>
      </c>
      <c r="D674" s="46" t="inlineStr">
        <is>
          <t>₹ 0</t>
        </is>
      </c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</row>
    <row r="675" ht="16.5" customHeight="1" s="85">
      <c r="A675" s="46" t="inlineStr">
        <is>
          <t>Jay Kumar</t>
        </is>
      </c>
      <c r="B675" s="46" t="n">
        <v>8943302220</v>
      </c>
      <c r="C675" s="46" t="inlineStr">
        <is>
          <t>Customer</t>
        </is>
      </c>
      <c r="D675" s="46" t="inlineStr">
        <is>
          <t>₹ 0</t>
        </is>
      </c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</row>
    <row r="676" ht="16.5" customHeight="1" s="85">
      <c r="A676" s="46" t="inlineStr">
        <is>
          <t>Jomish</t>
        </is>
      </c>
      <c r="B676" s="46" t="n">
        <v>8943523318</v>
      </c>
      <c r="C676" s="46" t="inlineStr">
        <is>
          <t>Customer</t>
        </is>
      </c>
      <c r="D676" s="46" t="inlineStr">
        <is>
          <t>₹ 0</t>
        </is>
      </c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</row>
    <row r="677" ht="16.5" customHeight="1" s="85">
      <c r="A677" s="46" t="inlineStr">
        <is>
          <t>Manoj, Jamini</t>
        </is>
      </c>
      <c r="B677" s="46" t="n">
        <v>8943822552</v>
      </c>
      <c r="C677" s="46" t="inlineStr">
        <is>
          <t>Customer</t>
        </is>
      </c>
      <c r="D677" s="46" t="inlineStr">
        <is>
          <t>₹ 0</t>
        </is>
      </c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</row>
    <row r="678" ht="16.5" customHeight="1" s="85">
      <c r="A678" s="46" t="inlineStr">
        <is>
          <t>Ratheesh</t>
        </is>
      </c>
      <c r="B678" s="46" t="n">
        <v>8947048804</v>
      </c>
      <c r="C678" s="46" t="inlineStr">
        <is>
          <t>Customer</t>
        </is>
      </c>
      <c r="D678" s="46" t="inlineStr">
        <is>
          <t>₹ 0</t>
        </is>
      </c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</row>
    <row r="679" ht="16.5" customHeight="1" s="85">
      <c r="A679" s="46" t="inlineStr">
        <is>
          <t>Vahid</t>
        </is>
      </c>
      <c r="B679" s="46" t="n">
        <v>8948151920</v>
      </c>
      <c r="C679" s="46" t="inlineStr">
        <is>
          <t>Customer</t>
        </is>
      </c>
      <c r="D679" s="46" t="inlineStr">
        <is>
          <t>₹ 0</t>
        </is>
      </c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</row>
    <row r="680" ht="16.5" customHeight="1" s="85">
      <c r="A680" s="46" t="inlineStr">
        <is>
          <t>James</t>
        </is>
      </c>
      <c r="B680" s="46" t="n">
        <v>8948800405</v>
      </c>
      <c r="C680" s="46" t="inlineStr">
        <is>
          <t>Customer</t>
        </is>
      </c>
      <c r="D680" s="46" t="inlineStr">
        <is>
          <t>₹ 0</t>
        </is>
      </c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</row>
    <row r="681" ht="16.5" customHeight="1" s="85">
      <c r="A681" s="46" t="inlineStr">
        <is>
          <t>Justin Joy</t>
        </is>
      </c>
      <c r="B681" s="46" t="n">
        <v>8949769856</v>
      </c>
      <c r="C681" s="46" t="inlineStr">
        <is>
          <t>Customer</t>
        </is>
      </c>
      <c r="D681" s="46" t="inlineStr">
        <is>
          <t>₹ 0</t>
        </is>
      </c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</row>
    <row r="682" ht="16.5" customHeight="1" s="85">
      <c r="A682" s="46" t="inlineStr">
        <is>
          <t>Deepak</t>
        </is>
      </c>
      <c r="B682" s="46" t="n">
        <v>8953012578</v>
      </c>
      <c r="C682" s="46" t="inlineStr">
        <is>
          <t>Customer</t>
        </is>
      </c>
      <c r="D682" s="46" t="inlineStr">
        <is>
          <t>₹ 0</t>
        </is>
      </c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</row>
    <row r="683" ht="16.5" customHeight="1" s="85">
      <c r="A683" s="46" t="inlineStr">
        <is>
          <t>Lovely</t>
        </is>
      </c>
      <c r="B683" s="46" t="n">
        <v>8953130057</v>
      </c>
      <c r="C683" s="46" t="inlineStr">
        <is>
          <t>Customer</t>
        </is>
      </c>
      <c r="D683" s="46" t="inlineStr">
        <is>
          <t>₹ 0</t>
        </is>
      </c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</row>
    <row r="684" ht="16.5" customHeight="1" s="85">
      <c r="A684" s="46" t="inlineStr">
        <is>
          <t>Arun</t>
        </is>
      </c>
      <c r="B684" s="46" t="n">
        <v>8953365963</v>
      </c>
      <c r="C684" s="46" t="inlineStr">
        <is>
          <t>Customer</t>
        </is>
      </c>
      <c r="D684" s="46" t="inlineStr">
        <is>
          <t>₹ 0</t>
        </is>
      </c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</row>
    <row r="685" ht="16.5" customHeight="1" s="85">
      <c r="A685" s="46" t="inlineStr">
        <is>
          <t>Deepak</t>
        </is>
      </c>
      <c r="B685" s="46" t="n">
        <v>8953529547</v>
      </c>
      <c r="C685" s="46" t="inlineStr">
        <is>
          <t>Customer</t>
        </is>
      </c>
      <c r="D685" s="46" t="inlineStr">
        <is>
          <t>₹ 0</t>
        </is>
      </c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</row>
    <row r="686" ht="16.5" customHeight="1" s="85">
      <c r="A686" s="46" t="inlineStr">
        <is>
          <t>Sheetal</t>
        </is>
      </c>
      <c r="B686" s="46" t="n">
        <v>8953654600</v>
      </c>
      <c r="C686" s="46" t="inlineStr">
        <is>
          <t>Customer</t>
        </is>
      </c>
      <c r="D686" s="46" t="inlineStr">
        <is>
          <t>₹ 0</t>
        </is>
      </c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</row>
    <row r="687" ht="16.5" customHeight="1" s="85">
      <c r="A687" s="46" t="inlineStr">
        <is>
          <t>Rajni</t>
        </is>
      </c>
      <c r="B687" s="46" t="n">
        <v>8953747515</v>
      </c>
      <c r="C687" s="46" t="inlineStr">
        <is>
          <t>Customer</t>
        </is>
      </c>
      <c r="D687" s="46" t="inlineStr">
        <is>
          <t>₹ 0</t>
        </is>
      </c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</row>
    <row r="688" ht="16.5" customHeight="1" s="85">
      <c r="A688" s="46" t="inlineStr">
        <is>
          <t>Rishabh</t>
        </is>
      </c>
      <c r="B688" s="46" t="n">
        <v>8957143243</v>
      </c>
      <c r="C688" s="46" t="inlineStr">
        <is>
          <t>Customer</t>
        </is>
      </c>
      <c r="D688" s="46" t="inlineStr">
        <is>
          <t>₹ 0</t>
        </is>
      </c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</row>
    <row r="689" ht="16.5" customHeight="1" s="85">
      <c r="A689" s="46" t="inlineStr">
        <is>
          <t>Bibin Paul Malayali</t>
        </is>
      </c>
      <c r="B689" s="46" t="n">
        <v>8957846547</v>
      </c>
      <c r="C689" s="46" t="inlineStr">
        <is>
          <t>Customer</t>
        </is>
      </c>
      <c r="D689" s="46" t="inlineStr">
        <is>
          <t>₹ 0</t>
        </is>
      </c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</row>
    <row r="690" ht="16.5" customHeight="1" s="85">
      <c r="A690" s="46" t="inlineStr">
        <is>
          <t>Ashwani</t>
        </is>
      </c>
      <c r="B690" s="46" t="n">
        <v>8960906687</v>
      </c>
      <c r="C690" s="46" t="inlineStr">
        <is>
          <t>Customer</t>
        </is>
      </c>
      <c r="D690" s="46" t="inlineStr">
        <is>
          <t>₹ 0</t>
        </is>
      </c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</row>
    <row r="691" ht="16.5" customHeight="1" s="85">
      <c r="A691" s="46" t="inlineStr">
        <is>
          <t>Lelamma</t>
        </is>
      </c>
      <c r="B691" s="46" t="n">
        <v>8969253801</v>
      </c>
      <c r="C691" s="46" t="inlineStr">
        <is>
          <t>Customer</t>
        </is>
      </c>
      <c r="D691" s="46" t="inlineStr">
        <is>
          <t>₹ 0</t>
        </is>
      </c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</row>
    <row r="692" ht="16.5" customHeight="1" s="85">
      <c r="A692" s="46" t="inlineStr">
        <is>
          <t>Anish</t>
        </is>
      </c>
      <c r="B692" s="46" t="n">
        <v>8980132878</v>
      </c>
      <c r="C692" s="46" t="inlineStr">
        <is>
          <t>Customer</t>
        </is>
      </c>
      <c r="D692" s="46" t="inlineStr">
        <is>
          <t>₹ 0</t>
        </is>
      </c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</row>
    <row r="693" ht="16.5" customHeight="1" s="85">
      <c r="A693" s="46" t="inlineStr">
        <is>
          <t>Justin</t>
        </is>
      </c>
      <c r="B693" s="46" t="n">
        <v>8982627953</v>
      </c>
      <c r="C693" s="46" t="inlineStr">
        <is>
          <t>Customer</t>
        </is>
      </c>
      <c r="D693" s="46" t="inlineStr">
        <is>
          <t>₹ 0</t>
        </is>
      </c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</row>
    <row r="694" ht="16.5" customHeight="1" s="85">
      <c r="A694" s="46" t="inlineStr">
        <is>
          <t>Nimmy</t>
        </is>
      </c>
      <c r="B694" s="46" t="n">
        <v>8999067577</v>
      </c>
      <c r="C694" s="46" t="inlineStr">
        <is>
          <t>Customer</t>
        </is>
      </c>
      <c r="D694" s="46" t="inlineStr">
        <is>
          <t>₹ 0</t>
        </is>
      </c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</row>
    <row r="695" ht="16.5" customHeight="1" s="85">
      <c r="A695" s="46" t="inlineStr">
        <is>
          <t>Ritu</t>
        </is>
      </c>
      <c r="B695" s="46" t="n">
        <v>9005079935</v>
      </c>
      <c r="C695" s="46" t="inlineStr">
        <is>
          <t>Customer</t>
        </is>
      </c>
      <c r="D695" s="46" t="inlineStr">
        <is>
          <t>₹ 0</t>
        </is>
      </c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</row>
    <row r="696" ht="16.5" customHeight="1" s="85">
      <c r="A696" s="46" t="inlineStr">
        <is>
          <t>Amar Thapa</t>
        </is>
      </c>
      <c r="B696" s="46" t="n">
        <v>9005195477</v>
      </c>
      <c r="C696" s="46" t="inlineStr">
        <is>
          <t>Customer</t>
        </is>
      </c>
      <c r="D696" s="46" t="inlineStr">
        <is>
          <t>₹ 0</t>
        </is>
      </c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</row>
    <row r="697" ht="16.5" customHeight="1" s="85">
      <c r="A697" s="46" t="inlineStr">
        <is>
          <t>Pradeep</t>
        </is>
      </c>
      <c r="B697" s="46" t="n">
        <v>9005288049</v>
      </c>
      <c r="C697" s="46" t="inlineStr">
        <is>
          <t>Customer</t>
        </is>
      </c>
      <c r="D697" s="46" t="inlineStr">
        <is>
          <t>₹ 0</t>
        </is>
      </c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</row>
    <row r="698" ht="16.5" customHeight="1" s="85">
      <c r="A698" s="46" t="inlineStr">
        <is>
          <t>Nelson Thomas</t>
        </is>
      </c>
      <c r="B698" s="46" t="n">
        <v>9005405142</v>
      </c>
      <c r="C698" s="46" t="inlineStr">
        <is>
          <t>Customer</t>
        </is>
      </c>
      <c r="D698" s="46" t="inlineStr">
        <is>
          <t>₹ 0</t>
        </is>
      </c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</row>
    <row r="699" ht="16.5" customHeight="1" s="85">
      <c r="A699" s="46" t="inlineStr">
        <is>
          <t>Rajkumar Ict</t>
        </is>
      </c>
      <c r="B699" s="46" t="n">
        <v>9005596343</v>
      </c>
      <c r="C699" s="46" t="inlineStr">
        <is>
          <t>Customer</t>
        </is>
      </c>
      <c r="D699" s="46" t="inlineStr">
        <is>
          <t>₹ 0</t>
        </is>
      </c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</row>
    <row r="700" ht="16.5" customHeight="1" s="85">
      <c r="A700" s="46" t="inlineStr">
        <is>
          <t>Om Prakash Pratapgarh</t>
        </is>
      </c>
      <c r="B700" s="46" t="n">
        <v>9005907044</v>
      </c>
      <c r="C700" s="46" t="inlineStr">
        <is>
          <t>Customer</t>
        </is>
      </c>
      <c r="D700" s="46" t="inlineStr">
        <is>
          <t>₹ 0</t>
        </is>
      </c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</row>
    <row r="701" ht="16.5" customHeight="1" s="85">
      <c r="A701" s="46" t="inlineStr">
        <is>
          <t>Ramraksha</t>
        </is>
      </c>
      <c r="B701" s="46" t="n">
        <v>9005916783</v>
      </c>
      <c r="C701" s="46" t="inlineStr">
        <is>
          <t>Customer</t>
        </is>
      </c>
      <c r="D701" s="46" t="inlineStr">
        <is>
          <t>₹ 0</t>
        </is>
      </c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</row>
    <row r="702" ht="16.5" customHeight="1" s="85">
      <c r="A702" s="46" t="inlineStr">
        <is>
          <t>Jincy</t>
        </is>
      </c>
      <c r="B702" s="46" t="n">
        <v>9005944465</v>
      </c>
      <c r="C702" s="46" t="inlineStr">
        <is>
          <t>Customer</t>
        </is>
      </c>
      <c r="D702" s="46" t="inlineStr">
        <is>
          <t>₹ 0</t>
        </is>
      </c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</row>
    <row r="703" ht="16.5" customHeight="1" s="85">
      <c r="A703" s="46" t="inlineStr">
        <is>
          <t>Rajesh Singh</t>
        </is>
      </c>
      <c r="B703" s="46" t="n">
        <v>9006781555</v>
      </c>
      <c r="C703" s="46" t="inlineStr">
        <is>
          <t>Customer</t>
        </is>
      </c>
      <c r="D703" s="46" t="inlineStr">
        <is>
          <t>₹ 0</t>
        </is>
      </c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</row>
    <row r="704" ht="16.5" customHeight="1" s="85">
      <c r="A704" s="46" t="inlineStr">
        <is>
          <t>Joshi</t>
        </is>
      </c>
      <c r="B704" s="46" t="n">
        <v>9006790033</v>
      </c>
      <c r="C704" s="46" t="inlineStr">
        <is>
          <t>Customer</t>
        </is>
      </c>
      <c r="D704" s="46" t="inlineStr">
        <is>
          <t>₹ 0</t>
        </is>
      </c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</row>
    <row r="705" ht="16.5" customHeight="1" s="85">
      <c r="A705" s="46" t="inlineStr">
        <is>
          <t>Sumesh</t>
        </is>
      </c>
      <c r="B705" s="46" t="n">
        <v>9020444600</v>
      </c>
      <c r="C705" s="46" t="inlineStr">
        <is>
          <t>Customer</t>
        </is>
      </c>
      <c r="D705" s="46" t="inlineStr">
        <is>
          <t>₹ 0</t>
        </is>
      </c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</row>
    <row r="706" ht="16.5" customHeight="1" s="85">
      <c r="A706" s="46" t="inlineStr">
        <is>
          <t>Ashiq</t>
        </is>
      </c>
      <c r="B706" s="46" t="n">
        <v>9020697997</v>
      </c>
      <c r="C706" s="46" t="inlineStr">
        <is>
          <t>Customer</t>
        </is>
      </c>
      <c r="D706" s="46" t="inlineStr">
        <is>
          <t>₹ 0</t>
        </is>
      </c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</row>
    <row r="707" ht="16.5" customHeight="1" s="85">
      <c r="A707" s="46" t="inlineStr">
        <is>
          <t>Shandar</t>
        </is>
      </c>
      <c r="B707" s="46" t="n">
        <v>9026334372</v>
      </c>
      <c r="C707" s="46" t="inlineStr">
        <is>
          <t>Customer</t>
        </is>
      </c>
      <c r="D707" s="46" t="inlineStr">
        <is>
          <t>₹ 0</t>
        </is>
      </c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</row>
    <row r="708" ht="16.5" customHeight="1" s="85">
      <c r="A708" s="46" t="inlineStr">
        <is>
          <t>Brikesh ICT 2024 ICT</t>
        </is>
      </c>
      <c r="B708" s="46" t="n">
        <v>9026614743</v>
      </c>
      <c r="C708" s="46" t="inlineStr">
        <is>
          <t>Customer</t>
        </is>
      </c>
      <c r="D708" s="46" t="inlineStr">
        <is>
          <t>₹ 0</t>
        </is>
      </c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</row>
    <row r="709" ht="16.5" customHeight="1" s="85">
      <c r="A709" s="46" t="inlineStr">
        <is>
          <t>Vineet George</t>
        </is>
      </c>
      <c r="B709" s="46" t="n">
        <v>9026905011</v>
      </c>
      <c r="C709" s="46" t="inlineStr">
        <is>
          <t>Customer</t>
        </is>
      </c>
      <c r="D709" s="46" t="inlineStr">
        <is>
          <t>₹ 0</t>
        </is>
      </c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</row>
    <row r="710" ht="16.5" customHeight="1" s="85">
      <c r="A710" s="46" t="inlineStr">
        <is>
          <t>Sibin</t>
        </is>
      </c>
      <c r="B710" s="46" t="n">
        <v>9037000986</v>
      </c>
      <c r="C710" s="46" t="inlineStr">
        <is>
          <t>Customer</t>
        </is>
      </c>
      <c r="D710" s="46" t="inlineStr">
        <is>
          <t>₹ 0</t>
        </is>
      </c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</row>
    <row r="711" ht="16.5" customHeight="1" s="85">
      <c r="A711" s="46" t="inlineStr">
        <is>
          <t>Nandakumar</t>
        </is>
      </c>
      <c r="B711" s="46" t="n">
        <v>9039880980</v>
      </c>
      <c r="C711" s="46" t="inlineStr">
        <is>
          <t>Customer</t>
        </is>
      </c>
      <c r="D711" s="46" t="inlineStr">
        <is>
          <t>₹ 0</t>
        </is>
      </c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</row>
    <row r="712" ht="16.5" customHeight="1" s="85">
      <c r="A712" s="46" t="inlineStr">
        <is>
          <t>Siji</t>
        </is>
      </c>
      <c r="B712" s="46" t="n">
        <v>9044120517</v>
      </c>
      <c r="C712" s="46" t="inlineStr">
        <is>
          <t>Customer</t>
        </is>
      </c>
      <c r="D712" s="46" t="inlineStr">
        <is>
          <t>₹ 0</t>
        </is>
      </c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</row>
    <row r="713" ht="16.5" customHeight="1" s="85">
      <c r="A713" s="46" t="inlineStr">
        <is>
          <t>Jitendra</t>
        </is>
      </c>
      <c r="B713" s="46" t="n">
        <v>9044210675</v>
      </c>
      <c r="C713" s="46" t="inlineStr">
        <is>
          <t>Customer</t>
        </is>
      </c>
      <c r="D713" s="46" t="inlineStr">
        <is>
          <t>₹ 0</t>
        </is>
      </c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</row>
    <row r="714" ht="16.5" customHeight="1" s="85">
      <c r="A714" s="46" t="inlineStr">
        <is>
          <t>Kesav Singh Jammu</t>
        </is>
      </c>
      <c r="B714" s="46" t="n">
        <v>9044335313</v>
      </c>
      <c r="C714" s="46" t="inlineStr">
        <is>
          <t>Customer</t>
        </is>
      </c>
      <c r="D714" s="46" t="inlineStr">
        <is>
          <t>₹ 0</t>
        </is>
      </c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</row>
    <row r="715" ht="16.5" customHeight="1" s="85">
      <c r="A715" s="46" t="inlineStr">
        <is>
          <t>Diwakar Shukla</t>
        </is>
      </c>
      <c r="B715" s="46" t="n">
        <v>9044705199</v>
      </c>
      <c r="C715" s="46" t="inlineStr">
        <is>
          <t>Customer</t>
        </is>
      </c>
      <c r="D715" s="46" t="inlineStr">
        <is>
          <t>₹ 0</t>
        </is>
      </c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</row>
    <row r="716" ht="16.5" customHeight="1" s="85">
      <c r="A716" s="46" t="inlineStr">
        <is>
          <t>Apoorva Gupta</t>
        </is>
      </c>
      <c r="B716" s="46" t="n">
        <v>9045732210</v>
      </c>
      <c r="C716" s="46" t="inlineStr">
        <is>
          <t>Customer</t>
        </is>
      </c>
      <c r="D716" s="46" t="inlineStr">
        <is>
          <t>₹ 0</t>
        </is>
      </c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</row>
    <row r="717" ht="16.5" customHeight="1" s="85">
      <c r="A717" s="46" t="inlineStr">
        <is>
          <t>Arya</t>
        </is>
      </c>
      <c r="B717" s="46" t="n">
        <v>9048100057</v>
      </c>
      <c r="C717" s="46" t="inlineStr">
        <is>
          <t>Customer</t>
        </is>
      </c>
      <c r="D717" s="46" t="inlineStr">
        <is>
          <t>₹ 0</t>
        </is>
      </c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</row>
    <row r="718" ht="16.5" customHeight="1" s="85">
      <c r="A718" s="46" t="inlineStr">
        <is>
          <t>jishnu jaya</t>
        </is>
      </c>
      <c r="B718" s="46" t="n">
        <v>9048334736</v>
      </c>
      <c r="C718" s="46" t="inlineStr">
        <is>
          <t>Customer</t>
        </is>
      </c>
      <c r="D718" s="46" t="inlineStr">
        <is>
          <t>₹ 0</t>
        </is>
      </c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</row>
    <row r="719" ht="16.5" customHeight="1" s="85">
      <c r="A719" s="46" t="inlineStr">
        <is>
          <t>Athira Rajan</t>
        </is>
      </c>
      <c r="B719" s="46" t="n">
        <v>9048513799</v>
      </c>
      <c r="C719" s="46" t="inlineStr">
        <is>
          <t>Customer</t>
        </is>
      </c>
      <c r="D719" s="46" t="inlineStr">
        <is>
          <t>₹ 0</t>
        </is>
      </c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</row>
    <row r="720" ht="16.5" customHeight="1" s="85">
      <c r="A720" s="46" t="inlineStr">
        <is>
          <t>Rijo Sam</t>
        </is>
      </c>
      <c r="B720" s="46" t="n">
        <v>9048779458</v>
      </c>
      <c r="C720" s="46" t="inlineStr">
        <is>
          <t>Customer</t>
        </is>
      </c>
      <c r="D720" s="46" t="inlineStr">
        <is>
          <t>₹ 0</t>
        </is>
      </c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</row>
    <row r="721" ht="16.5" customHeight="1" s="85">
      <c r="A721" s="46" t="inlineStr">
        <is>
          <t>Fatima. Convent</t>
        </is>
      </c>
      <c r="B721" s="46" t="n">
        <v>9048879738</v>
      </c>
      <c r="C721" s="46" t="inlineStr">
        <is>
          <t>Customer</t>
        </is>
      </c>
      <c r="D721" s="46" t="inlineStr">
        <is>
          <t>₹ 0</t>
        </is>
      </c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</row>
    <row r="722" ht="16.5" customHeight="1" s="85">
      <c r="A722" s="46" t="inlineStr">
        <is>
          <t>Dr.Mini</t>
        </is>
      </c>
      <c r="B722" s="46" t="n">
        <v>9048965529</v>
      </c>
      <c r="C722" s="46" t="inlineStr">
        <is>
          <t>Customer</t>
        </is>
      </c>
      <c r="D722" s="46" t="inlineStr">
        <is>
          <t>₹ 0</t>
        </is>
      </c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</row>
    <row r="723" ht="16.5" customHeight="1" s="85">
      <c r="A723" s="46" t="inlineStr">
        <is>
          <t>Archana</t>
        </is>
      </c>
      <c r="B723" s="46" t="n">
        <v>9061061405</v>
      </c>
      <c r="C723" s="46" t="inlineStr">
        <is>
          <t>Customer</t>
        </is>
      </c>
      <c r="D723" s="46" t="inlineStr">
        <is>
          <t>₹ 0</t>
        </is>
      </c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</row>
    <row r="724" ht="16.5" customHeight="1" s="85">
      <c r="A724" s="46" t="inlineStr">
        <is>
          <t>Albin</t>
        </is>
      </c>
      <c r="B724" s="46" t="n">
        <v>9061212991</v>
      </c>
      <c r="C724" s="46" t="inlineStr">
        <is>
          <t>Customer</t>
        </is>
      </c>
      <c r="D724" s="46" t="inlineStr">
        <is>
          <t>₹ 0</t>
        </is>
      </c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</row>
    <row r="725" ht="16.5" customHeight="1" s="85">
      <c r="A725" s="46" t="inlineStr">
        <is>
          <t>Greeshma</t>
        </is>
      </c>
      <c r="B725" s="46" t="n">
        <v>9061241329</v>
      </c>
      <c r="C725" s="46" t="inlineStr">
        <is>
          <t>Customer</t>
        </is>
      </c>
      <c r="D725" s="46" t="inlineStr">
        <is>
          <t>₹ 0</t>
        </is>
      </c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</row>
    <row r="726" ht="16.5" customHeight="1" s="85">
      <c r="A726" s="46" t="inlineStr">
        <is>
          <t>Jestin</t>
        </is>
      </c>
      <c r="B726" s="46" t="n">
        <v>9061297482</v>
      </c>
      <c r="C726" s="46" t="inlineStr">
        <is>
          <t>Customer</t>
        </is>
      </c>
      <c r="D726" s="46" t="inlineStr">
        <is>
          <t>₹ 0</t>
        </is>
      </c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</row>
    <row r="727" ht="16.5" customHeight="1" s="85">
      <c r="A727" s="46" t="inlineStr">
        <is>
          <t>Ratheesh</t>
        </is>
      </c>
      <c r="B727" s="46" t="n">
        <v>9061315694</v>
      </c>
      <c r="C727" s="46" t="inlineStr">
        <is>
          <t>Customer</t>
        </is>
      </c>
      <c r="D727" s="46" t="inlineStr">
        <is>
          <t>₹ 0</t>
        </is>
      </c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</row>
    <row r="728" ht="16.5" customHeight="1" s="85">
      <c r="A728" s="46" t="inlineStr">
        <is>
          <t>Ranjeet</t>
        </is>
      </c>
      <c r="B728" s="46" t="n">
        <v>9061636410</v>
      </c>
      <c r="C728" s="46" t="inlineStr">
        <is>
          <t>Customer</t>
        </is>
      </c>
      <c r="D728" s="46" t="inlineStr">
        <is>
          <t>₹ 0</t>
        </is>
      </c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</row>
    <row r="729" ht="16.5" customHeight="1" s="85">
      <c r="A729" s="46" t="inlineStr">
        <is>
          <t>James</t>
        </is>
      </c>
      <c r="B729" s="46" t="n">
        <v>9061791976</v>
      </c>
      <c r="C729" s="46" t="inlineStr">
        <is>
          <t>Customer</t>
        </is>
      </c>
      <c r="D729" s="46" t="inlineStr">
        <is>
          <t>₹ 0</t>
        </is>
      </c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</row>
    <row r="730" ht="16.5" customHeight="1" s="85">
      <c r="A730" s="46" t="inlineStr">
        <is>
          <t>Gopa Kumar</t>
        </is>
      </c>
      <c r="B730" s="46" t="n">
        <v>9061930271</v>
      </c>
      <c r="C730" s="46" t="inlineStr">
        <is>
          <t>Customer</t>
        </is>
      </c>
      <c r="D730" s="46" t="inlineStr">
        <is>
          <t>₹ 0</t>
        </is>
      </c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</row>
    <row r="731" ht="16.5" customHeight="1" s="85">
      <c r="A731" s="46" t="inlineStr">
        <is>
          <t>Giftson</t>
        </is>
      </c>
      <c r="B731" s="46" t="n">
        <v>9072060945</v>
      </c>
      <c r="C731" s="46" t="inlineStr">
        <is>
          <t>Customer</t>
        </is>
      </c>
      <c r="D731" s="46" t="inlineStr">
        <is>
          <t>₹ 0</t>
        </is>
      </c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</row>
    <row r="732" ht="16.5" customHeight="1" s="85">
      <c r="A732" s="46" t="inlineStr">
        <is>
          <t>Jijo</t>
        </is>
      </c>
      <c r="B732" s="46" t="n">
        <v>9072213212</v>
      </c>
      <c r="C732" s="46" t="inlineStr">
        <is>
          <t>Customer</t>
        </is>
      </c>
      <c r="D732" s="46" t="inlineStr">
        <is>
          <t>₹ 0</t>
        </is>
      </c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</row>
    <row r="733" ht="16.5" customHeight="1" s="85">
      <c r="A733" s="46" t="inlineStr">
        <is>
          <t>Parish</t>
        </is>
      </c>
      <c r="B733" s="46" t="n">
        <v>9072222668</v>
      </c>
      <c r="C733" s="46" t="inlineStr">
        <is>
          <t>Customer</t>
        </is>
      </c>
      <c r="D733" s="46" t="inlineStr">
        <is>
          <t>₹ 0</t>
        </is>
      </c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</row>
    <row r="734" ht="16.5" customHeight="1" s="85">
      <c r="A734" s="46" t="inlineStr">
        <is>
          <t>Jishnu</t>
        </is>
      </c>
      <c r="B734" s="46" t="n">
        <v>9072790176</v>
      </c>
      <c r="C734" s="46" t="inlineStr">
        <is>
          <t>Customer</t>
        </is>
      </c>
      <c r="D734" s="46" t="inlineStr">
        <is>
          <t>₹ 0</t>
        </is>
      </c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</row>
    <row r="735" ht="16.5" customHeight="1" s="85">
      <c r="A735" s="46" t="inlineStr">
        <is>
          <t>Kavitha</t>
        </is>
      </c>
      <c r="B735" s="46" t="n">
        <v>9074240858</v>
      </c>
      <c r="C735" s="46" t="inlineStr">
        <is>
          <t>Customer</t>
        </is>
      </c>
      <c r="D735" s="46" t="inlineStr">
        <is>
          <t>₹ 0</t>
        </is>
      </c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</row>
    <row r="736" ht="16.5" customHeight="1" s="85">
      <c r="A736" s="46" t="inlineStr">
        <is>
          <t>Dilip</t>
        </is>
      </c>
      <c r="B736" s="46" t="n">
        <v>9074414595</v>
      </c>
      <c r="C736" s="46" t="inlineStr">
        <is>
          <t>Customer</t>
        </is>
      </c>
      <c r="D736" s="46" t="inlineStr">
        <is>
          <t>₹ 0</t>
        </is>
      </c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</row>
    <row r="737" ht="16.5" customHeight="1" s="85">
      <c r="A737" s="46" t="inlineStr">
        <is>
          <t>Sabastian</t>
        </is>
      </c>
      <c r="B737" s="46" t="n">
        <v>9074523387</v>
      </c>
      <c r="C737" s="46" t="inlineStr">
        <is>
          <t>Customer</t>
        </is>
      </c>
      <c r="D737" s="46" t="inlineStr">
        <is>
          <t>₹ 0</t>
        </is>
      </c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</row>
    <row r="738" ht="16.5" customHeight="1" s="85">
      <c r="A738" s="46" t="inlineStr">
        <is>
          <t>Neetu AIMS</t>
        </is>
      </c>
      <c r="B738" s="46" t="n">
        <v>9074680897</v>
      </c>
      <c r="C738" s="46" t="inlineStr">
        <is>
          <t>Customer</t>
        </is>
      </c>
      <c r="D738" s="46" t="inlineStr">
        <is>
          <t>₹ 0</t>
        </is>
      </c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</row>
    <row r="739" ht="16.5" customHeight="1" s="85">
      <c r="A739" s="46" t="inlineStr">
        <is>
          <t>Jesbin Siby</t>
        </is>
      </c>
      <c r="B739" s="46" t="n">
        <v>9074900012</v>
      </c>
      <c r="C739" s="46" t="inlineStr">
        <is>
          <t>Customer</t>
        </is>
      </c>
      <c r="D739" s="46" t="inlineStr">
        <is>
          <t>₹ 0</t>
        </is>
      </c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</row>
    <row r="740" ht="16.5" customHeight="1" s="85">
      <c r="A740" s="46" t="inlineStr">
        <is>
          <t>Vandana Singh</t>
        </is>
      </c>
      <c r="B740" s="46" t="n">
        <v>9076585011</v>
      </c>
      <c r="C740" s="46" t="inlineStr">
        <is>
          <t>Customer</t>
        </is>
      </c>
      <c r="D740" s="46" t="inlineStr">
        <is>
          <t>₹ 0</t>
        </is>
      </c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</row>
    <row r="741" ht="16.5" customHeight="1" s="85">
      <c r="A741" s="46" t="inlineStr">
        <is>
          <t>Angel Sweety</t>
        </is>
      </c>
      <c r="B741" s="46" t="n">
        <v>9080406451</v>
      </c>
      <c r="C741" s="46" t="inlineStr">
        <is>
          <t>Customer</t>
        </is>
      </c>
      <c r="D741" s="46" t="inlineStr">
        <is>
          <t>₹ 0</t>
        </is>
      </c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</row>
    <row r="742" ht="16.5" customHeight="1" s="85">
      <c r="A742" s="46" t="inlineStr">
        <is>
          <t>Bandna.Singh</t>
        </is>
      </c>
      <c r="B742" s="46" t="n">
        <v>9110102095</v>
      </c>
      <c r="C742" s="46" t="inlineStr">
        <is>
          <t>Customer</t>
        </is>
      </c>
      <c r="D742" s="46" t="inlineStr">
        <is>
          <t>₹ 0</t>
        </is>
      </c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</row>
    <row r="743" ht="16.5" customHeight="1" s="85">
      <c r="A743" s="46" t="inlineStr">
        <is>
          <t>Pr.Jitendr Sahani</t>
        </is>
      </c>
      <c r="B743" s="46" t="n">
        <v>9112552190</v>
      </c>
      <c r="C743" s="46" t="inlineStr">
        <is>
          <t>Customer</t>
        </is>
      </c>
      <c r="D743" s="46" t="inlineStr">
        <is>
          <t>₹ 0</t>
        </is>
      </c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</row>
    <row r="744" ht="16.5" customHeight="1" s="85">
      <c r="A744" s="46" t="inlineStr">
        <is>
          <t>Dipten Roy</t>
        </is>
      </c>
      <c r="B744" s="46" t="n">
        <v>9116019932</v>
      </c>
      <c r="C744" s="46" t="inlineStr">
        <is>
          <t>Customer</t>
        </is>
      </c>
      <c r="D744" s="46" t="inlineStr">
        <is>
          <t>₹ 0</t>
        </is>
      </c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</row>
    <row r="745" ht="16.5" customHeight="1" s="85">
      <c r="A745" s="46" t="inlineStr">
        <is>
          <t>Mathew John</t>
        </is>
      </c>
      <c r="B745" s="46" t="n">
        <v>9116488004</v>
      </c>
      <c r="C745" s="46" t="inlineStr">
        <is>
          <t>Customer</t>
        </is>
      </c>
      <c r="D745" s="46" t="inlineStr">
        <is>
          <t>₹ 0</t>
        </is>
      </c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</row>
    <row r="746" ht="16.5" customHeight="1" s="85">
      <c r="A746" s="46" t="inlineStr">
        <is>
          <t>Yu Ra</t>
        </is>
      </c>
      <c r="B746" s="46" t="n">
        <v>9118165958</v>
      </c>
      <c r="C746" s="46" t="inlineStr">
        <is>
          <t>Customer</t>
        </is>
      </c>
      <c r="D746" s="46" t="inlineStr">
        <is>
          <t>₹ 0</t>
        </is>
      </c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</row>
    <row r="747" ht="16.5" customHeight="1" s="85">
      <c r="A747" s="46" t="inlineStr">
        <is>
          <t>UNKNOWN 4</t>
        </is>
      </c>
      <c r="B747" s="46" t="n">
        <v>9118888806</v>
      </c>
      <c r="C747" s="46" t="inlineStr">
        <is>
          <t>Customer</t>
        </is>
      </c>
      <c r="D747" s="46" t="inlineStr">
        <is>
          <t>₹ 0</t>
        </is>
      </c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</row>
    <row r="748" ht="16.5" customHeight="1" s="85">
      <c r="A748" s="46" t="inlineStr">
        <is>
          <t>L.F.S</t>
        </is>
      </c>
      <c r="B748" s="46" t="n">
        <v>9119002311</v>
      </c>
      <c r="C748" s="46" t="inlineStr">
        <is>
          <t>Customer</t>
        </is>
      </c>
      <c r="D748" s="46" t="inlineStr">
        <is>
          <t>₹ 0</t>
        </is>
      </c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</row>
    <row r="749" ht="16.5" customHeight="1" s="85">
      <c r="A749" s="46" t="inlineStr">
        <is>
          <t>Mahima Ankita</t>
        </is>
      </c>
      <c r="B749" s="46" t="n">
        <v>9120033723</v>
      </c>
      <c r="C749" s="46" t="inlineStr">
        <is>
          <t>Customer</t>
        </is>
      </c>
      <c r="D749" s="46" t="inlineStr">
        <is>
          <t>₹ 0</t>
        </is>
      </c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</row>
    <row r="750" ht="16.5" customHeight="1" s="85">
      <c r="A750" s="46" t="inlineStr">
        <is>
          <t>Jose Thomas Ballia</t>
        </is>
      </c>
      <c r="B750" s="46" t="n">
        <v>9120596843</v>
      </c>
      <c r="C750" s="46" t="inlineStr">
        <is>
          <t>Customer</t>
        </is>
      </c>
      <c r="D750" s="46" t="inlineStr">
        <is>
          <t>₹ 0</t>
        </is>
      </c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</row>
    <row r="751" ht="16.5" customHeight="1" s="85">
      <c r="A751" s="46" t="inlineStr">
        <is>
          <t>Moses Bibles</t>
        </is>
      </c>
      <c r="B751" s="46" t="n">
        <v>9120852945</v>
      </c>
      <c r="C751" s="46" t="inlineStr">
        <is>
          <t>Customer</t>
        </is>
      </c>
      <c r="D751" s="46" t="inlineStr">
        <is>
          <t>₹ 0</t>
        </is>
      </c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</row>
    <row r="752" ht="16.5" customHeight="1" s="85">
      <c r="A752" s="46" t="inlineStr">
        <is>
          <t>Neena</t>
        </is>
      </c>
      <c r="B752" s="46" t="n">
        <v>9123190377</v>
      </c>
      <c r="C752" s="46" t="inlineStr">
        <is>
          <t>Customer</t>
        </is>
      </c>
      <c r="D752" s="46" t="inlineStr">
        <is>
          <t>₹ 0</t>
        </is>
      </c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</row>
    <row r="753" ht="16.5" customHeight="1" s="85">
      <c r="A753" s="46" t="inlineStr">
        <is>
          <t>Anthony</t>
        </is>
      </c>
      <c r="B753" s="46" t="n">
        <v>9125179282</v>
      </c>
      <c r="C753" s="46" t="inlineStr">
        <is>
          <t>Customer</t>
        </is>
      </c>
      <c r="D753" s="46" t="inlineStr">
        <is>
          <t>₹ 0</t>
        </is>
      </c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</row>
    <row r="754" ht="16.5" customHeight="1" s="85">
      <c r="A754" s="46" t="inlineStr">
        <is>
          <t>Ram Kishan, Nichlaul</t>
        </is>
      </c>
      <c r="B754" s="46" t="n">
        <v>9125741236</v>
      </c>
      <c r="C754" s="46" t="inlineStr">
        <is>
          <t>Customer</t>
        </is>
      </c>
      <c r="D754" s="46" t="inlineStr">
        <is>
          <t>₹ 0</t>
        </is>
      </c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</row>
    <row r="755" ht="16.5" customHeight="1" s="85">
      <c r="A755" s="46" t="inlineStr">
        <is>
          <t>Pr.Brijesh</t>
        </is>
      </c>
      <c r="B755" s="46" t="n">
        <v>9125886733</v>
      </c>
      <c r="C755" s="46" t="inlineStr">
        <is>
          <t>Customer</t>
        </is>
      </c>
      <c r="D755" s="46" t="inlineStr">
        <is>
          <t>₹ 0</t>
        </is>
      </c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</row>
    <row r="756" ht="16.5" customHeight="1" s="85">
      <c r="A756" s="46" t="inlineStr">
        <is>
          <t>Cristy</t>
        </is>
      </c>
      <c r="B756" s="46" t="n">
        <v>9129653135</v>
      </c>
      <c r="C756" s="46" t="inlineStr">
        <is>
          <t>Customer</t>
        </is>
      </c>
      <c r="D756" s="46" t="inlineStr">
        <is>
          <t>₹ 0</t>
        </is>
      </c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</row>
    <row r="757" ht="16.5" customHeight="1" s="85">
      <c r="A757" s="46" t="inlineStr">
        <is>
          <t>Smriti</t>
        </is>
      </c>
      <c r="B757" s="46" t="n">
        <v>9140161860</v>
      </c>
      <c r="C757" s="46" t="inlineStr">
        <is>
          <t>Customer</t>
        </is>
      </c>
      <c r="D757" s="46" t="inlineStr">
        <is>
          <t>₹ 0</t>
        </is>
      </c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</row>
    <row r="758" ht="16.5" customHeight="1" s="85">
      <c r="A758" s="46" t="inlineStr">
        <is>
          <t>Arvind Rai</t>
        </is>
      </c>
      <c r="B758" s="46" t="n">
        <v>9140171050</v>
      </c>
      <c r="C758" s="46" t="inlineStr">
        <is>
          <t>Customer</t>
        </is>
      </c>
      <c r="D758" s="46" t="inlineStr">
        <is>
          <t>₹ 0</t>
        </is>
      </c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</row>
    <row r="759" ht="16.5" customHeight="1" s="85">
      <c r="A759" s="46" t="inlineStr">
        <is>
          <t>Dr. Sunil Zecheria</t>
        </is>
      </c>
      <c r="B759" s="46" t="n">
        <v>9140254558</v>
      </c>
      <c r="C759" s="46" t="inlineStr">
        <is>
          <t>Customer</t>
        </is>
      </c>
      <c r="D759" s="46" t="inlineStr">
        <is>
          <t>₹ 0</t>
        </is>
      </c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</row>
    <row r="760" ht="16.5" customHeight="1" s="85">
      <c r="A760" s="46" t="inlineStr">
        <is>
          <t>Chhotu (Justin)</t>
        </is>
      </c>
      <c r="B760" s="46" t="n">
        <v>9140333465</v>
      </c>
      <c r="C760" s="46" t="inlineStr">
        <is>
          <t>Customer</t>
        </is>
      </c>
      <c r="D760" s="46" t="inlineStr">
        <is>
          <t>₹ 0</t>
        </is>
      </c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</row>
    <row r="761" ht="16.5" customHeight="1" s="85">
      <c r="A761" s="46" t="inlineStr">
        <is>
          <t>Muna Singh</t>
        </is>
      </c>
      <c r="B761" s="46" t="n">
        <v>9140473829</v>
      </c>
      <c r="C761" s="46" t="inlineStr">
        <is>
          <t>Customer</t>
        </is>
      </c>
      <c r="D761" s="46" t="inlineStr">
        <is>
          <t>₹ 0</t>
        </is>
      </c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</row>
    <row r="762" ht="16.5" customHeight="1" s="85">
      <c r="A762" s="46" t="inlineStr">
        <is>
          <t>Rosy Pandey</t>
        </is>
      </c>
      <c r="B762" s="46" t="n">
        <v>9140487742</v>
      </c>
      <c r="C762" s="46" t="inlineStr">
        <is>
          <t>Customer</t>
        </is>
      </c>
      <c r="D762" s="46" t="inlineStr">
        <is>
          <t>₹ 0</t>
        </is>
      </c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</row>
    <row r="763" ht="16.5" customHeight="1" s="85">
      <c r="A763" s="46" t="inlineStr">
        <is>
          <t>Alveena</t>
        </is>
      </c>
      <c r="B763" s="46" t="n">
        <v>9140584763</v>
      </c>
      <c r="C763" s="46" t="inlineStr">
        <is>
          <t>Customer</t>
        </is>
      </c>
      <c r="D763" s="46" t="inlineStr">
        <is>
          <t>₹ 0</t>
        </is>
      </c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</row>
    <row r="764" ht="16.5" customHeight="1" s="85">
      <c r="A764" s="46" t="inlineStr">
        <is>
          <t>Soniya</t>
        </is>
      </c>
      <c r="B764" s="46" t="n">
        <v>9140823156</v>
      </c>
      <c r="C764" s="46" t="inlineStr">
        <is>
          <t>Customer</t>
        </is>
      </c>
      <c r="D764" s="46" t="inlineStr">
        <is>
          <t>₹ 0</t>
        </is>
      </c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</row>
    <row r="765" ht="16.5" customHeight="1" s="85">
      <c r="A765" s="46" t="inlineStr">
        <is>
          <t>Arpit</t>
        </is>
      </c>
      <c r="B765" s="46" t="n">
        <v>9148797304</v>
      </c>
      <c r="C765" s="46" t="inlineStr">
        <is>
          <t>Customer</t>
        </is>
      </c>
      <c r="D765" s="46" t="inlineStr">
        <is>
          <t>₹ 0</t>
        </is>
      </c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</row>
    <row r="766" ht="16.5" customHeight="1" s="85">
      <c r="A766" s="46" t="inlineStr">
        <is>
          <t>Alex</t>
        </is>
      </c>
      <c r="B766" s="46" t="n">
        <v>9149634311</v>
      </c>
      <c r="C766" s="46" t="inlineStr">
        <is>
          <t>Customer</t>
        </is>
      </c>
      <c r="D766" s="46" t="inlineStr">
        <is>
          <t>₹ 0</t>
        </is>
      </c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</row>
    <row r="767" ht="16.5" customHeight="1" s="85">
      <c r="A767" s="46" t="inlineStr">
        <is>
          <t>Cell Welding, Railway, Gorakhpur</t>
        </is>
      </c>
      <c r="B767" s="46" t="n">
        <v>9151017785</v>
      </c>
      <c r="C767" s="46" t="inlineStr">
        <is>
          <t>Customer</t>
        </is>
      </c>
      <c r="D767" s="46" t="inlineStr">
        <is>
          <t>₹ 0</t>
        </is>
      </c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</row>
    <row r="768" ht="16.5" customHeight="1" s="85">
      <c r="A768" s="46" t="inlineStr">
        <is>
          <t>Pawan Gurung</t>
        </is>
      </c>
      <c r="B768" s="46" t="n">
        <v>9151174153</v>
      </c>
      <c r="C768" s="46" t="inlineStr">
        <is>
          <t>Customer</t>
        </is>
      </c>
      <c r="D768" s="46" t="inlineStr">
        <is>
          <t>₹ 0</t>
        </is>
      </c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</row>
    <row r="769" ht="16.5" customHeight="1" s="85">
      <c r="A769" s="46" t="inlineStr">
        <is>
          <t>Subin Enterprises Delhi</t>
        </is>
      </c>
      <c r="B769" s="46" t="n">
        <v>9152761419</v>
      </c>
      <c r="C769" s="46" t="inlineStr">
        <is>
          <t>Supplier</t>
        </is>
      </c>
      <c r="D769" s="46" t="inlineStr">
        <is>
          <t>₹ 31,601.59</t>
        </is>
      </c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</row>
    <row r="770" ht="16.5" customHeight="1" s="85">
      <c r="A770" s="46" t="inlineStr">
        <is>
          <t>Tanvir</t>
        </is>
      </c>
      <c r="B770" s="46" t="n">
        <v>9161045461</v>
      </c>
      <c r="C770" s="46" t="inlineStr">
        <is>
          <t>Customer</t>
        </is>
      </c>
      <c r="D770" s="46" t="inlineStr">
        <is>
          <t>₹ 0</t>
        </is>
      </c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</row>
    <row r="771" ht="16.5" customHeight="1" s="85">
      <c r="A771" s="46" t="inlineStr">
        <is>
          <t>Aji</t>
        </is>
      </c>
      <c r="B771" s="46" t="n">
        <v>9161719192</v>
      </c>
      <c r="C771" s="46" t="inlineStr">
        <is>
          <t>Customer</t>
        </is>
      </c>
      <c r="D771" s="46" t="inlineStr">
        <is>
          <t>₹ 0</t>
        </is>
      </c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</row>
    <row r="772" ht="16.5" customHeight="1" s="85">
      <c r="A772" s="46" t="inlineStr">
        <is>
          <t>kajal</t>
        </is>
      </c>
      <c r="B772" s="46" t="n">
        <v>9161864333</v>
      </c>
      <c r="C772" s="46" t="inlineStr">
        <is>
          <t>Customer</t>
        </is>
      </c>
      <c r="D772" s="46" t="inlineStr">
        <is>
          <t>₹ 0</t>
        </is>
      </c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</row>
    <row r="773" ht="16.5" customHeight="1" s="85">
      <c r="A773" s="46" t="inlineStr">
        <is>
          <t>Hari</t>
        </is>
      </c>
      <c r="B773" s="46" t="n">
        <v>9176807997</v>
      </c>
      <c r="C773" s="46" t="inlineStr">
        <is>
          <t>Customer</t>
        </is>
      </c>
      <c r="D773" s="46" t="inlineStr">
        <is>
          <t>₹ 0</t>
        </is>
      </c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</row>
    <row r="774" ht="16.5" customHeight="1" s="85">
      <c r="A774" s="46" t="inlineStr">
        <is>
          <t>Reeja</t>
        </is>
      </c>
      <c r="B774" s="46" t="n">
        <v>9179330864</v>
      </c>
      <c r="C774" s="46" t="inlineStr">
        <is>
          <t>Customer</t>
        </is>
      </c>
      <c r="D774" s="46" t="inlineStr">
        <is>
          <t>₹ 0</t>
        </is>
      </c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</row>
    <row r="775" ht="16.5" customHeight="1" s="85">
      <c r="A775" s="46" t="inlineStr">
        <is>
          <t>Litty</t>
        </is>
      </c>
      <c r="B775" s="46" t="n">
        <v>9188031669</v>
      </c>
      <c r="C775" s="46" t="inlineStr">
        <is>
          <t>Customer</t>
        </is>
      </c>
      <c r="D775" s="46" t="inlineStr">
        <is>
          <t>₹ 0</t>
        </is>
      </c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</row>
    <row r="776" ht="16.5" customHeight="1" s="85">
      <c r="A776" s="46" t="inlineStr">
        <is>
          <t>Nitin</t>
        </is>
      </c>
      <c r="B776" s="46" t="n">
        <v>9188481270</v>
      </c>
      <c r="C776" s="46" t="inlineStr">
        <is>
          <t>Customer</t>
        </is>
      </c>
      <c r="D776" s="46" t="inlineStr">
        <is>
          <t>₹ 0</t>
        </is>
      </c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</row>
    <row r="777" ht="16.5" customHeight="1" s="85">
      <c r="A777" s="46" t="inlineStr">
        <is>
          <t>Bony</t>
        </is>
      </c>
      <c r="B777" s="46" t="n">
        <v>9188823144</v>
      </c>
      <c r="C777" s="46" t="inlineStr">
        <is>
          <t>Customer</t>
        </is>
      </c>
      <c r="D777" s="46" t="inlineStr">
        <is>
          <t>₹ 0</t>
        </is>
      </c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</row>
    <row r="778" ht="16.5" customHeight="1" s="85">
      <c r="A778" s="46" t="inlineStr">
        <is>
          <t>Surekha</t>
        </is>
      </c>
      <c r="B778" s="46" t="n">
        <v>9198220434</v>
      </c>
      <c r="C778" s="46" t="inlineStr">
        <is>
          <t>Customer</t>
        </is>
      </c>
      <c r="D778" s="46" t="inlineStr">
        <is>
          <t>₹ 0</t>
        </is>
      </c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</row>
    <row r="779" ht="16.5" customHeight="1" s="85">
      <c r="A779" s="46" t="inlineStr">
        <is>
          <t>Samuel</t>
        </is>
      </c>
      <c r="B779" s="46" t="n">
        <v>9198359591</v>
      </c>
      <c r="C779" s="46" t="inlineStr">
        <is>
          <t>Customer</t>
        </is>
      </c>
      <c r="D779" s="46" t="inlineStr">
        <is>
          <t>₹ 0</t>
        </is>
      </c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</row>
    <row r="780" ht="16.5" customHeight="1" s="85">
      <c r="A780" s="46" t="inlineStr">
        <is>
          <t>R.Joseph</t>
        </is>
      </c>
      <c r="B780" s="46" t="n">
        <v>9198631432</v>
      </c>
      <c r="C780" s="46" t="inlineStr">
        <is>
          <t>Customer</t>
        </is>
      </c>
      <c r="D780" s="46" t="inlineStr">
        <is>
          <t>₹ 0</t>
        </is>
      </c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</row>
    <row r="781" ht="16.5" customHeight="1" s="85">
      <c r="A781" s="46" t="inlineStr">
        <is>
          <t>Neena</t>
        </is>
      </c>
      <c r="B781" s="46" t="n">
        <v>9198716044</v>
      </c>
      <c r="C781" s="46" t="inlineStr">
        <is>
          <t>Customer</t>
        </is>
      </c>
      <c r="D781" s="46" t="inlineStr">
        <is>
          <t>₹ 0</t>
        </is>
      </c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</row>
    <row r="782" ht="16.5" customHeight="1" s="85">
      <c r="A782" s="46" t="inlineStr">
        <is>
          <t>Father Jobi</t>
        </is>
      </c>
      <c r="B782" s="46" t="n">
        <v>9198729911</v>
      </c>
      <c r="C782" s="46" t="inlineStr">
        <is>
          <t>Customer</t>
        </is>
      </c>
      <c r="D782" s="46" t="inlineStr">
        <is>
          <t>₹ 0</t>
        </is>
      </c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</row>
    <row r="783" ht="16.5" customHeight="1" s="85">
      <c r="A783" s="46" t="inlineStr">
        <is>
          <t>Vikas Kannaujiya</t>
        </is>
      </c>
      <c r="B783" s="46" t="n">
        <v>9198853628</v>
      </c>
      <c r="C783" s="46" t="inlineStr">
        <is>
          <t>Customer</t>
        </is>
      </c>
      <c r="D783" s="46" t="inlineStr">
        <is>
          <t>₹ 0</t>
        </is>
      </c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</row>
    <row r="784" ht="16.5" customHeight="1" s="85">
      <c r="A784" s="46" t="inlineStr">
        <is>
          <t>Mahesh</t>
        </is>
      </c>
      <c r="B784" s="46" t="n">
        <v>9205967887</v>
      </c>
      <c r="C784" s="46" t="inlineStr">
        <is>
          <t>Customer</t>
        </is>
      </c>
      <c r="D784" s="46" t="inlineStr">
        <is>
          <t>₹ 0</t>
        </is>
      </c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</row>
    <row r="785" ht="16.5" customHeight="1" s="85">
      <c r="A785" s="46" t="inlineStr">
        <is>
          <t>Ashiq</t>
        </is>
      </c>
      <c r="B785" s="46" t="n">
        <v>9207117908</v>
      </c>
      <c r="C785" s="46" t="inlineStr">
        <is>
          <t>Customer</t>
        </is>
      </c>
      <c r="D785" s="46" t="inlineStr">
        <is>
          <t>₹ 0</t>
        </is>
      </c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</row>
    <row r="786" ht="16.5" customHeight="1" s="85">
      <c r="A786" s="46" t="inlineStr">
        <is>
          <t>Rajesh</t>
        </is>
      </c>
      <c r="B786" s="46" t="n">
        <v>9207201013</v>
      </c>
      <c r="C786" s="46" t="inlineStr">
        <is>
          <t>Customer</t>
        </is>
      </c>
      <c r="D786" s="46" t="inlineStr">
        <is>
          <t>₹ 0</t>
        </is>
      </c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</row>
    <row r="787" ht="16.5" customHeight="1" s="85">
      <c r="A787" s="46" t="inlineStr">
        <is>
          <t>Stifin</t>
        </is>
      </c>
      <c r="B787" s="46" t="n">
        <v>9207645775</v>
      </c>
      <c r="C787" s="46" t="inlineStr">
        <is>
          <t>Customer</t>
        </is>
      </c>
      <c r="D787" s="46" t="inlineStr">
        <is>
          <t>₹ 0</t>
        </is>
      </c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</row>
    <row r="788" ht="16.5" customHeight="1" s="85">
      <c r="A788" s="46" t="inlineStr">
        <is>
          <t>Jobin</t>
        </is>
      </c>
      <c r="B788" s="46" t="n">
        <v>9207646325</v>
      </c>
      <c r="C788" s="46" t="inlineStr">
        <is>
          <t>Customer</t>
        </is>
      </c>
      <c r="D788" s="46" t="inlineStr">
        <is>
          <t>₹ 0</t>
        </is>
      </c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</row>
    <row r="789" ht="16.5" customHeight="1" s="85">
      <c r="A789" s="46" t="inlineStr">
        <is>
          <t>Sneha</t>
        </is>
      </c>
      <c r="B789" s="46" t="n">
        <v>9207857548</v>
      </c>
      <c r="C789" s="46" t="inlineStr">
        <is>
          <t>Customer</t>
        </is>
      </c>
      <c r="D789" s="46" t="inlineStr">
        <is>
          <t>₹ 0</t>
        </is>
      </c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</row>
    <row r="790" ht="16.5" customHeight="1" s="85">
      <c r="A790" s="46" t="inlineStr">
        <is>
          <t>Charity Of Missionary</t>
        </is>
      </c>
      <c r="B790" s="46" t="n">
        <v>9214044018</v>
      </c>
      <c r="C790" s="46" t="inlineStr">
        <is>
          <t>Customer</t>
        </is>
      </c>
      <c r="D790" s="46" t="inlineStr">
        <is>
          <t>₹ 0</t>
        </is>
      </c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</row>
    <row r="791" ht="16.5" customHeight="1" s="85">
      <c r="A791" s="46" t="inlineStr">
        <is>
          <t>Ramya</t>
        </is>
      </c>
      <c r="B791" s="46" t="n">
        <v>9214630208</v>
      </c>
      <c r="C791" s="46" t="inlineStr">
        <is>
          <t>Customer</t>
        </is>
      </c>
      <c r="D791" s="46" t="inlineStr">
        <is>
          <t>₹ 0</t>
        </is>
      </c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</row>
    <row r="792" ht="16.5" customHeight="1" s="85">
      <c r="A792" s="46" t="inlineStr">
        <is>
          <t>Dinesh ICT 2021</t>
        </is>
      </c>
      <c r="B792" s="46" t="n">
        <v>9219570682</v>
      </c>
      <c r="C792" s="46" t="inlineStr">
        <is>
          <t>Customer</t>
        </is>
      </c>
      <c r="D792" s="46" t="inlineStr">
        <is>
          <t>₹ 0</t>
        </is>
      </c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</row>
    <row r="793" ht="16.5" customHeight="1" s="85">
      <c r="A793" s="46" t="inlineStr">
        <is>
          <t>Jiju Thomas</t>
        </is>
      </c>
      <c r="B793" s="46" t="n">
        <v>9234370087</v>
      </c>
      <c r="C793" s="46" t="inlineStr">
        <is>
          <t>Customer</t>
        </is>
      </c>
      <c r="D793" s="46" t="inlineStr">
        <is>
          <t>₹ 0</t>
        </is>
      </c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</row>
    <row r="794" ht="16.5" customHeight="1" s="85">
      <c r="A794" s="46" t="inlineStr">
        <is>
          <t>Deepu Bhaiya</t>
        </is>
      </c>
      <c r="B794" s="46" t="n">
        <v>9235472292</v>
      </c>
      <c r="C794" s="46" t="inlineStr">
        <is>
          <t>Customer</t>
        </is>
      </c>
      <c r="D794" s="46" t="inlineStr">
        <is>
          <t>₹ 0</t>
        </is>
      </c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</row>
    <row r="795" ht="16.5" customHeight="1" s="85">
      <c r="A795" s="46" t="inlineStr">
        <is>
          <t>Pankaj</t>
        </is>
      </c>
      <c r="B795" s="46" t="n">
        <v>9235631225</v>
      </c>
      <c r="C795" s="46" t="inlineStr">
        <is>
          <t>Customer</t>
        </is>
      </c>
      <c r="D795" s="46" t="inlineStr">
        <is>
          <t>₹ 0</t>
        </is>
      </c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</row>
    <row r="796" ht="16.5" customHeight="1" s="85">
      <c r="A796" s="46" t="inlineStr">
        <is>
          <t>Raju</t>
        </is>
      </c>
      <c r="B796" s="46" t="n">
        <v>9235709717</v>
      </c>
      <c r="C796" s="46" t="inlineStr">
        <is>
          <t>Customer</t>
        </is>
      </c>
      <c r="D796" s="46" t="inlineStr">
        <is>
          <t>₹ 0</t>
        </is>
      </c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</row>
    <row r="797" ht="16.5" customHeight="1" s="85">
      <c r="A797" s="46" t="inlineStr">
        <is>
          <t>Rauni</t>
        </is>
      </c>
      <c r="B797" s="46" t="n">
        <v>9250130644</v>
      </c>
      <c r="C797" s="46" t="inlineStr">
        <is>
          <t>Customer</t>
        </is>
      </c>
      <c r="D797" s="46" t="inlineStr">
        <is>
          <t>₹ 0</t>
        </is>
      </c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</row>
    <row r="798" ht="16.5" customHeight="1" s="85">
      <c r="A798" s="46" t="inlineStr">
        <is>
          <t>Josin</t>
        </is>
      </c>
      <c r="B798" s="46" t="n">
        <v>9250245424</v>
      </c>
      <c r="C798" s="46" t="inlineStr">
        <is>
          <t>Customer</t>
        </is>
      </c>
      <c r="D798" s="46" t="inlineStr">
        <is>
          <t>₹ 0</t>
        </is>
      </c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</row>
    <row r="799" ht="16.5" customHeight="1" s="85">
      <c r="A799" s="46" t="inlineStr">
        <is>
          <t>Anil Sharma</t>
        </is>
      </c>
      <c r="B799" s="46" t="n">
        <v>9250351641</v>
      </c>
      <c r="C799" s="46" t="inlineStr">
        <is>
          <t>Customer</t>
        </is>
      </c>
      <c r="D799" s="46" t="inlineStr">
        <is>
          <t>₹ 0</t>
        </is>
      </c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</row>
    <row r="800" ht="16.5" customHeight="1" s="85">
      <c r="A800" s="46" t="inlineStr">
        <is>
          <t>Providence Home Ekla</t>
        </is>
      </c>
      <c r="B800" s="46" t="n">
        <v>9250954923</v>
      </c>
      <c r="C800" s="46" t="inlineStr">
        <is>
          <t>Customer</t>
        </is>
      </c>
      <c r="D800" s="46" t="inlineStr">
        <is>
          <t>₹ 0</t>
        </is>
      </c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</row>
    <row r="801" ht="16.5" customHeight="1" s="85">
      <c r="A801" s="46" t="inlineStr">
        <is>
          <t>Father Sibi Sivan</t>
        </is>
      </c>
      <c r="B801" s="46" t="n">
        <v>9262308599</v>
      </c>
      <c r="C801" s="46" t="inlineStr">
        <is>
          <t>Customer</t>
        </is>
      </c>
      <c r="D801" s="46" t="inlineStr">
        <is>
          <t>₹ 0</t>
        </is>
      </c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</row>
    <row r="802" ht="16.5" customHeight="1" s="85">
      <c r="A802" s="46" t="inlineStr">
        <is>
          <t>Little Flower</t>
        </is>
      </c>
      <c r="B802" s="46" t="n">
        <v>9262376444</v>
      </c>
      <c r="C802" s="46" t="inlineStr">
        <is>
          <t>Customer</t>
        </is>
      </c>
      <c r="D802" s="46" t="inlineStr">
        <is>
          <t>₹ 0</t>
        </is>
      </c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</row>
    <row r="803" ht="16.5" customHeight="1" s="85">
      <c r="A803" s="46" t="inlineStr">
        <is>
          <t>Komal Singh</t>
        </is>
      </c>
      <c r="B803" s="46" t="n">
        <v>9264937231</v>
      </c>
      <c r="C803" s="46" t="inlineStr">
        <is>
          <t>Customer</t>
        </is>
      </c>
      <c r="D803" s="46" t="inlineStr">
        <is>
          <t>₹ 0</t>
        </is>
      </c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</row>
    <row r="804" ht="16.5" customHeight="1" s="85">
      <c r="A804" s="46" t="inlineStr">
        <is>
          <t>Mukesh</t>
        </is>
      </c>
      <c r="B804" s="46" t="n">
        <v>9278160800</v>
      </c>
      <c r="C804" s="46" t="inlineStr">
        <is>
          <t>Customer</t>
        </is>
      </c>
      <c r="D804" s="46" t="inlineStr">
        <is>
          <t>₹ 0</t>
        </is>
      </c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</row>
    <row r="805" ht="16.5" customHeight="1" s="85">
      <c r="A805" s="46" t="inlineStr">
        <is>
          <t>Krishna</t>
        </is>
      </c>
      <c r="B805" s="46" t="n">
        <v>9279217417</v>
      </c>
      <c r="C805" s="46" t="inlineStr">
        <is>
          <t>Customer</t>
        </is>
      </c>
      <c r="D805" s="46" t="inlineStr">
        <is>
          <t>₹ 0</t>
        </is>
      </c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</row>
    <row r="806" ht="16.5" customHeight="1" s="85">
      <c r="A806" s="46" t="inlineStr">
        <is>
          <t>Roy</t>
        </is>
      </c>
      <c r="B806" s="46" t="n">
        <v>9304674805</v>
      </c>
      <c r="C806" s="46" t="inlineStr">
        <is>
          <t>Customer</t>
        </is>
      </c>
      <c r="D806" s="46" t="inlineStr">
        <is>
          <t>₹ 0</t>
        </is>
      </c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</row>
    <row r="807" ht="16.5" customHeight="1" s="85">
      <c r="A807" s="46" t="inlineStr">
        <is>
          <t>Ajay</t>
        </is>
      </c>
      <c r="B807" s="46" t="n">
        <v>9305031658</v>
      </c>
      <c r="C807" s="46" t="inlineStr">
        <is>
          <t>Customer</t>
        </is>
      </c>
      <c r="D807" s="46" t="inlineStr">
        <is>
          <t>₹ 0</t>
        </is>
      </c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</row>
    <row r="808" ht="16.5" customHeight="1" s="85">
      <c r="A808" s="46" t="inlineStr">
        <is>
          <t>Annma</t>
        </is>
      </c>
      <c r="B808" s="46" t="n">
        <v>9305185398</v>
      </c>
      <c r="C808" s="46" t="inlineStr">
        <is>
          <t>Customer</t>
        </is>
      </c>
      <c r="D808" s="46" t="inlineStr">
        <is>
          <t>₹ 0</t>
        </is>
      </c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</row>
    <row r="809" ht="16.5" customHeight="1" s="85">
      <c r="A809" s="46" t="inlineStr">
        <is>
          <t>Kavita Singh</t>
        </is>
      </c>
      <c r="B809" s="46" t="n">
        <v>9305313832</v>
      </c>
      <c r="C809" s="46" t="inlineStr">
        <is>
          <t>Customer</t>
        </is>
      </c>
      <c r="D809" s="46" t="inlineStr">
        <is>
          <t>₹ 0</t>
        </is>
      </c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</row>
    <row r="810" ht="16.5" customHeight="1" s="85">
      <c r="A810" s="46" t="inlineStr">
        <is>
          <t>Missionarys Of Charity</t>
        </is>
      </c>
      <c r="B810" s="46" t="n">
        <v>9305723772</v>
      </c>
      <c r="C810" s="46" t="inlineStr">
        <is>
          <t>Customer</t>
        </is>
      </c>
      <c r="D810" s="46" t="inlineStr">
        <is>
          <t>₹ 0</t>
        </is>
      </c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</row>
    <row r="811" ht="16.5" customHeight="1" s="85">
      <c r="A811" s="46" t="inlineStr">
        <is>
          <t>Abhishek Joy 2025</t>
        </is>
      </c>
      <c r="B811" s="46" t="n">
        <v>9305906580</v>
      </c>
      <c r="C811" s="46" t="inlineStr">
        <is>
          <t>Customer</t>
        </is>
      </c>
      <c r="D811" s="46" t="inlineStr">
        <is>
          <t>₹ 0</t>
        </is>
      </c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</row>
    <row r="812" ht="16.5" customHeight="1" s="85">
      <c r="A812" s="46" t="inlineStr">
        <is>
          <t>Pratheesh</t>
        </is>
      </c>
      <c r="B812" s="46" t="n">
        <v>9305925516</v>
      </c>
      <c r="C812" s="46" t="inlineStr">
        <is>
          <t>Customer</t>
        </is>
      </c>
      <c r="D812" s="46" t="inlineStr">
        <is>
          <t>₹ 0</t>
        </is>
      </c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</row>
    <row r="813" ht="16.5" customHeight="1" s="85">
      <c r="A813" s="46" t="inlineStr">
        <is>
          <t>Kushinagar Malayali</t>
        </is>
      </c>
      <c r="B813" s="46" t="n">
        <v>9305964551</v>
      </c>
      <c r="C813" s="46" t="inlineStr">
        <is>
          <t>Customer</t>
        </is>
      </c>
      <c r="D813" s="46" t="inlineStr">
        <is>
          <t>₹ 0</t>
        </is>
      </c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</row>
    <row r="814" ht="16.5" customHeight="1" s="85">
      <c r="A814" s="46" t="inlineStr">
        <is>
          <t>Davis</t>
        </is>
      </c>
      <c r="B814" s="46" t="n">
        <v>9310629540</v>
      </c>
      <c r="C814" s="46" t="inlineStr">
        <is>
          <t>Customer</t>
        </is>
      </c>
      <c r="D814" s="46" t="inlineStr">
        <is>
          <t>₹ 0</t>
        </is>
      </c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</row>
    <row r="815" ht="16.5" customHeight="1" s="85">
      <c r="A815" s="46" t="inlineStr">
        <is>
          <t>Sister Shiba</t>
        </is>
      </c>
      <c r="B815" s="46" t="n">
        <v>9322398543</v>
      </c>
      <c r="C815" s="46" t="inlineStr">
        <is>
          <t>Customer</t>
        </is>
      </c>
      <c r="D815" s="46" t="inlineStr">
        <is>
          <t>₹ 0</t>
        </is>
      </c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</row>
    <row r="816" ht="16.5" customHeight="1" s="85">
      <c r="A816" s="46" t="inlineStr">
        <is>
          <t>Vishal Jacob</t>
        </is>
      </c>
      <c r="B816" s="46" t="n">
        <v>9335007749</v>
      </c>
      <c r="C816" s="46" t="inlineStr">
        <is>
          <t>Customer</t>
        </is>
      </c>
      <c r="D816" s="46" t="inlineStr">
        <is>
          <t>₹ 0</t>
        </is>
      </c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</row>
    <row r="817" ht="16.5" customHeight="1" s="85">
      <c r="A817" s="46" t="inlineStr">
        <is>
          <t>Narayan Moses Padrauna</t>
        </is>
      </c>
      <c r="B817" s="46" t="n">
        <v>9335197830</v>
      </c>
      <c r="C817" s="46" t="inlineStr">
        <is>
          <t>Customer</t>
        </is>
      </c>
      <c r="D817" s="46" t="inlineStr">
        <is>
          <t>₹ 0</t>
        </is>
      </c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</row>
    <row r="818" ht="16.5" customHeight="1" s="85">
      <c r="A818" s="46" t="inlineStr">
        <is>
          <t>Sunny</t>
        </is>
      </c>
      <c r="B818" s="46" t="n">
        <v>9335200200</v>
      </c>
      <c r="C818" s="46" t="inlineStr">
        <is>
          <t>Customer</t>
        </is>
      </c>
      <c r="D818" s="46" t="inlineStr">
        <is>
          <t>₹ 0</t>
        </is>
      </c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</row>
    <row r="819" ht="16.5" customHeight="1" s="85">
      <c r="A819" s="46" t="inlineStr">
        <is>
          <t>John</t>
        </is>
      </c>
      <c r="B819" s="46" t="n">
        <v>9335229255</v>
      </c>
      <c r="C819" s="46" t="inlineStr">
        <is>
          <t>Customer</t>
        </is>
      </c>
      <c r="D819" s="46" t="inlineStr">
        <is>
          <t>₹ 0</t>
        </is>
      </c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</row>
    <row r="820" ht="16.5" customHeight="1" s="85">
      <c r="A820" s="46" t="inlineStr">
        <is>
          <t>Amit</t>
        </is>
      </c>
      <c r="B820" s="46" t="n">
        <v>9335770330</v>
      </c>
      <c r="C820" s="46" t="inlineStr">
        <is>
          <t>Customer</t>
        </is>
      </c>
      <c r="D820" s="46" t="inlineStr">
        <is>
          <t>₹ 0</t>
        </is>
      </c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</row>
    <row r="821" ht="16.5" customHeight="1" s="85">
      <c r="A821" s="46" t="inlineStr">
        <is>
          <t>Dominic</t>
        </is>
      </c>
      <c r="B821" s="46" t="n">
        <v>9335972738</v>
      </c>
      <c r="C821" s="46" t="inlineStr">
        <is>
          <t>Customer</t>
        </is>
      </c>
      <c r="D821" s="46" t="inlineStr">
        <is>
          <t>₹ 0</t>
        </is>
      </c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</row>
    <row r="822" ht="16.5" customHeight="1" s="85">
      <c r="A822" s="46" t="inlineStr">
        <is>
          <t>Nivedita</t>
        </is>
      </c>
      <c r="B822" s="46" t="n">
        <v>9336177612</v>
      </c>
      <c r="C822" s="46" t="inlineStr">
        <is>
          <t>Customer</t>
        </is>
      </c>
      <c r="D822" s="46" t="inlineStr">
        <is>
          <t>₹ 0</t>
        </is>
      </c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</row>
    <row r="823" ht="16.5" customHeight="1" s="85">
      <c r="A823" s="46" t="inlineStr">
        <is>
          <t>Joshua Uncle</t>
        </is>
      </c>
      <c r="B823" s="46" t="n">
        <v>9336178744</v>
      </c>
      <c r="C823" s="46" t="inlineStr">
        <is>
          <t>Customer</t>
        </is>
      </c>
      <c r="D823" s="46" t="inlineStr">
        <is>
          <t>₹ 0</t>
        </is>
      </c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</row>
    <row r="824" ht="16.5" customHeight="1" s="85">
      <c r="A824" s="46" t="inlineStr">
        <is>
          <t>Jobin</t>
        </is>
      </c>
      <c r="B824" s="46" t="n">
        <v>9336191178</v>
      </c>
      <c r="C824" s="46" t="inlineStr">
        <is>
          <t>Customer</t>
        </is>
      </c>
      <c r="D824" s="46" t="inlineStr">
        <is>
          <t>₹ 0</t>
        </is>
      </c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</row>
    <row r="825" ht="16.5" customHeight="1" s="85">
      <c r="A825" s="46" t="inlineStr">
        <is>
          <t>Dan</t>
        </is>
      </c>
      <c r="B825" s="46" t="n">
        <v>9336249619</v>
      </c>
      <c r="C825" s="46" t="inlineStr">
        <is>
          <t>Customer</t>
        </is>
      </c>
      <c r="D825" s="46" t="inlineStr">
        <is>
          <t>₹ 0</t>
        </is>
      </c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</row>
    <row r="826" ht="16.5" customHeight="1" s="85">
      <c r="A826" s="46" t="inlineStr">
        <is>
          <t>Sinsha</t>
        </is>
      </c>
      <c r="B826" s="46" t="n">
        <v>9336380706</v>
      </c>
      <c r="C826" s="46" t="inlineStr">
        <is>
          <t>Customer</t>
        </is>
      </c>
      <c r="D826" s="46" t="inlineStr">
        <is>
          <t>₹ 0</t>
        </is>
      </c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</row>
    <row r="827" ht="16.5" customHeight="1" s="85">
      <c r="A827" s="46" t="inlineStr">
        <is>
          <t>Manisha</t>
        </is>
      </c>
      <c r="B827" s="46" t="n">
        <v>9336449854</v>
      </c>
      <c r="C827" s="46" t="inlineStr">
        <is>
          <t>Customer</t>
        </is>
      </c>
      <c r="D827" s="46" t="inlineStr">
        <is>
          <t>₹ 0</t>
        </is>
      </c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</row>
    <row r="828" ht="16.5" customHeight="1" s="85">
      <c r="A828" s="46" t="inlineStr">
        <is>
          <t>Abhijit Yaquib</t>
        </is>
      </c>
      <c r="B828" s="46" t="n">
        <v>9336994313</v>
      </c>
      <c r="C828" s="46" t="inlineStr">
        <is>
          <t>Customer</t>
        </is>
      </c>
      <c r="D828" s="46" t="inlineStr">
        <is>
          <t>₹ 0</t>
        </is>
      </c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</row>
    <row r="829" ht="16.5" customHeight="1" s="85">
      <c r="A829" s="46" t="inlineStr">
        <is>
          <t>Pr.John</t>
        </is>
      </c>
      <c r="B829" s="46" t="n">
        <v>9338229255</v>
      </c>
      <c r="C829" s="46" t="inlineStr">
        <is>
          <t>Customer</t>
        </is>
      </c>
      <c r="D829" s="46" t="inlineStr">
        <is>
          <t>₹ 0</t>
        </is>
      </c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</row>
    <row r="830" ht="16.5" customHeight="1" s="85">
      <c r="A830" s="46" t="inlineStr">
        <is>
          <t>Rajkumar</t>
        </is>
      </c>
      <c r="B830" s="46" t="n">
        <v>9345972738</v>
      </c>
      <c r="C830" s="46" t="inlineStr">
        <is>
          <t>Customer</t>
        </is>
      </c>
      <c r="D830" s="46" t="inlineStr">
        <is>
          <t>₹ 0</t>
        </is>
      </c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</row>
    <row r="831" ht="16.5" customHeight="1" s="85">
      <c r="A831" s="46" t="inlineStr">
        <is>
          <t>Sudhir</t>
        </is>
      </c>
      <c r="B831" s="46" t="n">
        <v>9357174583</v>
      </c>
      <c r="C831" s="46" t="inlineStr">
        <is>
          <t>Customer</t>
        </is>
      </c>
      <c r="D831" s="46" t="inlineStr">
        <is>
          <t>₹ 0</t>
        </is>
      </c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</row>
    <row r="832" ht="16.5" customHeight="1" s="85">
      <c r="A832" s="46" t="inlineStr">
        <is>
          <t>Arul</t>
        </is>
      </c>
      <c r="B832" s="46" t="n">
        <v>9360977229</v>
      </c>
      <c r="C832" s="46" t="inlineStr">
        <is>
          <t>Customer</t>
        </is>
      </c>
      <c r="D832" s="46" t="inlineStr">
        <is>
          <t>₹ 0</t>
        </is>
      </c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</row>
    <row r="833" ht="16.5" customHeight="1" s="85">
      <c r="A833" s="46" t="inlineStr">
        <is>
          <t>Kichu</t>
        </is>
      </c>
      <c r="B833" s="46" t="n">
        <v>9361175026</v>
      </c>
      <c r="C833" s="46" t="inlineStr">
        <is>
          <t>Customer</t>
        </is>
      </c>
      <c r="D833" s="46" t="inlineStr">
        <is>
          <t>₹ 0</t>
        </is>
      </c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</row>
    <row r="834" ht="16.5" customHeight="1" s="85">
      <c r="A834" s="46" t="inlineStr">
        <is>
          <t>Dilin Ashokan</t>
        </is>
      </c>
      <c r="B834" s="46" t="n">
        <v>9365273620</v>
      </c>
      <c r="C834" s="46" t="inlineStr">
        <is>
          <t>Customer</t>
        </is>
      </c>
      <c r="D834" s="46" t="inlineStr">
        <is>
          <t>₹ 0</t>
        </is>
      </c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</row>
    <row r="835" ht="16.5" customHeight="1" s="85">
      <c r="A835" s="46" t="inlineStr">
        <is>
          <t>Bijoy</t>
        </is>
      </c>
      <c r="B835" s="46" t="n">
        <v>9366451652</v>
      </c>
      <c r="C835" s="46" t="inlineStr">
        <is>
          <t>Customer</t>
        </is>
      </c>
      <c r="D835" s="46" t="inlineStr">
        <is>
          <t>₹ 0</t>
        </is>
      </c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</row>
    <row r="836" ht="16.5" customHeight="1" s="85">
      <c r="A836" s="46" t="inlineStr">
        <is>
          <t>Cbi</t>
        </is>
      </c>
      <c r="B836" s="46" t="n">
        <v>9366627875</v>
      </c>
      <c r="C836" s="46" t="inlineStr">
        <is>
          <t>Customer</t>
        </is>
      </c>
      <c r="D836" s="46" t="inlineStr">
        <is>
          <t>₹ 0</t>
        </is>
      </c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</row>
    <row r="837" ht="16.5" customHeight="1" s="85">
      <c r="A837" s="46" t="inlineStr">
        <is>
          <t>Deepak</t>
        </is>
      </c>
      <c r="B837" s="46" t="n">
        <v>9369023250</v>
      </c>
      <c r="C837" s="46" t="inlineStr">
        <is>
          <t>Customer</t>
        </is>
      </c>
      <c r="D837" s="46" t="inlineStr">
        <is>
          <t>₹ 0</t>
        </is>
      </c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</row>
    <row r="838" ht="16.5" customHeight="1" s="85">
      <c r="A838" s="46" t="inlineStr">
        <is>
          <t>Shrayesh</t>
        </is>
      </c>
      <c r="B838" s="46" t="n">
        <v>9369175550</v>
      </c>
      <c r="C838" s="46" t="inlineStr">
        <is>
          <t>Customer</t>
        </is>
      </c>
      <c r="D838" s="46" t="inlineStr">
        <is>
          <t>₹ 0</t>
        </is>
      </c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</row>
    <row r="839" ht="16.5" customHeight="1" s="85">
      <c r="A839" s="46" t="inlineStr">
        <is>
          <t>Sunil Gupta</t>
        </is>
      </c>
      <c r="B839" s="46" t="n">
        <v>9369382303</v>
      </c>
      <c r="C839" s="46" t="inlineStr">
        <is>
          <t>Customer</t>
        </is>
      </c>
      <c r="D839" s="46" t="inlineStr">
        <is>
          <t>₹ 0</t>
        </is>
      </c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</row>
    <row r="840" ht="16.5" customHeight="1" s="85">
      <c r="A840" s="46" t="inlineStr">
        <is>
          <t>Binu Sir Deveria</t>
        </is>
      </c>
      <c r="B840" s="46" t="n">
        <v>9369550701</v>
      </c>
      <c r="C840" s="46" t="inlineStr">
        <is>
          <t>Customer</t>
        </is>
      </c>
      <c r="D840" s="46" t="inlineStr">
        <is>
          <t>₹ 0</t>
        </is>
      </c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</row>
    <row r="841" ht="16.5" customHeight="1" s="85">
      <c r="A841" s="46" t="inlineStr">
        <is>
          <t>Priyanka</t>
        </is>
      </c>
      <c r="B841" s="46" t="n">
        <v>9369868233</v>
      </c>
      <c r="C841" s="46" t="inlineStr">
        <is>
          <t>Customer</t>
        </is>
      </c>
      <c r="D841" s="46" t="inlineStr">
        <is>
          <t>₹ 0</t>
        </is>
      </c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</row>
    <row r="842" ht="16.5" customHeight="1" s="85">
      <c r="A842" s="46" t="inlineStr">
        <is>
          <t>Alex Chips</t>
        </is>
      </c>
      <c r="B842" s="46" t="n">
        <v>9387747179</v>
      </c>
      <c r="C842" s="46" t="inlineStr">
        <is>
          <t>Supplier</t>
        </is>
      </c>
      <c r="D842" s="46" t="inlineStr">
        <is>
          <t>₹ 0</t>
        </is>
      </c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</row>
    <row r="843" ht="16.5" customHeight="1" s="85">
      <c r="A843" s="46" t="inlineStr">
        <is>
          <t>Banesh</t>
        </is>
      </c>
      <c r="B843" s="46" t="n">
        <v>9389475890</v>
      </c>
      <c r="C843" s="46" t="inlineStr">
        <is>
          <t>Customer</t>
        </is>
      </c>
      <c r="D843" s="46" t="inlineStr">
        <is>
          <t>₹ 0</t>
        </is>
      </c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</row>
    <row r="844" ht="16.5" customHeight="1" s="85">
      <c r="A844" s="46" t="inlineStr">
        <is>
          <t>Rajan</t>
        </is>
      </c>
      <c r="B844" s="46" t="n">
        <v>9389660990</v>
      </c>
      <c r="C844" s="46" t="inlineStr">
        <is>
          <t>Customer</t>
        </is>
      </c>
      <c r="D844" s="46" t="inlineStr">
        <is>
          <t>₹ 0</t>
        </is>
      </c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</row>
    <row r="845" ht="16.5" customHeight="1" s="85">
      <c r="A845" s="46" t="inlineStr">
        <is>
          <t>Sister Amala</t>
        </is>
      </c>
      <c r="B845" s="46" t="n">
        <v>9399790259</v>
      </c>
      <c r="C845" s="46" t="inlineStr">
        <is>
          <t>Customer</t>
        </is>
      </c>
      <c r="D845" s="46" t="inlineStr">
        <is>
          <t>₹ 0</t>
        </is>
      </c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</row>
    <row r="846" ht="16.5" customHeight="1" s="85">
      <c r="A846" s="46" t="inlineStr">
        <is>
          <t>Sumesh</t>
        </is>
      </c>
      <c r="B846" s="46" t="n">
        <v>9400383388</v>
      </c>
      <c r="C846" s="46" t="inlineStr">
        <is>
          <t>Customer</t>
        </is>
      </c>
      <c r="D846" s="46" t="inlineStr">
        <is>
          <t>₹ 0</t>
        </is>
      </c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</row>
    <row r="847" ht="16.5" customHeight="1" s="85">
      <c r="A847" s="46" t="inlineStr">
        <is>
          <t>Ananya</t>
        </is>
      </c>
      <c r="B847" s="46" t="n">
        <v>9400455577</v>
      </c>
      <c r="C847" s="46" t="inlineStr">
        <is>
          <t>Customer</t>
        </is>
      </c>
      <c r="D847" s="46" t="inlineStr">
        <is>
          <t>₹ 0</t>
        </is>
      </c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</row>
    <row r="848" ht="16.5" customHeight="1" s="85">
      <c r="A848" s="46" t="inlineStr">
        <is>
          <t>Melbin</t>
        </is>
      </c>
      <c r="B848" s="46" t="n">
        <v>9400485338</v>
      </c>
      <c r="C848" s="46" t="inlineStr">
        <is>
          <t>Customer</t>
        </is>
      </c>
      <c r="D848" s="46" t="inlineStr">
        <is>
          <t>₹ 0</t>
        </is>
      </c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</row>
    <row r="849" ht="16.5" customHeight="1" s="85">
      <c r="A849" s="46" t="inlineStr">
        <is>
          <t>Jancy</t>
        </is>
      </c>
      <c r="B849" s="46" t="n">
        <v>9400610992</v>
      </c>
      <c r="C849" s="46" t="inlineStr">
        <is>
          <t>Customer</t>
        </is>
      </c>
      <c r="D849" s="46" t="inlineStr">
        <is>
          <t>₹ 0</t>
        </is>
      </c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</row>
    <row r="850" ht="16.5" customHeight="1" s="85">
      <c r="A850" s="46" t="inlineStr">
        <is>
          <t>Alka Saxena</t>
        </is>
      </c>
      <c r="B850" s="46" t="n">
        <v>9406982757</v>
      </c>
      <c r="C850" s="46" t="inlineStr">
        <is>
          <t>Customer</t>
        </is>
      </c>
      <c r="D850" s="46" t="inlineStr">
        <is>
          <t>₹ 0</t>
        </is>
      </c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</row>
    <row r="851" ht="16.5" customHeight="1" s="85">
      <c r="A851" s="46" t="inlineStr">
        <is>
          <t>Roychan Sir Malayali</t>
        </is>
      </c>
      <c r="B851" s="46" t="n">
        <v>9413074147</v>
      </c>
      <c r="C851" s="46" t="inlineStr">
        <is>
          <t>Customer</t>
        </is>
      </c>
      <c r="D851" s="46" t="inlineStr">
        <is>
          <t>₹ 0</t>
        </is>
      </c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</row>
    <row r="852" ht="16.5" customHeight="1" s="85">
      <c r="A852" s="46" t="inlineStr">
        <is>
          <t>Fr.Dominic</t>
        </is>
      </c>
      <c r="B852" s="46" t="n">
        <v>9415092109</v>
      </c>
      <c r="C852" s="46" t="inlineStr">
        <is>
          <t>Customer</t>
        </is>
      </c>
      <c r="D852" s="46" t="inlineStr">
        <is>
          <t>₹ 0</t>
        </is>
      </c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</row>
    <row r="853" ht="16.5" customHeight="1" s="85">
      <c r="A853" s="46" t="inlineStr">
        <is>
          <t>Father Soni</t>
        </is>
      </c>
      <c r="B853" s="46" t="n">
        <v>9415212269</v>
      </c>
      <c r="C853" s="46" t="inlineStr">
        <is>
          <t>Customer</t>
        </is>
      </c>
      <c r="D853" s="46" t="inlineStr">
        <is>
          <t>₹ 0</t>
        </is>
      </c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</row>
    <row r="854" ht="16.5" customHeight="1" s="85">
      <c r="A854" s="46" t="inlineStr">
        <is>
          <t>Fr Beny</t>
        </is>
      </c>
      <c r="B854" s="46" t="n">
        <v>9415213516</v>
      </c>
      <c r="C854" s="46" t="inlineStr">
        <is>
          <t>Customer</t>
        </is>
      </c>
      <c r="D854" s="46" t="inlineStr">
        <is>
          <t>₹ 0</t>
        </is>
      </c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</row>
    <row r="855" ht="16.5" customHeight="1" s="85">
      <c r="A855" s="46" t="inlineStr">
        <is>
          <t>Fr Mathew</t>
        </is>
      </c>
      <c r="B855" s="46" t="n">
        <v>9415222790</v>
      </c>
      <c r="C855" s="46" t="inlineStr">
        <is>
          <t>Customer</t>
        </is>
      </c>
      <c r="D855" s="46" t="inlineStr">
        <is>
          <t>₹ 0</t>
        </is>
      </c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</row>
    <row r="856" ht="16.5" customHeight="1" s="85">
      <c r="A856" s="46" t="inlineStr">
        <is>
          <t>Sunil Mathew Gideon</t>
        </is>
      </c>
      <c r="B856" s="46" t="n">
        <v>9415287165</v>
      </c>
      <c r="C856" s="46" t="inlineStr">
        <is>
          <t>Customer</t>
        </is>
      </c>
      <c r="D856" s="46" t="inlineStr">
        <is>
          <t>₹ 0</t>
        </is>
      </c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</row>
    <row r="857" ht="16.5" customHeight="1" s="85">
      <c r="A857" s="46" t="inlineStr">
        <is>
          <t>P.C Gupta</t>
        </is>
      </c>
      <c r="B857" s="46" t="n">
        <v>9415314887</v>
      </c>
      <c r="C857" s="46" t="inlineStr">
        <is>
          <t>Customer</t>
        </is>
      </c>
      <c r="D857" s="46" t="inlineStr">
        <is>
          <t>₹ 0</t>
        </is>
      </c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</row>
    <row r="858" ht="16.5" customHeight="1" s="85">
      <c r="A858" s="46" t="inlineStr">
        <is>
          <t>Arpita</t>
        </is>
      </c>
      <c r="B858" s="46" t="n">
        <v>9415326520</v>
      </c>
      <c r="C858" s="46" t="inlineStr">
        <is>
          <t>Customer</t>
        </is>
      </c>
      <c r="D858" s="46" t="inlineStr">
        <is>
          <t>₹ 0</t>
        </is>
      </c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</row>
    <row r="859" ht="16.5" customHeight="1" s="85">
      <c r="A859" s="46" t="inlineStr">
        <is>
          <t>David Petor</t>
        </is>
      </c>
      <c r="B859" s="46" t="n">
        <v>9415378504</v>
      </c>
      <c r="C859" s="46" t="inlineStr">
        <is>
          <t>Customer</t>
        </is>
      </c>
      <c r="D859" s="46" t="inlineStr">
        <is>
          <t>₹ 0</t>
        </is>
      </c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</row>
    <row r="860" ht="16.5" customHeight="1" s="85">
      <c r="A860" s="46" t="inlineStr">
        <is>
          <t>Fr.Mathews</t>
        </is>
      </c>
      <c r="B860" s="46" t="n">
        <v>9415383831</v>
      </c>
      <c r="C860" s="46" t="inlineStr">
        <is>
          <t>Customer</t>
        </is>
      </c>
      <c r="D860" s="46" t="inlineStr">
        <is>
          <t>₹ 0</t>
        </is>
      </c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</row>
    <row r="861" ht="16.5" customHeight="1" s="85">
      <c r="A861" s="46" t="inlineStr">
        <is>
          <t>Bishop Hose</t>
        </is>
      </c>
      <c r="B861" s="46" t="n">
        <v>9415495692</v>
      </c>
      <c r="C861" s="46" t="inlineStr">
        <is>
          <t>Customer</t>
        </is>
      </c>
      <c r="D861" s="46" t="inlineStr">
        <is>
          <t>₹ 0</t>
        </is>
      </c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</row>
    <row r="862" ht="16.5" customHeight="1" s="85">
      <c r="A862" s="46" t="inlineStr">
        <is>
          <t>Manuel Sebastian</t>
        </is>
      </c>
      <c r="B862" s="46" t="n">
        <v>9415557653</v>
      </c>
      <c r="C862" s="46" t="inlineStr">
        <is>
          <t>Customer</t>
        </is>
      </c>
      <c r="D862" s="46" t="inlineStr">
        <is>
          <t>₹ 0</t>
        </is>
      </c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</row>
    <row r="863" ht="16.5" customHeight="1" s="85">
      <c r="A863" s="46" t="inlineStr">
        <is>
          <t>Jaya Prakash</t>
        </is>
      </c>
      <c r="B863" s="46" t="n">
        <v>9415569101</v>
      </c>
      <c r="C863" s="46" t="inlineStr">
        <is>
          <t>Customer</t>
        </is>
      </c>
      <c r="D863" s="46" t="inlineStr">
        <is>
          <t>₹ 0</t>
        </is>
      </c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</row>
    <row r="864" ht="16.5" customHeight="1" s="85">
      <c r="A864" s="46" t="inlineStr">
        <is>
          <t>Rajendr Babu</t>
        </is>
      </c>
      <c r="B864" s="46" t="n">
        <v>9415576077</v>
      </c>
      <c r="C864" s="46" t="inlineStr">
        <is>
          <t>Customer</t>
        </is>
      </c>
      <c r="D864" s="46" t="inlineStr">
        <is>
          <t>₹ 0</t>
        </is>
      </c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</row>
    <row r="865" ht="16.5" customHeight="1" s="85">
      <c r="A865" s="46" t="inlineStr">
        <is>
          <t>Father Baiju</t>
        </is>
      </c>
      <c r="B865" s="46" t="n">
        <v>9415585326</v>
      </c>
      <c r="C865" s="46" t="inlineStr">
        <is>
          <t>Customer</t>
        </is>
      </c>
      <c r="D865" s="46" t="inlineStr">
        <is>
          <t>₹ 0</t>
        </is>
      </c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</row>
    <row r="866" ht="16.5" customHeight="1" s="85">
      <c r="A866" s="46" t="inlineStr">
        <is>
          <t>Geroge</t>
        </is>
      </c>
      <c r="B866" s="46" t="n">
        <v>9415685510</v>
      </c>
      <c r="C866" s="46" t="inlineStr">
        <is>
          <t>Customer</t>
        </is>
      </c>
      <c r="D866" s="46" t="inlineStr">
        <is>
          <t>₹ 0</t>
        </is>
      </c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</row>
    <row r="867" ht="16.5" customHeight="1" s="85">
      <c r="A867" s="46" t="inlineStr">
        <is>
          <t>Joseph</t>
        </is>
      </c>
      <c r="B867" s="46" t="n">
        <v>9415697302</v>
      </c>
      <c r="C867" s="46" t="inlineStr">
        <is>
          <t>Customer</t>
        </is>
      </c>
      <c r="D867" s="46" t="inlineStr">
        <is>
          <t>₹ 0</t>
        </is>
      </c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</row>
    <row r="868" ht="16.5" customHeight="1" s="85">
      <c r="A868" s="46" t="inlineStr">
        <is>
          <t>St.Joseph School Khorabar</t>
        </is>
      </c>
      <c r="B868" s="46" t="n">
        <v>9415799863</v>
      </c>
      <c r="C868" s="46" t="inlineStr">
        <is>
          <t>Customer</t>
        </is>
      </c>
      <c r="D868" s="46" t="inlineStr">
        <is>
          <t>₹ 0</t>
        </is>
      </c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</row>
    <row r="869" ht="16.5" customHeight="1" s="85">
      <c r="A869" s="46" t="inlineStr">
        <is>
          <t>Father Biju</t>
        </is>
      </c>
      <c r="B869" s="46" t="n">
        <v>9415818190</v>
      </c>
      <c r="C869" s="46" t="inlineStr">
        <is>
          <t>Customer</t>
        </is>
      </c>
      <c r="D869" s="46" t="inlineStr">
        <is>
          <t>₹ 0</t>
        </is>
      </c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</row>
    <row r="870" ht="16.5" customHeight="1" s="85">
      <c r="A870" s="46" t="inlineStr">
        <is>
          <t>Dr Psam</t>
        </is>
      </c>
      <c r="B870" s="46" t="n">
        <v>9415827558</v>
      </c>
      <c r="C870" s="46" t="inlineStr">
        <is>
          <t>Customer</t>
        </is>
      </c>
      <c r="D870" s="46" t="inlineStr">
        <is>
          <t>₹ 0</t>
        </is>
      </c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</row>
    <row r="871" ht="16.5" customHeight="1" s="85">
      <c r="A871" s="46" t="inlineStr">
        <is>
          <t>James</t>
        </is>
      </c>
      <c r="B871" s="46" t="n">
        <v>9415848849</v>
      </c>
      <c r="C871" s="46" t="inlineStr">
        <is>
          <t>Customer</t>
        </is>
      </c>
      <c r="D871" s="46" t="inlineStr">
        <is>
          <t>₹ 0</t>
        </is>
      </c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</row>
    <row r="872" ht="16.5" customHeight="1" s="85">
      <c r="A872" s="46" t="inlineStr">
        <is>
          <t>Joseph</t>
        </is>
      </c>
      <c r="B872" s="46" t="n">
        <v>9415900468</v>
      </c>
      <c r="C872" s="46" t="inlineStr">
        <is>
          <t>Customer</t>
        </is>
      </c>
      <c r="D872" s="46" t="inlineStr">
        <is>
          <t>₹ 0</t>
        </is>
      </c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</row>
    <row r="873" ht="16.5" customHeight="1" s="85">
      <c r="A873" s="46" t="inlineStr">
        <is>
          <t>Ravi Kumar KEF</t>
        </is>
      </c>
      <c r="B873" s="46" t="n">
        <v>9419162104</v>
      </c>
      <c r="C873" s="46" t="inlineStr">
        <is>
          <t>Customer</t>
        </is>
      </c>
      <c r="D873" s="46" t="inlineStr">
        <is>
          <t>₹ 0</t>
        </is>
      </c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</row>
    <row r="874" ht="16.5" customHeight="1" s="85">
      <c r="A874" s="46" t="inlineStr">
        <is>
          <t>Pranav</t>
        </is>
      </c>
      <c r="B874" s="46" t="n">
        <v>9431347120</v>
      </c>
      <c r="C874" s="46" t="inlineStr">
        <is>
          <t>Customer</t>
        </is>
      </c>
      <c r="D874" s="46" t="inlineStr">
        <is>
          <t>₹ 0</t>
        </is>
      </c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</row>
    <row r="875" ht="16.5" customHeight="1" s="85">
      <c r="A875" s="46" t="inlineStr">
        <is>
          <t>Biranji</t>
        </is>
      </c>
      <c r="B875" s="46" t="n">
        <v>9439204413</v>
      </c>
      <c r="C875" s="46" t="inlineStr">
        <is>
          <t>Customer</t>
        </is>
      </c>
      <c r="D875" s="46" t="inlineStr">
        <is>
          <t>₹ 0</t>
        </is>
      </c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</row>
    <row r="876" ht="16.5" customHeight="1" s="85">
      <c r="A876" s="46" t="inlineStr">
        <is>
          <t>Vignesh</t>
        </is>
      </c>
      <c r="B876" s="46" t="n">
        <v>9444133519</v>
      </c>
      <c r="C876" s="46" t="inlineStr">
        <is>
          <t>Customer</t>
        </is>
      </c>
      <c r="D876" s="46" t="inlineStr">
        <is>
          <t>₹ 0</t>
        </is>
      </c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</row>
    <row r="877" ht="16.5" customHeight="1" s="85">
      <c r="A877" s="46" t="inlineStr">
        <is>
          <t>Anoop</t>
        </is>
      </c>
      <c r="B877" s="46" t="n">
        <v>9446069817</v>
      </c>
      <c r="C877" s="46" t="inlineStr">
        <is>
          <t>Customer</t>
        </is>
      </c>
      <c r="D877" s="46" t="inlineStr">
        <is>
          <t>₹ 0</t>
        </is>
      </c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</row>
    <row r="878" ht="16.5" customHeight="1" s="85">
      <c r="A878" s="46" t="inlineStr">
        <is>
          <t>Marin Airforce</t>
        </is>
      </c>
      <c r="B878" s="46" t="n">
        <v>9446070365</v>
      </c>
      <c r="C878" s="46" t="inlineStr">
        <is>
          <t>Customer</t>
        </is>
      </c>
      <c r="D878" s="46" t="inlineStr">
        <is>
          <t>₹ 0</t>
        </is>
      </c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</row>
    <row r="879" ht="16.5" customHeight="1" s="85">
      <c r="A879" s="46" t="inlineStr">
        <is>
          <t>Fatima Convent</t>
        </is>
      </c>
      <c r="B879" s="46" t="n">
        <v>9446078467</v>
      </c>
      <c r="C879" s="46" t="inlineStr">
        <is>
          <t>Customer</t>
        </is>
      </c>
      <c r="D879" s="46" t="inlineStr">
        <is>
          <t>₹ 0</t>
        </is>
      </c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</row>
    <row r="880" ht="16.5" customHeight="1" s="85">
      <c r="A880" s="46" t="inlineStr">
        <is>
          <t>Jyoti George</t>
        </is>
      </c>
      <c r="B880" s="46" t="n">
        <v>9446555115</v>
      </c>
      <c r="C880" s="46" t="inlineStr">
        <is>
          <t>Customer</t>
        </is>
      </c>
      <c r="D880" s="46" t="inlineStr">
        <is>
          <t>₹ 0</t>
        </is>
      </c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</row>
    <row r="881" ht="16.5" customHeight="1" s="85">
      <c r="A881" s="46" t="inlineStr">
        <is>
          <t>Wilson Gorakhnath</t>
        </is>
      </c>
      <c r="B881" s="46" t="n">
        <v>9446610853</v>
      </c>
      <c r="C881" s="46" t="inlineStr">
        <is>
          <t>Customer</t>
        </is>
      </c>
      <c r="D881" s="46" t="inlineStr">
        <is>
          <t>₹ 0</t>
        </is>
      </c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</row>
    <row r="882" ht="16.5" customHeight="1" s="85">
      <c r="A882" s="46" t="inlineStr">
        <is>
          <t>Chandy Varghese</t>
        </is>
      </c>
      <c r="B882" s="46" t="n">
        <v>9446646983</v>
      </c>
      <c r="C882" s="46" t="inlineStr">
        <is>
          <t>Customer</t>
        </is>
      </c>
      <c r="D882" s="46" t="inlineStr">
        <is>
          <t>₹ 0</t>
        </is>
      </c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</row>
    <row r="883" ht="16.5" customHeight="1" s="85">
      <c r="A883" s="46" t="inlineStr">
        <is>
          <t>Llli</t>
        </is>
      </c>
      <c r="B883" s="46" t="n">
        <v>9446650042</v>
      </c>
      <c r="C883" s="46" t="inlineStr">
        <is>
          <t>Customer</t>
        </is>
      </c>
      <c r="D883" s="46" t="inlineStr">
        <is>
          <t>₹ 0</t>
        </is>
      </c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</row>
    <row r="884" ht="16.5" customHeight="1" s="85">
      <c r="A884" s="46" t="inlineStr">
        <is>
          <t>Majeesh</t>
        </is>
      </c>
      <c r="B884" s="46" t="n">
        <v>9446840492</v>
      </c>
      <c r="C884" s="46" t="inlineStr">
        <is>
          <t>Customer</t>
        </is>
      </c>
      <c r="D884" s="46" t="inlineStr">
        <is>
          <t>₹ 0</t>
        </is>
      </c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</row>
    <row r="885" ht="16.5" customHeight="1" s="85">
      <c r="A885" s="46" t="inlineStr">
        <is>
          <t>L.S.t Convent</t>
        </is>
      </c>
      <c r="B885" s="46" t="n">
        <v>9447148190</v>
      </c>
      <c r="C885" s="46" t="inlineStr">
        <is>
          <t>Customer</t>
        </is>
      </c>
      <c r="D885" s="46" t="inlineStr">
        <is>
          <t>₹ 0</t>
        </is>
      </c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</row>
    <row r="886" ht="16.5" customHeight="1" s="85">
      <c r="A886" s="46" t="inlineStr">
        <is>
          <t>Fr.James</t>
        </is>
      </c>
      <c r="B886" s="46" t="n">
        <v>9447183677</v>
      </c>
      <c r="C886" s="46" t="inlineStr">
        <is>
          <t>Customer</t>
        </is>
      </c>
      <c r="D886" s="46" t="inlineStr">
        <is>
          <t>₹ 0</t>
        </is>
      </c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</row>
    <row r="887" ht="16.5" customHeight="1" s="85">
      <c r="A887" s="46" t="inlineStr">
        <is>
          <t>Arya Lekshmi</t>
        </is>
      </c>
      <c r="B887" s="46" t="n">
        <v>9447301144</v>
      </c>
      <c r="C887" s="46" t="inlineStr">
        <is>
          <t>Customer</t>
        </is>
      </c>
      <c r="D887" s="46" t="inlineStr">
        <is>
          <t>₹ 0</t>
        </is>
      </c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</row>
    <row r="888" ht="16.5" customHeight="1" s="85">
      <c r="A888" s="46" t="inlineStr">
        <is>
          <t>Suraj Vaikkam</t>
        </is>
      </c>
      <c r="B888" s="46" t="n">
        <v>9447517293</v>
      </c>
      <c r="C888" s="46" t="inlineStr">
        <is>
          <t>Customer</t>
        </is>
      </c>
      <c r="D888" s="46" t="inlineStr">
        <is>
          <t>₹ 0</t>
        </is>
      </c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</row>
    <row r="889" ht="16.5" customHeight="1" s="85">
      <c r="A889" s="46" t="inlineStr">
        <is>
          <t>Binu Sir Badni School, Malayalee</t>
        </is>
      </c>
      <c r="B889" s="46" t="n">
        <v>9447778585</v>
      </c>
      <c r="C889" s="46" t="inlineStr">
        <is>
          <t>Customer</t>
        </is>
      </c>
      <c r="D889" s="46" t="inlineStr">
        <is>
          <t>₹ 0</t>
        </is>
      </c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</row>
    <row r="890" ht="16.5" customHeight="1" s="85">
      <c r="A890" s="46" t="inlineStr">
        <is>
          <t>Joby</t>
        </is>
      </c>
      <c r="B890" s="46" t="n">
        <v>9447788912</v>
      </c>
      <c r="C890" s="46" t="inlineStr">
        <is>
          <t>Customer</t>
        </is>
      </c>
      <c r="D890" s="46" t="inlineStr">
        <is>
          <t>₹ 0</t>
        </is>
      </c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</row>
    <row r="891" ht="16.5" customHeight="1" s="85">
      <c r="A891" s="46" t="inlineStr">
        <is>
          <t>Rajesh</t>
        </is>
      </c>
      <c r="B891" s="46" t="n">
        <v>9448480048</v>
      </c>
      <c r="C891" s="46" t="inlineStr">
        <is>
          <t>Customer</t>
        </is>
      </c>
      <c r="D891" s="46" t="inlineStr">
        <is>
          <t>₹ 0</t>
        </is>
      </c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</row>
    <row r="892" ht="16.5" customHeight="1" s="85">
      <c r="A892" s="46" t="inlineStr">
        <is>
          <t>Gopi Krishna</t>
        </is>
      </c>
      <c r="B892" s="46" t="n">
        <v>9449664358</v>
      </c>
      <c r="C892" s="46" t="inlineStr">
        <is>
          <t>Customer</t>
        </is>
      </c>
      <c r="D892" s="46" t="inlineStr">
        <is>
          <t>₹ 0</t>
        </is>
      </c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</row>
    <row r="893" ht="16.5" customHeight="1" s="85">
      <c r="A893" s="46" t="inlineStr">
        <is>
          <t>Kiran Kumar Mishra</t>
        </is>
      </c>
      <c r="B893" s="46" t="n">
        <v>9450001854</v>
      </c>
      <c r="C893" s="46" t="inlineStr">
        <is>
          <t>Customer</t>
        </is>
      </c>
      <c r="D893" s="46" t="inlineStr">
        <is>
          <t>₹ 0</t>
        </is>
      </c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</row>
    <row r="894" ht="16.5" customHeight="1" s="85">
      <c r="A894" s="46" t="inlineStr">
        <is>
          <t>Pinoy</t>
        </is>
      </c>
      <c r="B894" s="46" t="n">
        <v>9450301379</v>
      </c>
      <c r="C894" s="46" t="inlineStr">
        <is>
          <t>Customer</t>
        </is>
      </c>
      <c r="D894" s="46" t="inlineStr">
        <is>
          <t>₹ 0</t>
        </is>
      </c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</row>
    <row r="895" ht="16.5" customHeight="1" s="85">
      <c r="A895" s="46" t="inlineStr">
        <is>
          <t>Dr.Pd Subhash</t>
        </is>
      </c>
      <c r="B895" s="46" t="n">
        <v>9450375533</v>
      </c>
      <c r="C895" s="46" t="inlineStr">
        <is>
          <t>Customer</t>
        </is>
      </c>
      <c r="D895" s="46" t="inlineStr">
        <is>
          <t>₹ 0</t>
        </is>
      </c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</row>
    <row r="896" ht="16.5" customHeight="1" s="85">
      <c r="A896" s="46" t="inlineStr">
        <is>
          <t>P.D Subhash</t>
        </is>
      </c>
      <c r="B896" s="46" t="n">
        <v>9450375535</v>
      </c>
      <c r="C896" s="46" t="inlineStr">
        <is>
          <t>Customer</t>
        </is>
      </c>
      <c r="D896" s="46" t="inlineStr">
        <is>
          <t>₹ 0</t>
        </is>
      </c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</row>
    <row r="897" ht="16.5" customHeight="1" s="85">
      <c r="A897" s="46" t="inlineStr">
        <is>
          <t>Dominic</t>
        </is>
      </c>
      <c r="B897" s="46" t="n">
        <v>9450436603</v>
      </c>
      <c r="C897" s="46" t="inlineStr">
        <is>
          <t>Customer</t>
        </is>
      </c>
      <c r="D897" s="46" t="inlineStr">
        <is>
          <t>₹ 0</t>
        </is>
      </c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</row>
    <row r="898" ht="16.5" customHeight="1" s="85">
      <c r="A898" s="46" t="inlineStr">
        <is>
          <t>PGSS</t>
        </is>
      </c>
      <c r="B898" s="46" t="n">
        <v>9450473313</v>
      </c>
      <c r="C898" s="46" t="inlineStr">
        <is>
          <t>Customer</t>
        </is>
      </c>
      <c r="D898" s="46" t="inlineStr">
        <is>
          <t>₹ 0</t>
        </is>
      </c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</row>
    <row r="899" ht="16.5" customHeight="1" s="85">
      <c r="A899" s="46" t="inlineStr">
        <is>
          <t>Kurian Joseph</t>
        </is>
      </c>
      <c r="B899" s="46" t="n">
        <v>9450525207</v>
      </c>
      <c r="C899" s="46" t="inlineStr">
        <is>
          <t>Customer</t>
        </is>
      </c>
      <c r="D899" s="46" t="inlineStr">
        <is>
          <t>₹ 0</t>
        </is>
      </c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</row>
    <row r="900" ht="16.5" customHeight="1" s="85">
      <c r="A900" s="46" t="inlineStr">
        <is>
          <t>Saroj</t>
        </is>
      </c>
      <c r="B900" s="46" t="n">
        <v>9450553735</v>
      </c>
      <c r="C900" s="46" t="inlineStr">
        <is>
          <t>Customer</t>
        </is>
      </c>
      <c r="D900" s="46" t="inlineStr">
        <is>
          <t>₹ 0</t>
        </is>
      </c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</row>
    <row r="901" ht="16.5" customHeight="1" s="85">
      <c r="A901" s="46" t="inlineStr">
        <is>
          <t>James</t>
        </is>
      </c>
      <c r="B901" s="46" t="n">
        <v>9450576552</v>
      </c>
      <c r="C901" s="46" t="inlineStr">
        <is>
          <t>Customer</t>
        </is>
      </c>
      <c r="D901" s="46" t="inlineStr">
        <is>
          <t>₹ 0</t>
        </is>
      </c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</row>
    <row r="902" ht="16.5" customHeight="1" s="85">
      <c r="A902" s="46" t="inlineStr">
        <is>
          <t>Amar Singh</t>
        </is>
      </c>
      <c r="B902" s="46" t="n">
        <v>9450630831</v>
      </c>
      <c r="C902" s="46" t="inlineStr">
        <is>
          <t>Customer</t>
        </is>
      </c>
      <c r="D902" s="46" t="inlineStr">
        <is>
          <t>₹ 0</t>
        </is>
      </c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</row>
    <row r="903" ht="16.5" customHeight="1" s="85">
      <c r="A903" s="46" t="inlineStr">
        <is>
          <t>Jesy</t>
        </is>
      </c>
      <c r="B903" s="46" t="n">
        <v>9450646933</v>
      </c>
      <c r="C903" s="46" t="inlineStr">
        <is>
          <t>Customer</t>
        </is>
      </c>
      <c r="D903" s="46" t="inlineStr">
        <is>
          <t>₹ 0</t>
        </is>
      </c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</row>
    <row r="904" ht="16.5" customHeight="1" s="85">
      <c r="A904" s="46" t="inlineStr">
        <is>
          <t>Santoshi Gupta</t>
        </is>
      </c>
      <c r="B904" s="46" t="n">
        <v>9450670528</v>
      </c>
      <c r="C904" s="46" t="inlineStr">
        <is>
          <t>Customer</t>
        </is>
      </c>
      <c r="D904" s="46" t="inlineStr">
        <is>
          <t>₹ 0</t>
        </is>
      </c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</row>
    <row r="905" ht="16.5" customHeight="1" s="85">
      <c r="A905" s="46" t="inlineStr">
        <is>
          <t>Jolly Philip Malayali</t>
        </is>
      </c>
      <c r="B905" s="46" t="n">
        <v>9450678045</v>
      </c>
      <c r="C905" s="46" t="inlineStr">
        <is>
          <t>Customer</t>
        </is>
      </c>
      <c r="D905" s="46" t="inlineStr">
        <is>
          <t>₹ 0</t>
        </is>
      </c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</row>
    <row r="906" ht="16.5" customHeight="1" s="85">
      <c r="A906" s="46" t="inlineStr">
        <is>
          <t>Littil Flower School Ekla</t>
        </is>
      </c>
      <c r="B906" s="46" t="n">
        <v>9450684932</v>
      </c>
      <c r="C906" s="46" t="inlineStr">
        <is>
          <t>Customer</t>
        </is>
      </c>
      <c r="D906" s="46" t="inlineStr">
        <is>
          <t>₹ 0</t>
        </is>
      </c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</row>
    <row r="907" ht="16.5" customHeight="1" s="85">
      <c r="A907" s="46" t="inlineStr">
        <is>
          <t>Rajesh</t>
        </is>
      </c>
      <c r="B907" s="46" t="n">
        <v>9450739747</v>
      </c>
      <c r="C907" s="46" t="inlineStr">
        <is>
          <t>Customer</t>
        </is>
      </c>
      <c r="D907" s="46" t="inlineStr">
        <is>
          <t>₹ 0</t>
        </is>
      </c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</row>
    <row r="908" ht="16.5" customHeight="1" s="85">
      <c r="A908" s="46" t="inlineStr">
        <is>
          <t>Vinoy</t>
        </is>
      </c>
      <c r="B908" s="46" t="n">
        <v>9450830137</v>
      </c>
      <c r="C908" s="46" t="inlineStr">
        <is>
          <t>Customer</t>
        </is>
      </c>
      <c r="D908" s="46" t="inlineStr">
        <is>
          <t>₹ 0</t>
        </is>
      </c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</row>
    <row r="909" ht="16.5" customHeight="1" s="85">
      <c r="A909" s="46" t="inlineStr">
        <is>
          <t>Binoy</t>
        </is>
      </c>
      <c r="B909" s="46" t="n">
        <v>9451002241</v>
      </c>
      <c r="C909" s="46" t="inlineStr">
        <is>
          <t>Customer</t>
        </is>
      </c>
      <c r="D909" s="46" t="inlineStr">
        <is>
          <t>₹ 0</t>
        </is>
      </c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</row>
    <row r="910" ht="16.5" customHeight="1" s="85">
      <c r="A910" s="46" t="inlineStr">
        <is>
          <t>Neelima Messey</t>
        </is>
      </c>
      <c r="B910" s="46" t="n">
        <v>9451156414</v>
      </c>
      <c r="C910" s="46" t="inlineStr">
        <is>
          <t>Customer</t>
        </is>
      </c>
      <c r="D910" s="46" t="inlineStr">
        <is>
          <t>₹ 0</t>
        </is>
      </c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</row>
    <row r="911" ht="16.5" customHeight="1" s="85">
      <c r="A911" s="46" t="inlineStr">
        <is>
          <t>Jobbi Abraham</t>
        </is>
      </c>
      <c r="B911" s="46" t="n">
        <v>9451262914</v>
      </c>
      <c r="C911" s="46" t="inlineStr">
        <is>
          <t>Customer</t>
        </is>
      </c>
      <c r="D911" s="46" t="inlineStr">
        <is>
          <t>₹ 0</t>
        </is>
      </c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</row>
    <row r="912" ht="16.5" customHeight="1" s="85">
      <c r="A912" s="46" t="inlineStr">
        <is>
          <t>Shibu Malayali</t>
        </is>
      </c>
      <c r="B912" s="46" t="n">
        <v>9451546091</v>
      </c>
      <c r="C912" s="46" t="inlineStr">
        <is>
          <t>Customer</t>
        </is>
      </c>
      <c r="D912" s="46" t="inlineStr">
        <is>
          <t>₹ 0</t>
        </is>
      </c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</row>
    <row r="913" ht="16.5" customHeight="1" s="85">
      <c r="A913" s="46" t="inlineStr">
        <is>
          <t>B C Nair</t>
        </is>
      </c>
      <c r="B913" s="46" t="n">
        <v>9451577059</v>
      </c>
      <c r="C913" s="46" t="inlineStr">
        <is>
          <t>Customer</t>
        </is>
      </c>
      <c r="D913" s="46" t="inlineStr">
        <is>
          <t>₹ 0</t>
        </is>
      </c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</row>
    <row r="914" ht="16.5" customHeight="1" s="85">
      <c r="A914" s="46" t="inlineStr">
        <is>
          <t>St.Joseph Convent</t>
        </is>
      </c>
      <c r="B914" s="46" t="n">
        <v>9451604325</v>
      </c>
      <c r="C914" s="46" t="inlineStr">
        <is>
          <t>Customer</t>
        </is>
      </c>
      <c r="D914" s="46" t="inlineStr">
        <is>
          <t>₹ 0</t>
        </is>
      </c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</row>
    <row r="915" ht="16.5" customHeight="1" s="85">
      <c r="A915" s="46" t="inlineStr">
        <is>
          <t>Fr.Rogger</t>
        </is>
      </c>
      <c r="B915" s="46" t="n">
        <v>9451813353</v>
      </c>
      <c r="C915" s="46" t="inlineStr">
        <is>
          <t>Customer</t>
        </is>
      </c>
      <c r="D915" s="46" t="inlineStr">
        <is>
          <t>₹ 0</t>
        </is>
      </c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</row>
    <row r="916" ht="16.5" customHeight="1" s="85">
      <c r="A916" s="46" t="inlineStr">
        <is>
          <t>Shweta</t>
        </is>
      </c>
      <c r="B916" s="46" t="n">
        <v>9451885323</v>
      </c>
      <c r="C916" s="46" t="inlineStr">
        <is>
          <t>Customer</t>
        </is>
      </c>
      <c r="D916" s="46" t="inlineStr">
        <is>
          <t>₹ 0</t>
        </is>
      </c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</row>
    <row r="917" ht="16.5" customHeight="1" s="85">
      <c r="A917" s="46" t="inlineStr">
        <is>
          <t>Joseph</t>
        </is>
      </c>
      <c r="B917" s="46" t="n">
        <v>9451955593</v>
      </c>
      <c r="C917" s="46" t="inlineStr">
        <is>
          <t>Customer</t>
        </is>
      </c>
      <c r="D917" s="46" t="inlineStr">
        <is>
          <t>₹ 0</t>
        </is>
      </c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</row>
    <row r="918" ht="16.5" customHeight="1" s="85">
      <c r="A918" s="46" t="inlineStr">
        <is>
          <t>Premlata</t>
        </is>
      </c>
      <c r="B918" s="46" t="n">
        <v>9452238351</v>
      </c>
      <c r="C918" s="46" t="inlineStr">
        <is>
          <t>Customer</t>
        </is>
      </c>
      <c r="D918" s="46" t="inlineStr">
        <is>
          <t>₹ 0</t>
        </is>
      </c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</row>
    <row r="919" ht="16.5" customHeight="1" s="85">
      <c r="A919" s="46" t="inlineStr">
        <is>
          <t>Sachin</t>
        </is>
      </c>
      <c r="B919" s="46" t="n">
        <v>9452315322</v>
      </c>
      <c r="C919" s="46" t="inlineStr">
        <is>
          <t>Customer</t>
        </is>
      </c>
      <c r="D919" s="46" t="inlineStr">
        <is>
          <t>₹ 0</t>
        </is>
      </c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</row>
    <row r="920" ht="16.5" customHeight="1" s="85">
      <c r="A920" s="46" t="inlineStr">
        <is>
          <t>Arvind Victor</t>
        </is>
      </c>
      <c r="B920" s="46" t="n">
        <v>9452427536</v>
      </c>
      <c r="C920" s="46" t="inlineStr">
        <is>
          <t>Customer</t>
        </is>
      </c>
      <c r="D920" s="46" t="inlineStr">
        <is>
          <t>₹ 0</t>
        </is>
      </c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</row>
    <row r="921" ht="16.5" customHeight="1" s="85">
      <c r="A921" s="46" t="inlineStr">
        <is>
          <t>Fatima Hospital</t>
        </is>
      </c>
      <c r="B921" s="46" t="n">
        <v>9452519788</v>
      </c>
      <c r="C921" s="46" t="inlineStr">
        <is>
          <t>Customer</t>
        </is>
      </c>
      <c r="D921" s="46" t="inlineStr">
        <is>
          <t>₹ 0</t>
        </is>
      </c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</row>
    <row r="922" ht="16.5" customHeight="1" s="85">
      <c r="A922" s="46" t="inlineStr">
        <is>
          <t>Abhijeet Samuel</t>
        </is>
      </c>
      <c r="B922" s="46" t="n">
        <v>9452662851</v>
      </c>
      <c r="C922" s="46" t="inlineStr">
        <is>
          <t>Customer</t>
        </is>
      </c>
      <c r="D922" s="46" t="inlineStr">
        <is>
          <t>₹ 0</t>
        </is>
      </c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</row>
    <row r="923" ht="16.5" customHeight="1" s="85">
      <c r="A923" s="46" t="inlineStr">
        <is>
          <t>Vijay Tripathi</t>
        </is>
      </c>
      <c r="B923" s="46" t="n">
        <v>9452704709</v>
      </c>
      <c r="C923" s="46" t="inlineStr">
        <is>
          <t>Customer</t>
        </is>
      </c>
      <c r="D923" s="46" t="inlineStr">
        <is>
          <t>₹ 0</t>
        </is>
      </c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</row>
    <row r="924" ht="16.5" customHeight="1" s="85">
      <c r="A924" s="46" t="inlineStr">
        <is>
          <t>Shailendra Das</t>
        </is>
      </c>
      <c r="B924" s="46" t="n">
        <v>9452745598</v>
      </c>
      <c r="C924" s="46" t="inlineStr">
        <is>
          <t>Customer</t>
        </is>
      </c>
      <c r="D924" s="46" t="inlineStr">
        <is>
          <t>₹ 0</t>
        </is>
      </c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</row>
    <row r="925" ht="16.5" customHeight="1" s="85">
      <c r="A925" s="46" t="inlineStr">
        <is>
          <t>R.n. Singh</t>
        </is>
      </c>
      <c r="B925" s="46" t="n">
        <v>9452993241</v>
      </c>
      <c r="C925" s="46" t="inlineStr">
        <is>
          <t>Customer</t>
        </is>
      </c>
      <c r="D925" s="46" t="inlineStr">
        <is>
          <t>₹ 0</t>
        </is>
      </c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</row>
    <row r="926" ht="16.5" customHeight="1" s="85">
      <c r="A926" s="46" t="inlineStr">
        <is>
          <t>Joy G.N</t>
        </is>
      </c>
      <c r="B926" s="46" t="n">
        <v>9453099283</v>
      </c>
      <c r="C926" s="46" t="inlineStr">
        <is>
          <t>Customer</t>
        </is>
      </c>
      <c r="D926" s="46" t="inlineStr">
        <is>
          <t>₹ 0</t>
        </is>
      </c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</row>
    <row r="927" ht="16.5" customHeight="1" s="85">
      <c r="A927" s="46" t="inlineStr">
        <is>
          <t>Thambi Sir UP GRP553</t>
        </is>
      </c>
      <c r="B927" s="46" t="n">
        <v>9453099284</v>
      </c>
      <c r="C927" s="46" t="inlineStr">
        <is>
          <t>Customer</t>
        </is>
      </c>
      <c r="D927" s="46" t="inlineStr">
        <is>
          <t>₹ 0</t>
        </is>
      </c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</row>
    <row r="928" ht="16.5" customHeight="1" s="85">
      <c r="A928" s="46" t="inlineStr">
        <is>
          <t>Eric Mamu</t>
        </is>
      </c>
      <c r="B928" s="46" t="n">
        <v>9453180274</v>
      </c>
      <c r="C928" s="46" t="inlineStr">
        <is>
          <t>Customer</t>
        </is>
      </c>
      <c r="D928" s="46" t="inlineStr">
        <is>
          <t>₹ 0</t>
        </is>
      </c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</row>
    <row r="929" ht="16.5" customHeight="1" s="85">
      <c r="A929" s="46" t="inlineStr">
        <is>
          <t>Johnson</t>
        </is>
      </c>
      <c r="B929" s="46" t="n">
        <v>9453595810</v>
      </c>
      <c r="C929" s="46" t="inlineStr">
        <is>
          <t>Customer</t>
        </is>
      </c>
      <c r="D929" s="46" t="inlineStr">
        <is>
          <t>₹ 0</t>
        </is>
      </c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</row>
    <row r="930" ht="16.5" customHeight="1" s="85">
      <c r="A930" s="46" t="inlineStr">
        <is>
          <t>Fr.Sabu</t>
        </is>
      </c>
      <c r="B930" s="46" t="n">
        <v>9453600733</v>
      </c>
      <c r="C930" s="46" t="inlineStr">
        <is>
          <t>Customer</t>
        </is>
      </c>
      <c r="D930" s="46" t="inlineStr">
        <is>
          <t>₹ 0</t>
        </is>
      </c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</row>
    <row r="931" ht="16.5" customHeight="1" s="85">
      <c r="A931" s="46" t="inlineStr">
        <is>
          <t>Anjali</t>
        </is>
      </c>
      <c r="B931" s="46" t="n">
        <v>9453702768</v>
      </c>
      <c r="C931" s="46" t="inlineStr">
        <is>
          <t>Customer</t>
        </is>
      </c>
      <c r="D931" s="46" t="inlineStr">
        <is>
          <t>₹ 0</t>
        </is>
      </c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</row>
    <row r="932" ht="16.5" customHeight="1" s="85">
      <c r="A932" s="46" t="inlineStr">
        <is>
          <t>Fr. Roy LFS</t>
        </is>
      </c>
      <c r="B932" s="46" t="n">
        <v>9453714899</v>
      </c>
      <c r="C932" s="46" t="inlineStr">
        <is>
          <t>Customer</t>
        </is>
      </c>
      <c r="D932" s="46" t="inlineStr">
        <is>
          <t>₹ 0</t>
        </is>
      </c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</row>
    <row r="933" ht="16.5" customHeight="1" s="85">
      <c r="A933" s="46" t="inlineStr">
        <is>
          <t>Sarika</t>
        </is>
      </c>
      <c r="B933" s="46" t="n">
        <v>9453772383</v>
      </c>
      <c r="C933" s="46" t="inlineStr">
        <is>
          <t>Customer</t>
        </is>
      </c>
      <c r="D933" s="46" t="inlineStr">
        <is>
          <t>₹ 0</t>
        </is>
      </c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</row>
    <row r="934" ht="16.5" customHeight="1" s="85">
      <c r="A934" s="46" t="inlineStr">
        <is>
          <t>Madhusoodanan</t>
        </is>
      </c>
      <c r="B934" s="46" t="n">
        <v>9453862142</v>
      </c>
      <c r="C934" s="46" t="inlineStr">
        <is>
          <t>Customer</t>
        </is>
      </c>
      <c r="D934" s="46" t="inlineStr">
        <is>
          <t>₹ 0</t>
        </is>
      </c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</row>
    <row r="935" ht="16.5" customHeight="1" s="85">
      <c r="A935" s="46" t="inlineStr">
        <is>
          <t>Surendra</t>
        </is>
      </c>
      <c r="B935" s="46" t="n">
        <v>9453944338</v>
      </c>
      <c r="C935" s="46" t="inlineStr">
        <is>
          <t>Customer</t>
        </is>
      </c>
      <c r="D935" s="46" t="inlineStr">
        <is>
          <t>₹ 0</t>
        </is>
      </c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</row>
    <row r="936" ht="16.5" customHeight="1" s="85">
      <c r="A936" s="46" t="inlineStr">
        <is>
          <t>Virendra Pratap Singh</t>
        </is>
      </c>
      <c r="B936" s="46" t="n">
        <v>9454389768</v>
      </c>
      <c r="C936" s="46" t="inlineStr">
        <is>
          <t>Customer</t>
        </is>
      </c>
      <c r="D936" s="46" t="inlineStr">
        <is>
          <t>₹ 0</t>
        </is>
      </c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</row>
    <row r="937" ht="16.5" customHeight="1" s="85">
      <c r="A937" s="46" t="inlineStr">
        <is>
          <t>Nick Narzary</t>
        </is>
      </c>
      <c r="B937" s="46" t="n">
        <v>9454398721</v>
      </c>
      <c r="C937" s="46" t="inlineStr">
        <is>
          <t>Customer</t>
        </is>
      </c>
      <c r="D937" s="46" t="inlineStr">
        <is>
          <t>₹ 0</t>
        </is>
      </c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</row>
    <row r="938" ht="16.5" customHeight="1" s="85">
      <c r="A938" s="46" t="inlineStr">
        <is>
          <t>Andrwe</t>
        </is>
      </c>
      <c r="B938" s="46" t="n">
        <v>9454665539</v>
      </c>
      <c r="C938" s="46" t="inlineStr">
        <is>
          <t>Customer</t>
        </is>
      </c>
      <c r="D938" s="46" t="inlineStr">
        <is>
          <t>₹ 0</t>
        </is>
      </c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</row>
    <row r="939" ht="16.5" customHeight="1" s="85">
      <c r="A939" s="46" t="inlineStr">
        <is>
          <t>Ladi</t>
        </is>
      </c>
      <c r="B939" s="46" t="n">
        <v>9454843575</v>
      </c>
      <c r="C939" s="46" t="inlineStr">
        <is>
          <t>Customer</t>
        </is>
      </c>
      <c r="D939" s="46" t="inlineStr">
        <is>
          <t>₹ 0</t>
        </is>
      </c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</row>
    <row r="940" ht="16.5" customHeight="1" s="85">
      <c r="A940" s="46" t="inlineStr">
        <is>
          <t>Buddy Uncle Meena Aunty</t>
        </is>
      </c>
      <c r="B940" s="46" t="n">
        <v>9454937387</v>
      </c>
      <c r="C940" s="46" t="inlineStr">
        <is>
          <t>Customer</t>
        </is>
      </c>
      <c r="D940" s="46" t="inlineStr">
        <is>
          <t>₹ 0</t>
        </is>
      </c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</row>
    <row r="941" ht="16.5" customHeight="1" s="85">
      <c r="A941" s="46" t="inlineStr">
        <is>
          <t>I.L Mathew</t>
        </is>
      </c>
      <c r="B941" s="46" t="n">
        <v>9455084613</v>
      </c>
      <c r="C941" s="46" t="inlineStr">
        <is>
          <t>Customer</t>
        </is>
      </c>
      <c r="D941" s="46" t="inlineStr">
        <is>
          <t>₹ 0</t>
        </is>
      </c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</row>
    <row r="942" ht="16.5" customHeight="1" s="85">
      <c r="A942" s="46" t="inlineStr">
        <is>
          <t>Roma</t>
        </is>
      </c>
      <c r="B942" s="46" t="n">
        <v>9455239763</v>
      </c>
      <c r="C942" s="46" t="inlineStr">
        <is>
          <t>Customer</t>
        </is>
      </c>
      <c r="D942" s="46" t="inlineStr">
        <is>
          <t>₹ 0</t>
        </is>
      </c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</row>
    <row r="943" ht="16.5" customHeight="1" s="85">
      <c r="A943" s="46" t="inlineStr">
        <is>
          <t>Dr.C.vijsy</t>
        </is>
      </c>
      <c r="B943" s="46" t="n">
        <v>9455561252</v>
      </c>
      <c r="C943" s="46" t="inlineStr">
        <is>
          <t>Customer</t>
        </is>
      </c>
      <c r="D943" s="46" t="inlineStr">
        <is>
          <t>₹ 0</t>
        </is>
      </c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</row>
    <row r="944" ht="16.5" customHeight="1" s="85">
      <c r="A944" s="46" t="inlineStr">
        <is>
          <t>Abhilash Salempur</t>
        </is>
      </c>
      <c r="B944" s="46" t="n">
        <v>9455740979</v>
      </c>
      <c r="C944" s="46" t="inlineStr">
        <is>
          <t>Customer</t>
        </is>
      </c>
      <c r="D944" s="46" t="inlineStr">
        <is>
          <t>₹ 0</t>
        </is>
      </c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</row>
    <row r="945" ht="16.5" customHeight="1" s="85">
      <c r="A945" s="46" t="inlineStr">
        <is>
          <t>Bisiyla</t>
        </is>
      </c>
      <c r="B945" s="46" t="n">
        <v>9455920081</v>
      </c>
      <c r="C945" s="46" t="inlineStr">
        <is>
          <t>Customer</t>
        </is>
      </c>
      <c r="D945" s="46" t="inlineStr">
        <is>
          <t>₹ 0</t>
        </is>
      </c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</row>
    <row r="946" ht="16.5" customHeight="1" s="85">
      <c r="A946" s="46" t="inlineStr">
        <is>
          <t>abraham Pr.</t>
        </is>
      </c>
      <c r="B946" s="46" t="n">
        <v>9457696013</v>
      </c>
      <c r="C946" s="46" t="inlineStr">
        <is>
          <t>Customer</t>
        </is>
      </c>
      <c r="D946" s="46" t="inlineStr">
        <is>
          <t>₹ 0</t>
        </is>
      </c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</row>
    <row r="947" ht="16.5" customHeight="1" s="85">
      <c r="A947" s="46" t="inlineStr">
        <is>
          <t>Abraham Brother</t>
        </is>
      </c>
      <c r="B947" s="46" t="n">
        <v>9457697013</v>
      </c>
      <c r="C947" s="46" t="inlineStr">
        <is>
          <t>Customer</t>
        </is>
      </c>
      <c r="D947" s="46" t="inlineStr">
        <is>
          <t>₹ 0</t>
        </is>
      </c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</row>
    <row r="948" ht="16.5" customHeight="1" s="85">
      <c r="A948" s="46" t="inlineStr">
        <is>
          <t>Linsa</t>
        </is>
      </c>
      <c r="B948" s="46" t="n">
        <v>9465625462</v>
      </c>
      <c r="C948" s="46" t="inlineStr">
        <is>
          <t>Customer</t>
        </is>
      </c>
      <c r="D948" s="46" t="inlineStr">
        <is>
          <t>₹ 0</t>
        </is>
      </c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</row>
    <row r="949" ht="16.5" customHeight="1" s="85">
      <c r="A949" s="46" t="inlineStr">
        <is>
          <t>Anjali Singh</t>
        </is>
      </c>
      <c r="B949" s="46" t="n">
        <v>9473718482</v>
      </c>
      <c r="C949" s="46" t="inlineStr">
        <is>
          <t>Customer</t>
        </is>
      </c>
      <c r="D949" s="46" t="inlineStr">
        <is>
          <t>₹ 0</t>
        </is>
      </c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</row>
    <row r="950" ht="16.5" customHeight="1" s="85">
      <c r="A950" s="46" t="inlineStr">
        <is>
          <t>Little Flower Provincial House</t>
        </is>
      </c>
      <c r="B950" s="46" t="n">
        <v>9473727008</v>
      </c>
      <c r="C950" s="46" t="inlineStr">
        <is>
          <t>Customer</t>
        </is>
      </c>
      <c r="D950" s="46" t="inlineStr">
        <is>
          <t>₹ 0</t>
        </is>
      </c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</row>
    <row r="951" ht="16.5" customHeight="1" s="85">
      <c r="A951" s="46" t="inlineStr">
        <is>
          <t>Karunalay</t>
        </is>
      </c>
      <c r="B951" s="46" t="n">
        <v>9478296577</v>
      </c>
      <c r="C951" s="46" t="inlineStr">
        <is>
          <t>Customer</t>
        </is>
      </c>
      <c r="D951" s="46" t="inlineStr">
        <is>
          <t>₹ 0</t>
        </is>
      </c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</row>
    <row r="952" ht="16.5" customHeight="1" s="85">
      <c r="A952" s="46" t="inlineStr">
        <is>
          <t>Keshav</t>
        </is>
      </c>
      <c r="B952" s="46" t="n">
        <v>9485419571</v>
      </c>
      <c r="C952" s="46" t="inlineStr">
        <is>
          <t>Customer</t>
        </is>
      </c>
      <c r="D952" s="46" t="inlineStr">
        <is>
          <t>₹ 0</t>
        </is>
      </c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</row>
    <row r="953" ht="16.5" customHeight="1" s="85">
      <c r="A953" s="46" t="inlineStr">
        <is>
          <t>Limmi</t>
        </is>
      </c>
      <c r="B953" s="46" t="n">
        <v>9493134626</v>
      </c>
      <c r="C953" s="46" t="inlineStr">
        <is>
          <t>Customer</t>
        </is>
      </c>
      <c r="D953" s="46" t="inlineStr">
        <is>
          <t>₹ 0</t>
        </is>
      </c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</row>
    <row r="954" ht="16.5" customHeight="1" s="85">
      <c r="A954" s="46" t="inlineStr">
        <is>
          <t>Abhijit</t>
        </is>
      </c>
      <c r="B954" s="46" t="n">
        <v>9495455065</v>
      </c>
      <c r="C954" s="46" t="inlineStr">
        <is>
          <t>Customer</t>
        </is>
      </c>
      <c r="D954" s="46" t="inlineStr">
        <is>
          <t>₹ 0</t>
        </is>
      </c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</row>
    <row r="955" ht="16.5" customHeight="1" s="85">
      <c r="A955" s="46" t="inlineStr">
        <is>
          <t>Aadil</t>
        </is>
      </c>
      <c r="B955" s="46" t="n">
        <v>9495582148</v>
      </c>
      <c r="C955" s="46" t="inlineStr">
        <is>
          <t>Customer</t>
        </is>
      </c>
      <c r="D955" s="46" t="inlineStr">
        <is>
          <t>₹ 0</t>
        </is>
      </c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</row>
    <row r="956" ht="16.5" customHeight="1" s="85">
      <c r="A956" s="46" t="inlineStr">
        <is>
          <t>Elsa Malayalee LFS</t>
        </is>
      </c>
      <c r="B956" s="46" t="n">
        <v>9495726424</v>
      </c>
      <c r="C956" s="46" t="inlineStr">
        <is>
          <t>Customer</t>
        </is>
      </c>
      <c r="D956" s="46" t="inlineStr">
        <is>
          <t>₹ 0</t>
        </is>
      </c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</row>
    <row r="957" ht="16.5" customHeight="1" s="85">
      <c r="A957" s="46" t="inlineStr">
        <is>
          <t>Varna</t>
        </is>
      </c>
      <c r="B957" s="46" t="n">
        <v>9496117720</v>
      </c>
      <c r="C957" s="46" t="inlineStr">
        <is>
          <t>Customer</t>
        </is>
      </c>
      <c r="D957" s="46" t="inlineStr">
        <is>
          <t>₹ 0</t>
        </is>
      </c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</row>
    <row r="958" ht="16.5" customHeight="1" s="85">
      <c r="A958" s="46" t="inlineStr">
        <is>
          <t>Devi</t>
        </is>
      </c>
      <c r="B958" s="46" t="n">
        <v>9496255344</v>
      </c>
      <c r="C958" s="46" t="inlineStr">
        <is>
          <t>Customer</t>
        </is>
      </c>
      <c r="D958" s="46" t="inlineStr">
        <is>
          <t>₹ 0</t>
        </is>
      </c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</row>
    <row r="959" ht="16.5" customHeight="1" s="85">
      <c r="A959" s="46" t="inlineStr">
        <is>
          <t>UNKNOWN 9</t>
        </is>
      </c>
      <c r="B959" s="46" t="n">
        <v>9496469887</v>
      </c>
      <c r="C959" s="46" t="inlineStr">
        <is>
          <t>Customer</t>
        </is>
      </c>
      <c r="D959" s="46" t="inlineStr">
        <is>
          <t>₹ 0</t>
        </is>
      </c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</row>
    <row r="960" ht="16.5" customHeight="1" s="85">
      <c r="A960" s="46" t="inlineStr">
        <is>
          <t>Jitin</t>
        </is>
      </c>
      <c r="B960" s="46" t="n">
        <v>9496743743</v>
      </c>
      <c r="C960" s="46" t="inlineStr">
        <is>
          <t>Customer</t>
        </is>
      </c>
      <c r="D960" s="46" t="inlineStr">
        <is>
          <t>₹ 0</t>
        </is>
      </c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</row>
    <row r="961" ht="16.5" customHeight="1" s="85">
      <c r="A961" s="46" t="inlineStr">
        <is>
          <t>Libin</t>
        </is>
      </c>
      <c r="B961" s="46" t="n">
        <v>9497622118</v>
      </c>
      <c r="C961" s="46" t="inlineStr">
        <is>
          <t>Customer</t>
        </is>
      </c>
      <c r="D961" s="46" t="inlineStr">
        <is>
          <t>₹ 0</t>
        </is>
      </c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</row>
    <row r="962" ht="16.5" customHeight="1" s="85">
      <c r="A962" s="46" t="inlineStr">
        <is>
          <t>Sugrim</t>
        </is>
      </c>
      <c r="B962" s="46" t="n">
        <v>9506163138</v>
      </c>
      <c r="C962" s="46" t="inlineStr">
        <is>
          <t>Customer</t>
        </is>
      </c>
      <c r="D962" s="46" t="inlineStr">
        <is>
          <t>₹ 0</t>
        </is>
      </c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</row>
    <row r="963" ht="16.5" customHeight="1" s="85">
      <c r="A963" s="46" t="inlineStr">
        <is>
          <t>Rupesh</t>
        </is>
      </c>
      <c r="B963" s="46" t="n">
        <v>9506561703</v>
      </c>
      <c r="C963" s="46" t="inlineStr">
        <is>
          <t>Customer</t>
        </is>
      </c>
      <c r="D963" s="46" t="inlineStr">
        <is>
          <t>₹ 0</t>
        </is>
      </c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</row>
    <row r="964" ht="16.5" customHeight="1" s="85">
      <c r="A964" s="46" t="inlineStr">
        <is>
          <t>Dani</t>
        </is>
      </c>
      <c r="B964" s="46" t="n">
        <v>9506611691</v>
      </c>
      <c r="C964" s="46" t="inlineStr">
        <is>
          <t>Customer</t>
        </is>
      </c>
      <c r="D964" s="46" t="inlineStr">
        <is>
          <t>₹ 0</t>
        </is>
      </c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</row>
    <row r="965" ht="16.5" customHeight="1" s="85">
      <c r="A965" s="46" t="inlineStr">
        <is>
          <t>Vinit Jaisawal</t>
        </is>
      </c>
      <c r="B965" s="46" t="n">
        <v>9506670666</v>
      </c>
      <c r="C965" s="46" t="inlineStr">
        <is>
          <t>Customer</t>
        </is>
      </c>
      <c r="D965" s="46" t="inlineStr">
        <is>
          <t>₹ 0</t>
        </is>
      </c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</row>
    <row r="966" ht="16.5" customHeight="1" s="85">
      <c r="A966" s="46" t="inlineStr">
        <is>
          <t>Jomaria Jobi</t>
        </is>
      </c>
      <c r="B966" s="46" t="n">
        <v>9506932505</v>
      </c>
      <c r="C966" s="46" t="inlineStr">
        <is>
          <t>Customer</t>
        </is>
      </c>
      <c r="D966" s="46" t="inlineStr">
        <is>
          <t>₹ 0</t>
        </is>
      </c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</row>
    <row r="967" ht="16.5" customHeight="1" s="85">
      <c r="A967" s="46" t="inlineStr">
        <is>
          <t>Jobi</t>
        </is>
      </c>
      <c r="B967" s="46" t="n">
        <v>9506932542</v>
      </c>
      <c r="C967" s="46" t="inlineStr">
        <is>
          <t>Customer</t>
        </is>
      </c>
      <c r="D967" s="46" t="inlineStr">
        <is>
          <t>₹ 0</t>
        </is>
      </c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</row>
    <row r="968" ht="16.5" customHeight="1" s="85">
      <c r="A968" s="46" t="inlineStr">
        <is>
          <t>Bechuram Bihar Champaran</t>
        </is>
      </c>
      <c r="B968" s="46" t="n">
        <v>9507302350</v>
      </c>
      <c r="C968" s="46" t="inlineStr">
        <is>
          <t>Customer</t>
        </is>
      </c>
      <c r="D968" s="46" t="inlineStr">
        <is>
          <t>₹ 0</t>
        </is>
      </c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</row>
    <row r="969" ht="16.5" customHeight="1" s="85">
      <c r="A969" s="46" t="inlineStr">
        <is>
          <t>Fr.Soni</t>
        </is>
      </c>
      <c r="B969" s="46" t="n">
        <v>9511012269</v>
      </c>
      <c r="C969" s="46" t="inlineStr">
        <is>
          <t>Customer</t>
        </is>
      </c>
      <c r="D969" s="46" t="inlineStr">
        <is>
          <t>₹ 0</t>
        </is>
      </c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</row>
    <row r="970" ht="16.5" customHeight="1" s="85">
      <c r="A970" s="46" t="inlineStr">
        <is>
          <t>Javahid Avinash Mahuva Pastor</t>
        </is>
      </c>
      <c r="B970" s="46" t="n">
        <v>9511459638</v>
      </c>
      <c r="C970" s="46" t="inlineStr">
        <is>
          <t>Customer</t>
        </is>
      </c>
      <c r="D970" s="46" t="inlineStr">
        <is>
          <t>₹ 0</t>
        </is>
      </c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</row>
    <row r="971" ht="16.5" customHeight="1" s="85">
      <c r="A971" s="46" t="inlineStr">
        <is>
          <t>Ankit</t>
        </is>
      </c>
      <c r="B971" s="46" t="n">
        <v>9516354614</v>
      </c>
      <c r="C971" s="46" t="inlineStr">
        <is>
          <t>Customer</t>
        </is>
      </c>
      <c r="D971" s="46" t="inlineStr">
        <is>
          <t>₹ 0</t>
        </is>
      </c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</row>
    <row r="972" ht="16.5" customHeight="1" s="85">
      <c r="A972" s="46" t="inlineStr">
        <is>
          <t>Yuvraj</t>
        </is>
      </c>
      <c r="B972" s="46" t="n">
        <v>9517577819</v>
      </c>
      <c r="C972" s="46" t="inlineStr">
        <is>
          <t>Customer</t>
        </is>
      </c>
      <c r="D972" s="46" t="inlineStr">
        <is>
          <t>₹ 0</t>
        </is>
      </c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</row>
    <row r="973" ht="16.5" customHeight="1" s="85">
      <c r="A973" s="46" t="inlineStr">
        <is>
          <t>Jithendra Alwasias</t>
        </is>
      </c>
      <c r="B973" s="46" t="n">
        <v>9519511178</v>
      </c>
      <c r="C973" s="46" t="inlineStr">
        <is>
          <t>Customer</t>
        </is>
      </c>
      <c r="D973" s="46" t="inlineStr">
        <is>
          <t>₹ 0</t>
        </is>
      </c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</row>
    <row r="974" ht="16.5" customHeight="1" s="85">
      <c r="A974" s="46" t="inlineStr">
        <is>
          <t>Sangeeta</t>
        </is>
      </c>
      <c r="B974" s="46" t="n">
        <v>9519559148</v>
      </c>
      <c r="C974" s="46" t="inlineStr">
        <is>
          <t>Customer</t>
        </is>
      </c>
      <c r="D974" s="46" t="inlineStr">
        <is>
          <t>₹ 0</t>
        </is>
      </c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</row>
    <row r="975" ht="16.5" customHeight="1" s="85">
      <c r="A975" s="46" t="inlineStr">
        <is>
          <t>Ashish Wilson</t>
        </is>
      </c>
      <c r="B975" s="46" t="n">
        <v>9519572730</v>
      </c>
      <c r="C975" s="46" t="inlineStr">
        <is>
          <t>Customer</t>
        </is>
      </c>
      <c r="D975" s="46" t="inlineStr">
        <is>
          <t>₹ 0</t>
        </is>
      </c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</row>
    <row r="976" ht="16.5" customHeight="1" s="85">
      <c r="A976" s="46" t="inlineStr">
        <is>
          <t>Danis</t>
        </is>
      </c>
      <c r="B976" s="46" t="n">
        <v>9526783499</v>
      </c>
      <c r="C976" s="46" t="inlineStr">
        <is>
          <t>Customer</t>
        </is>
      </c>
      <c r="D976" s="46" t="inlineStr">
        <is>
          <t>₹ 0</t>
        </is>
      </c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</row>
    <row r="977" ht="16.5" customHeight="1" s="85">
      <c r="A977" s="46" t="inlineStr">
        <is>
          <t>Jithin</t>
        </is>
      </c>
      <c r="B977" s="46" t="n">
        <v>9526980797</v>
      </c>
      <c r="C977" s="46" t="inlineStr">
        <is>
          <t>Customer</t>
        </is>
      </c>
      <c r="D977" s="46" t="inlineStr">
        <is>
          <t>₹ 0</t>
        </is>
      </c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</row>
    <row r="978" ht="16.5" customHeight="1" s="85">
      <c r="A978" s="46" t="inlineStr">
        <is>
          <t>Raja</t>
        </is>
      </c>
      <c r="B978" s="46" t="n">
        <v>9532164383</v>
      </c>
      <c r="C978" s="46" t="inlineStr">
        <is>
          <t>Customer</t>
        </is>
      </c>
      <c r="D978" s="46" t="inlineStr">
        <is>
          <t>₹ 0</t>
        </is>
      </c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</row>
    <row r="979" ht="16.5" customHeight="1" s="85">
      <c r="A979" s="46" t="inlineStr">
        <is>
          <t>Mapuia 2021</t>
        </is>
      </c>
      <c r="B979" s="46" t="n">
        <v>9532947443</v>
      </c>
      <c r="C979" s="46" t="inlineStr">
        <is>
          <t>Customer</t>
        </is>
      </c>
      <c r="D979" s="46" t="inlineStr">
        <is>
          <t>₹ 0</t>
        </is>
      </c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</row>
    <row r="980" ht="16.5" customHeight="1" s="85">
      <c r="A980" s="46" t="inlineStr">
        <is>
          <t>Joshuea</t>
        </is>
      </c>
      <c r="B980" s="46" t="n">
        <v>9533606560</v>
      </c>
      <c r="C980" s="46" t="inlineStr">
        <is>
          <t>Customer</t>
        </is>
      </c>
      <c r="D980" s="46" t="inlineStr">
        <is>
          <t>₹ 0</t>
        </is>
      </c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</row>
    <row r="981" ht="16.5" customHeight="1" s="85">
      <c r="A981" s="46" t="inlineStr">
        <is>
          <t>Abin</t>
        </is>
      </c>
      <c r="B981" s="46" t="n">
        <v>9539068242</v>
      </c>
      <c r="C981" s="46" t="inlineStr">
        <is>
          <t>Customer</t>
        </is>
      </c>
      <c r="D981" s="46" t="inlineStr">
        <is>
          <t>₹ 0</t>
        </is>
      </c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</row>
    <row r="982" ht="16.5" customHeight="1" s="85">
      <c r="A982" s="46" t="inlineStr">
        <is>
          <t>Deepak</t>
        </is>
      </c>
      <c r="B982" s="46" t="n">
        <v>9539130706</v>
      </c>
      <c r="C982" s="46" t="inlineStr">
        <is>
          <t>Customer</t>
        </is>
      </c>
      <c r="D982" s="46" t="inlineStr">
        <is>
          <t>₹ 0</t>
        </is>
      </c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</row>
    <row r="983" ht="16.5" customHeight="1" s="85">
      <c r="A983" s="46" t="inlineStr">
        <is>
          <t>Arjun</t>
        </is>
      </c>
      <c r="B983" s="46" t="n">
        <v>9539269549</v>
      </c>
      <c r="C983" s="46" t="inlineStr">
        <is>
          <t>Customer</t>
        </is>
      </c>
      <c r="D983" s="46" t="inlineStr">
        <is>
          <t>₹ 0</t>
        </is>
      </c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</row>
    <row r="984" ht="16.5" customHeight="1" s="85">
      <c r="A984" s="46" t="inlineStr">
        <is>
          <t>Khalid</t>
        </is>
      </c>
      <c r="B984" s="46" t="n">
        <v>9539306078</v>
      </c>
      <c r="C984" s="46" t="inlineStr">
        <is>
          <t>Customer</t>
        </is>
      </c>
      <c r="D984" s="46" t="inlineStr">
        <is>
          <t>₹ 0</t>
        </is>
      </c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</row>
    <row r="985" ht="16.5" customHeight="1" s="85">
      <c r="A985" s="46" t="inlineStr">
        <is>
          <t>Dhanesh</t>
        </is>
      </c>
      <c r="B985" s="46" t="n">
        <v>9544045785</v>
      </c>
      <c r="C985" s="46" t="inlineStr">
        <is>
          <t>Customer</t>
        </is>
      </c>
      <c r="D985" s="46" t="inlineStr">
        <is>
          <t>₹ 0</t>
        </is>
      </c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</row>
    <row r="986" ht="16.5" customHeight="1" s="85">
      <c r="A986" s="46" t="inlineStr">
        <is>
          <t>Bipin Paul</t>
        </is>
      </c>
      <c r="B986" s="46" t="n">
        <v>9544137558</v>
      </c>
      <c r="C986" s="46" t="inlineStr">
        <is>
          <t>Customer</t>
        </is>
      </c>
      <c r="D986" s="46" t="inlineStr">
        <is>
          <t>₹ 0</t>
        </is>
      </c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</row>
    <row r="987" ht="16.5" customHeight="1" s="85">
      <c r="A987" s="46" t="inlineStr">
        <is>
          <t>Aneesh</t>
        </is>
      </c>
      <c r="B987" s="46" t="n">
        <v>9544399747</v>
      </c>
      <c r="C987" s="46" t="inlineStr">
        <is>
          <t>Customer</t>
        </is>
      </c>
      <c r="D987" s="46" t="inlineStr">
        <is>
          <t>₹ 1,189</t>
        </is>
      </c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</row>
    <row r="988" ht="16.5" customHeight="1" s="85">
      <c r="A988" s="46" t="inlineStr">
        <is>
          <t>Kerala Store Deoria</t>
        </is>
      </c>
      <c r="B988" s="46" t="n">
        <v>9544622632</v>
      </c>
      <c r="C988" s="46" t="inlineStr">
        <is>
          <t>Customer</t>
        </is>
      </c>
      <c r="D988" s="46" t="inlineStr">
        <is>
          <t>₹ 0</t>
        </is>
      </c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</row>
    <row r="989" ht="16.5" customHeight="1" s="85">
      <c r="A989" s="46" t="inlineStr">
        <is>
          <t>Jibin</t>
        </is>
      </c>
      <c r="B989" s="46" t="n">
        <v>9544994934</v>
      </c>
      <c r="C989" s="46" t="inlineStr">
        <is>
          <t>Customer</t>
        </is>
      </c>
      <c r="D989" s="46" t="inlineStr">
        <is>
          <t>₹ 0</t>
        </is>
      </c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</row>
    <row r="990" ht="16.5" customHeight="1" s="85">
      <c r="A990" s="46" t="inlineStr">
        <is>
          <t>Amit Murmu</t>
        </is>
      </c>
      <c r="B990" s="46" t="n">
        <v>9546677485</v>
      </c>
      <c r="C990" s="46" t="inlineStr">
        <is>
          <t>Customer</t>
        </is>
      </c>
      <c r="D990" s="46" t="inlineStr">
        <is>
          <t>₹ 0</t>
        </is>
      </c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</row>
    <row r="991" ht="16.5" customHeight="1" s="85">
      <c r="A991" s="46" t="inlineStr">
        <is>
          <t>Nanadakumar, Bihar</t>
        </is>
      </c>
      <c r="B991" s="46" t="n">
        <v>9546857697</v>
      </c>
      <c r="C991" s="46" t="inlineStr">
        <is>
          <t>Customer</t>
        </is>
      </c>
      <c r="D991" s="46" t="inlineStr">
        <is>
          <t>₹ 0</t>
        </is>
      </c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</row>
    <row r="992" ht="16.5" customHeight="1" s="85">
      <c r="A992" s="46" t="inlineStr">
        <is>
          <t>Jobi</t>
        </is>
      </c>
      <c r="B992" s="46" t="n">
        <v>9548844145</v>
      </c>
      <c r="C992" s="46" t="inlineStr">
        <is>
          <t>Customer</t>
        </is>
      </c>
      <c r="D992" s="46" t="inlineStr">
        <is>
          <t>₹ 0</t>
        </is>
      </c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</row>
    <row r="993" ht="16.5" customHeight="1" s="85">
      <c r="A993" s="46" t="inlineStr">
        <is>
          <t>Haribansh</t>
        </is>
      </c>
      <c r="B993" s="46" t="n">
        <v>9554301067</v>
      </c>
      <c r="C993" s="46" t="inlineStr">
        <is>
          <t>Customer</t>
        </is>
      </c>
      <c r="D993" s="46" t="inlineStr">
        <is>
          <t>₹ 0</t>
        </is>
      </c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</row>
    <row r="994" ht="16.5" customHeight="1" s="85">
      <c r="A994" s="46" t="inlineStr">
        <is>
          <t>Anand</t>
        </is>
      </c>
      <c r="B994" s="46" t="n">
        <v>9554568767</v>
      </c>
      <c r="C994" s="46" t="inlineStr">
        <is>
          <t>Customer</t>
        </is>
      </c>
      <c r="D994" s="46" t="inlineStr">
        <is>
          <t>₹ 0</t>
        </is>
      </c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</row>
    <row r="995" ht="16.5" customHeight="1" s="85">
      <c r="A995" s="46" t="inlineStr">
        <is>
          <t>Pr.Ruben</t>
        </is>
      </c>
      <c r="B995" s="46" t="n">
        <v>9554995661</v>
      </c>
      <c r="C995" s="46" t="inlineStr">
        <is>
          <t>Customer</t>
        </is>
      </c>
      <c r="D995" s="46" t="inlineStr">
        <is>
          <t>₹ 0</t>
        </is>
      </c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</row>
    <row r="996" ht="16.5" customHeight="1" s="85">
      <c r="A996" s="46" t="inlineStr">
        <is>
          <t>Neeraj Samuel Gkp</t>
        </is>
      </c>
      <c r="B996" s="46" t="n">
        <v>9555424165</v>
      </c>
      <c r="C996" s="46" t="inlineStr">
        <is>
          <t>Customer</t>
        </is>
      </c>
      <c r="D996" s="46" t="inlineStr">
        <is>
          <t>₹ 0</t>
        </is>
      </c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</row>
    <row r="997" ht="16.5" customHeight="1" s="85">
      <c r="A997" s="46" t="inlineStr">
        <is>
          <t>Ruhi</t>
        </is>
      </c>
      <c r="B997" s="46" t="n">
        <v>9555508936</v>
      </c>
      <c r="C997" s="46" t="inlineStr">
        <is>
          <t>Customer</t>
        </is>
      </c>
      <c r="D997" s="46" t="inlineStr">
        <is>
          <t>₹ 0</t>
        </is>
      </c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</row>
    <row r="998" ht="16.5" customHeight="1" s="85">
      <c r="A998" s="46" t="inlineStr">
        <is>
          <t>Little Flower</t>
        </is>
      </c>
      <c r="B998" s="46" t="n">
        <v>9555882721</v>
      </c>
      <c r="C998" s="46" t="inlineStr">
        <is>
          <t>Customer</t>
        </is>
      </c>
      <c r="D998" s="46" t="inlineStr">
        <is>
          <t>₹ 0</t>
        </is>
      </c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</row>
    <row r="999" ht="16.5" customHeight="1" s="85">
      <c r="A999" s="46" t="inlineStr">
        <is>
          <t>Sushil</t>
        </is>
      </c>
      <c r="B999" s="46" t="n">
        <v>9557478739</v>
      </c>
      <c r="C999" s="46" t="inlineStr">
        <is>
          <t>Customer</t>
        </is>
      </c>
      <c r="D999" s="46" t="inlineStr">
        <is>
          <t>₹ 0</t>
        </is>
      </c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</row>
    <row r="1000" ht="16.5" customHeight="1" s="85">
      <c r="A1000" s="46" t="inlineStr">
        <is>
          <t>Deepa</t>
        </is>
      </c>
      <c r="B1000" s="46" t="n">
        <v>9559526252</v>
      </c>
      <c r="C1000" s="46" t="inlineStr">
        <is>
          <t>Customer</t>
        </is>
      </c>
      <c r="D1000" s="46" t="inlineStr">
        <is>
          <t>₹ 0</t>
        </is>
      </c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</row>
    <row r="1001" ht="16.5" customHeight="1" s="85">
      <c r="A1001" s="46" t="inlineStr">
        <is>
          <t>Arun Ramdarsh</t>
        </is>
      </c>
      <c r="B1001" s="46" t="n">
        <v>9559575545</v>
      </c>
      <c r="C1001" s="46" t="inlineStr">
        <is>
          <t>Customer</t>
        </is>
      </c>
      <c r="D1001" s="46" t="inlineStr">
        <is>
          <t>₹ 0</t>
        </is>
      </c>
      <c r="E1001" s="45" t="n"/>
      <c r="F1001" s="45" t="n"/>
      <c r="G1001" s="45" t="n"/>
      <c r="H1001" s="45" t="n"/>
      <c r="I1001" s="45" t="n"/>
      <c r="J1001" s="45" t="n"/>
      <c r="K1001" s="45" t="n"/>
      <c r="L1001" s="45" t="n"/>
      <c r="M1001" s="45" t="n"/>
      <c r="N1001" s="45" t="n"/>
      <c r="O1001" s="45" t="n"/>
    </row>
    <row r="1002" ht="16.5" customHeight="1" s="85">
      <c r="A1002" s="46" t="inlineStr">
        <is>
          <t>Bobby Bhaiya</t>
        </is>
      </c>
      <c r="B1002" s="46" t="n">
        <v>9559770585</v>
      </c>
      <c r="C1002" s="46" t="inlineStr">
        <is>
          <t>Customer</t>
        </is>
      </c>
      <c r="D1002" s="46" t="inlineStr">
        <is>
          <t>₹ 0</t>
        </is>
      </c>
      <c r="E1002" s="45" t="n"/>
      <c r="F1002" s="45" t="n"/>
      <c r="G1002" s="45" t="n"/>
      <c r="H1002" s="45" t="n"/>
      <c r="I1002" s="45" t="n"/>
      <c r="J1002" s="45" t="n"/>
      <c r="K1002" s="45" t="n"/>
      <c r="L1002" s="45" t="n"/>
      <c r="M1002" s="45" t="n"/>
      <c r="N1002" s="45" t="n"/>
      <c r="O1002" s="45" t="n"/>
    </row>
    <row r="1003" ht="16.5" customHeight="1" s="85">
      <c r="A1003" s="46" t="inlineStr">
        <is>
          <t>Mercy</t>
        </is>
      </c>
      <c r="B1003" s="46" t="n">
        <v>9560524852</v>
      </c>
      <c r="C1003" s="46" t="inlineStr">
        <is>
          <t>Customer</t>
        </is>
      </c>
      <c r="D1003" s="46" t="inlineStr">
        <is>
          <t>₹ 0</t>
        </is>
      </c>
      <c r="E1003" s="45" t="n"/>
      <c r="F1003" s="45" t="n"/>
      <c r="G1003" s="45" t="n"/>
      <c r="H1003" s="45" t="n"/>
      <c r="I1003" s="45" t="n"/>
      <c r="J1003" s="45" t="n"/>
      <c r="K1003" s="45" t="n"/>
      <c r="L1003" s="45" t="n"/>
      <c r="M1003" s="45" t="n"/>
      <c r="N1003" s="45" t="n"/>
      <c r="O1003" s="45" t="n"/>
    </row>
    <row r="1004" ht="16.5" customHeight="1" s="85">
      <c r="A1004" s="46" t="inlineStr">
        <is>
          <t>Anjali, Aims</t>
        </is>
      </c>
      <c r="B1004" s="46" t="n">
        <v>9562250869</v>
      </c>
      <c r="C1004" s="46" t="inlineStr">
        <is>
          <t>Customer</t>
        </is>
      </c>
      <c r="D1004" s="46" t="inlineStr">
        <is>
          <t>₹ 0</t>
        </is>
      </c>
      <c r="E1004" s="45" t="n"/>
      <c r="F1004" s="45" t="n"/>
      <c r="G1004" s="45" t="n"/>
      <c r="H1004" s="45" t="n"/>
      <c r="I1004" s="45" t="n"/>
      <c r="J1004" s="45" t="n"/>
      <c r="K1004" s="45" t="n"/>
      <c r="L1004" s="45" t="n"/>
      <c r="M1004" s="45" t="n"/>
      <c r="N1004" s="45" t="n"/>
      <c r="O1004" s="45" t="n"/>
    </row>
    <row r="1005" ht="16.5" customHeight="1" s="85">
      <c r="A1005" s="46" t="inlineStr">
        <is>
          <t>Jins</t>
        </is>
      </c>
      <c r="B1005" s="46" t="n">
        <v>9562428480</v>
      </c>
      <c r="C1005" s="46" t="inlineStr">
        <is>
          <t>Customer</t>
        </is>
      </c>
      <c r="D1005" s="46" t="inlineStr">
        <is>
          <t>₹ 0</t>
        </is>
      </c>
      <c r="E1005" s="45" t="n"/>
      <c r="F1005" s="45" t="n"/>
      <c r="G1005" s="45" t="n"/>
      <c r="H1005" s="45" t="n"/>
      <c r="I1005" s="45" t="n"/>
      <c r="J1005" s="45" t="n"/>
      <c r="K1005" s="45" t="n"/>
      <c r="L1005" s="45" t="n"/>
      <c r="M1005" s="45" t="n"/>
      <c r="N1005" s="45" t="n"/>
      <c r="O1005" s="45" t="n"/>
    </row>
    <row r="1006" ht="16.5" customHeight="1" s="85">
      <c r="A1006" s="46" t="inlineStr">
        <is>
          <t>Ajit</t>
        </is>
      </c>
      <c r="B1006" s="46" t="n">
        <v>9562492234</v>
      </c>
      <c r="C1006" s="46" t="inlineStr">
        <is>
          <t>Customer</t>
        </is>
      </c>
      <c r="D1006" s="46" t="inlineStr">
        <is>
          <t>₹ 0</t>
        </is>
      </c>
      <c r="E1006" s="45" t="n"/>
      <c r="F1006" s="45" t="n"/>
      <c r="G1006" s="45" t="n"/>
      <c r="H1006" s="45" t="n"/>
      <c r="I1006" s="45" t="n"/>
      <c r="J1006" s="45" t="n"/>
      <c r="K1006" s="45" t="n"/>
      <c r="L1006" s="45" t="n"/>
      <c r="M1006" s="45" t="n"/>
      <c r="N1006" s="45" t="n"/>
      <c r="O1006" s="45" t="n"/>
    </row>
    <row r="1007" ht="16.5" customHeight="1" s="85">
      <c r="A1007" s="46" t="inlineStr">
        <is>
          <t>Fr.Praveen</t>
        </is>
      </c>
      <c r="B1007" s="46" t="n">
        <v>9562713394</v>
      </c>
      <c r="C1007" s="46" t="inlineStr">
        <is>
          <t>Customer</t>
        </is>
      </c>
      <c r="D1007" s="46" t="inlineStr">
        <is>
          <t>₹ 0</t>
        </is>
      </c>
      <c r="E1007" s="45" t="n"/>
      <c r="F1007" s="45" t="n"/>
      <c r="G1007" s="45" t="n"/>
      <c r="H1007" s="45" t="n"/>
      <c r="I1007" s="45" t="n"/>
      <c r="J1007" s="45" t="n"/>
      <c r="K1007" s="45" t="n"/>
      <c r="L1007" s="45" t="n"/>
      <c r="M1007" s="45" t="n"/>
      <c r="N1007" s="45" t="n"/>
      <c r="O1007" s="45" t="n"/>
    </row>
    <row r="1008" ht="16.5" customHeight="1" s="85">
      <c r="A1008" s="46" t="inlineStr">
        <is>
          <t>Vijisha</t>
        </is>
      </c>
      <c r="B1008" s="46" t="n">
        <v>9562758905</v>
      </c>
      <c r="C1008" s="46" t="inlineStr">
        <is>
          <t>Customer</t>
        </is>
      </c>
      <c r="D1008" s="46" t="inlineStr">
        <is>
          <t>₹ 0</t>
        </is>
      </c>
      <c r="E1008" s="45" t="n"/>
      <c r="F1008" s="45" t="n"/>
      <c r="G1008" s="45" t="n"/>
      <c r="H1008" s="45" t="n"/>
      <c r="I1008" s="45" t="n"/>
      <c r="J1008" s="45" t="n"/>
      <c r="K1008" s="45" t="n"/>
      <c r="L1008" s="45" t="n"/>
      <c r="M1008" s="45" t="n"/>
      <c r="N1008" s="45" t="n"/>
      <c r="O1008" s="45" t="n"/>
    </row>
    <row r="1009" ht="16.5" customHeight="1" s="85">
      <c r="A1009" s="46" t="inlineStr">
        <is>
          <t>Srilal</t>
        </is>
      </c>
      <c r="B1009" s="46" t="n">
        <v>9562803902</v>
      </c>
      <c r="C1009" s="46" t="inlineStr">
        <is>
          <t>Customer</t>
        </is>
      </c>
      <c r="D1009" s="46" t="inlineStr">
        <is>
          <t>₹ 0</t>
        </is>
      </c>
      <c r="E1009" s="45" t="n"/>
      <c r="F1009" s="45" t="n"/>
      <c r="G1009" s="45" t="n"/>
      <c r="H1009" s="45" t="n"/>
      <c r="I1009" s="45" t="n"/>
      <c r="J1009" s="45" t="n"/>
      <c r="K1009" s="45" t="n"/>
      <c r="L1009" s="45" t="n"/>
      <c r="M1009" s="45" t="n"/>
      <c r="N1009" s="45" t="n"/>
      <c r="O1009" s="45" t="n"/>
    </row>
    <row r="1010" ht="16.5" customHeight="1" s="85">
      <c r="A1010" s="46" t="inlineStr">
        <is>
          <t>Shambhoo Chouhan</t>
        </is>
      </c>
      <c r="B1010" s="46" t="n">
        <v>9565050157</v>
      </c>
      <c r="C1010" s="46" t="inlineStr">
        <is>
          <t>Customer</t>
        </is>
      </c>
      <c r="D1010" s="46" t="inlineStr">
        <is>
          <t>₹ 12,653</t>
        </is>
      </c>
      <c r="E1010" s="45" t="n"/>
      <c r="F1010" s="45" t="n"/>
      <c r="G1010" s="45" t="n"/>
      <c r="H1010" s="45" t="n"/>
      <c r="I1010" s="45" t="n"/>
      <c r="J1010" s="45" t="n"/>
      <c r="K1010" s="45" t="n"/>
      <c r="L1010" s="45" t="n"/>
      <c r="M1010" s="45" t="n"/>
      <c r="N1010" s="45" t="n"/>
      <c r="O1010" s="45" t="n"/>
    </row>
    <row r="1011" ht="16.5" customHeight="1" s="85">
      <c r="A1011" s="46" t="inlineStr">
        <is>
          <t>Dheeraj</t>
        </is>
      </c>
      <c r="B1011" s="46" t="n">
        <v>9565502446</v>
      </c>
      <c r="C1011" s="46" t="inlineStr">
        <is>
          <t>Customer</t>
        </is>
      </c>
      <c r="D1011" s="46" t="inlineStr">
        <is>
          <t>₹ 0</t>
        </is>
      </c>
      <c r="E1011" s="45" t="n"/>
      <c r="F1011" s="45" t="n"/>
      <c r="G1011" s="45" t="n"/>
      <c r="H1011" s="45" t="n"/>
      <c r="I1011" s="45" t="n"/>
      <c r="J1011" s="45" t="n"/>
      <c r="K1011" s="45" t="n"/>
      <c r="L1011" s="45" t="n"/>
      <c r="M1011" s="45" t="n"/>
      <c r="N1011" s="45" t="n"/>
      <c r="O1011" s="45" t="n"/>
    </row>
    <row r="1012" ht="16.5" customHeight="1" s="85">
      <c r="A1012" s="46" t="inlineStr">
        <is>
          <t>Vignesh</t>
        </is>
      </c>
      <c r="B1012" s="46" t="n">
        <v>9566865771</v>
      </c>
      <c r="C1012" s="46" t="inlineStr">
        <is>
          <t>Customer</t>
        </is>
      </c>
      <c r="D1012" s="46" t="inlineStr">
        <is>
          <t>₹ 0</t>
        </is>
      </c>
      <c r="E1012" s="45" t="n"/>
      <c r="F1012" s="45" t="n"/>
      <c r="G1012" s="45" t="n"/>
      <c r="H1012" s="45" t="n"/>
      <c r="I1012" s="45" t="n"/>
      <c r="J1012" s="45" t="n"/>
      <c r="K1012" s="45" t="n"/>
      <c r="L1012" s="45" t="n"/>
      <c r="M1012" s="45" t="n"/>
      <c r="N1012" s="45" t="n"/>
      <c r="O1012" s="45" t="n"/>
    </row>
    <row r="1013" ht="16.5" customHeight="1" s="85">
      <c r="A1013" s="46" t="inlineStr">
        <is>
          <t>Rahul</t>
        </is>
      </c>
      <c r="B1013" s="46" t="n">
        <v>9567077189</v>
      </c>
      <c r="C1013" s="46" t="inlineStr">
        <is>
          <t>Customer</t>
        </is>
      </c>
      <c r="D1013" s="46" t="inlineStr">
        <is>
          <t>₹ 0</t>
        </is>
      </c>
      <c r="E1013" s="45" t="n"/>
      <c r="F1013" s="45" t="n"/>
      <c r="G1013" s="45" t="n"/>
      <c r="H1013" s="45" t="n"/>
      <c r="I1013" s="45" t="n"/>
      <c r="J1013" s="45" t="n"/>
      <c r="K1013" s="45" t="n"/>
      <c r="L1013" s="45" t="n"/>
      <c r="M1013" s="45" t="n"/>
      <c r="N1013" s="45" t="n"/>
      <c r="O1013" s="45" t="n"/>
    </row>
    <row r="1014" ht="16.5" customHeight="1" s="85">
      <c r="A1014" s="46" t="inlineStr">
        <is>
          <t>Ashmi</t>
        </is>
      </c>
      <c r="B1014" s="46" t="n">
        <v>9567252975</v>
      </c>
      <c r="C1014" s="46" t="inlineStr">
        <is>
          <t>Customer</t>
        </is>
      </c>
      <c r="D1014" s="46" t="inlineStr">
        <is>
          <t>₹ 0</t>
        </is>
      </c>
      <c r="E1014" s="45" t="n"/>
      <c r="F1014" s="45" t="n"/>
      <c r="G1014" s="45" t="n"/>
      <c r="H1014" s="45" t="n"/>
      <c r="I1014" s="45" t="n"/>
      <c r="J1014" s="45" t="n"/>
      <c r="K1014" s="45" t="n"/>
      <c r="L1014" s="45" t="n"/>
      <c r="M1014" s="45" t="n"/>
      <c r="N1014" s="45" t="n"/>
      <c r="O1014" s="45" t="n"/>
    </row>
    <row r="1015" ht="16.5" customHeight="1" s="85">
      <c r="A1015" s="46" t="inlineStr">
        <is>
          <t>Mukesh</t>
        </is>
      </c>
      <c r="B1015" s="46" t="n">
        <v>9567573596</v>
      </c>
      <c r="C1015" s="46" t="inlineStr">
        <is>
          <t>Customer</t>
        </is>
      </c>
      <c r="D1015" s="46" t="inlineStr">
        <is>
          <t>₹ 0</t>
        </is>
      </c>
      <c r="E1015" s="45" t="n"/>
      <c r="F1015" s="45" t="n"/>
      <c r="G1015" s="45" t="n"/>
      <c r="H1015" s="45" t="n"/>
      <c r="I1015" s="45" t="n"/>
      <c r="J1015" s="45" t="n"/>
      <c r="K1015" s="45" t="n"/>
      <c r="L1015" s="45" t="n"/>
      <c r="M1015" s="45" t="n"/>
      <c r="N1015" s="45" t="n"/>
      <c r="O1015" s="45" t="n"/>
    </row>
    <row r="1016" ht="16.5" customHeight="1" s="85">
      <c r="A1016" s="46" t="inlineStr">
        <is>
          <t>Krishna</t>
        </is>
      </c>
      <c r="B1016" s="46" t="n">
        <v>9569012060</v>
      </c>
      <c r="C1016" s="46" t="inlineStr">
        <is>
          <t>Customer</t>
        </is>
      </c>
      <c r="D1016" s="46" t="inlineStr">
        <is>
          <t>₹ 0</t>
        </is>
      </c>
      <c r="E1016" s="45" t="n"/>
      <c r="F1016" s="45" t="n"/>
      <c r="G1016" s="45" t="n"/>
      <c r="H1016" s="45" t="n"/>
      <c r="I1016" s="45" t="n"/>
      <c r="J1016" s="45" t="n"/>
      <c r="K1016" s="45" t="n"/>
      <c r="L1016" s="45" t="n"/>
      <c r="M1016" s="45" t="n"/>
      <c r="N1016" s="45" t="n"/>
      <c r="O1016" s="45" t="n"/>
    </row>
    <row r="1017" ht="16.5" customHeight="1" s="85">
      <c r="A1017" s="46" t="inlineStr">
        <is>
          <t>Thriloki</t>
        </is>
      </c>
      <c r="B1017" s="46" t="n">
        <v>9569302746</v>
      </c>
      <c r="C1017" s="46" t="inlineStr">
        <is>
          <t>Customer</t>
        </is>
      </c>
      <c r="D1017" s="46" t="inlineStr">
        <is>
          <t>₹ 0</t>
        </is>
      </c>
      <c r="E1017" s="45" t="n"/>
      <c r="F1017" s="45" t="n"/>
      <c r="G1017" s="45" t="n"/>
      <c r="H1017" s="45" t="n"/>
      <c r="I1017" s="45" t="n"/>
      <c r="J1017" s="45" t="n"/>
      <c r="K1017" s="45" t="n"/>
      <c r="L1017" s="45" t="n"/>
      <c r="M1017" s="45" t="n"/>
      <c r="N1017" s="45" t="n"/>
      <c r="O1017" s="45" t="n"/>
    </row>
    <row r="1018" ht="16.5" customHeight="1" s="85">
      <c r="A1018" s="46" t="inlineStr">
        <is>
          <t>Biju</t>
        </is>
      </c>
      <c r="B1018" s="46" t="n">
        <v>9569953496</v>
      </c>
      <c r="C1018" s="46" t="inlineStr">
        <is>
          <t>Customer</t>
        </is>
      </c>
      <c r="D1018" s="46" t="inlineStr">
        <is>
          <t>₹ 0</t>
        </is>
      </c>
      <c r="E1018" s="45" t="n"/>
      <c r="F1018" s="45" t="n"/>
      <c r="G1018" s="45" t="n"/>
      <c r="H1018" s="45" t="n"/>
      <c r="I1018" s="45" t="n"/>
      <c r="J1018" s="45" t="n"/>
      <c r="K1018" s="45" t="n"/>
      <c r="L1018" s="45" t="n"/>
      <c r="M1018" s="45" t="n"/>
      <c r="N1018" s="45" t="n"/>
      <c r="O1018" s="45" t="n"/>
    </row>
    <row r="1019" ht="16.5" customHeight="1" s="85">
      <c r="A1019" s="46" t="inlineStr">
        <is>
          <t>Aadi</t>
        </is>
      </c>
      <c r="B1019" s="46" t="n">
        <v>9576666111</v>
      </c>
      <c r="C1019" s="46" t="inlineStr">
        <is>
          <t>Customer</t>
        </is>
      </c>
      <c r="D1019" s="46" t="inlineStr">
        <is>
          <t>₹ 0</t>
        </is>
      </c>
      <c r="E1019" s="45" t="n"/>
      <c r="F1019" s="45" t="n"/>
      <c r="G1019" s="45" t="n"/>
      <c r="H1019" s="45" t="n"/>
      <c r="I1019" s="45" t="n"/>
      <c r="J1019" s="45" t="n"/>
      <c r="K1019" s="45" t="n"/>
      <c r="L1019" s="45" t="n"/>
      <c r="M1019" s="45" t="n"/>
      <c r="N1019" s="45" t="n"/>
      <c r="O1019" s="45" t="n"/>
    </row>
    <row r="1020" ht="16.5" customHeight="1" s="85">
      <c r="A1020" s="46" t="inlineStr">
        <is>
          <t>Ajay New Believer</t>
        </is>
      </c>
      <c r="B1020" s="46" t="n">
        <v>9580755049</v>
      </c>
      <c r="C1020" s="46" t="inlineStr">
        <is>
          <t>Customer</t>
        </is>
      </c>
      <c r="D1020" s="46" t="inlineStr">
        <is>
          <t>₹ 0</t>
        </is>
      </c>
      <c r="E1020" s="45" t="n"/>
      <c r="F1020" s="45" t="n"/>
      <c r="G1020" s="45" t="n"/>
      <c r="H1020" s="45" t="n"/>
      <c r="I1020" s="45" t="n"/>
      <c r="J1020" s="45" t="n"/>
      <c r="K1020" s="45" t="n"/>
      <c r="L1020" s="45" t="n"/>
      <c r="M1020" s="45" t="n"/>
      <c r="N1020" s="45" t="n"/>
      <c r="O1020" s="45" t="n"/>
    </row>
    <row r="1021" ht="16.5" customHeight="1" s="85">
      <c r="A1021" s="46" t="inlineStr">
        <is>
          <t>Ps. Ishant Robert</t>
        </is>
      </c>
      <c r="B1021" s="46" t="n">
        <v>9580805448</v>
      </c>
      <c r="C1021" s="46" t="inlineStr">
        <is>
          <t>Customer</t>
        </is>
      </c>
      <c r="D1021" s="46" t="inlineStr">
        <is>
          <t>₹ 0</t>
        </is>
      </c>
      <c r="E1021" s="45" t="n"/>
      <c r="F1021" s="45" t="n"/>
      <c r="G1021" s="45" t="n"/>
      <c r="H1021" s="45" t="n"/>
      <c r="I1021" s="45" t="n"/>
      <c r="J1021" s="45" t="n"/>
      <c r="K1021" s="45" t="n"/>
      <c r="L1021" s="45" t="n"/>
      <c r="M1021" s="45" t="n"/>
      <c r="N1021" s="45" t="n"/>
      <c r="O1021" s="45" t="n"/>
    </row>
    <row r="1022" ht="16.5" customHeight="1" s="85">
      <c r="A1022" s="46" t="inlineStr">
        <is>
          <t>Chadrakant</t>
        </is>
      </c>
      <c r="B1022" s="46" t="n">
        <v>9580851508</v>
      </c>
      <c r="C1022" s="46" t="inlineStr">
        <is>
          <t>Customer</t>
        </is>
      </c>
      <c r="D1022" s="46" t="inlineStr">
        <is>
          <t>₹ 0</t>
        </is>
      </c>
      <c r="E1022" s="45" t="n"/>
      <c r="F1022" s="45" t="n"/>
      <c r="G1022" s="45" t="n"/>
      <c r="H1022" s="45" t="n"/>
      <c r="I1022" s="45" t="n"/>
      <c r="J1022" s="45" t="n"/>
      <c r="K1022" s="45" t="n"/>
      <c r="L1022" s="45" t="n"/>
      <c r="M1022" s="45" t="n"/>
      <c r="N1022" s="45" t="n"/>
      <c r="O1022" s="45" t="n"/>
    </row>
    <row r="1023" ht="16.5" customHeight="1" s="85">
      <c r="A1023" s="46" t="inlineStr">
        <is>
          <t>Shree Raj</t>
        </is>
      </c>
      <c r="B1023" s="46" t="n">
        <v>9585548916</v>
      </c>
      <c r="C1023" s="46" t="inlineStr">
        <is>
          <t>Customer</t>
        </is>
      </c>
      <c r="D1023" s="46" t="inlineStr">
        <is>
          <t>₹ 0</t>
        </is>
      </c>
      <c r="E1023" s="45" t="n"/>
      <c r="F1023" s="45" t="n"/>
      <c r="G1023" s="45" t="n"/>
      <c r="H1023" s="45" t="n"/>
      <c r="I1023" s="45" t="n"/>
      <c r="J1023" s="45" t="n"/>
      <c r="K1023" s="45" t="n"/>
      <c r="L1023" s="45" t="n"/>
      <c r="M1023" s="45" t="n"/>
      <c r="N1023" s="45" t="n"/>
      <c r="O1023" s="45" t="n"/>
    </row>
    <row r="1024" ht="16.5" customHeight="1" s="85">
      <c r="A1024" s="46" t="inlineStr">
        <is>
          <t>St.Marry School</t>
        </is>
      </c>
      <c r="B1024" s="46" t="n">
        <v>9592031520</v>
      </c>
      <c r="C1024" s="46" t="inlineStr">
        <is>
          <t>Customer</t>
        </is>
      </c>
      <c r="D1024" s="46" t="inlineStr">
        <is>
          <t>₹ 0</t>
        </is>
      </c>
      <c r="E1024" s="45" t="n"/>
      <c r="F1024" s="45" t="n"/>
      <c r="G1024" s="45" t="n"/>
      <c r="H1024" s="45" t="n"/>
      <c r="I1024" s="45" t="n"/>
      <c r="J1024" s="45" t="n"/>
      <c r="K1024" s="45" t="n"/>
      <c r="L1024" s="45" t="n"/>
      <c r="M1024" s="45" t="n"/>
      <c r="N1024" s="45" t="n"/>
      <c r="O1024" s="45" t="n"/>
    </row>
    <row r="1025" ht="16.5" customHeight="1" s="85">
      <c r="A1025" s="46" t="inlineStr">
        <is>
          <t>Priyona</t>
        </is>
      </c>
      <c r="B1025" s="46" t="n">
        <v>9592904509</v>
      </c>
      <c r="C1025" s="46" t="inlineStr">
        <is>
          <t>Customer</t>
        </is>
      </c>
      <c r="D1025" s="46" t="inlineStr">
        <is>
          <t>₹ 0</t>
        </is>
      </c>
      <c r="E1025" s="45" t="n"/>
      <c r="F1025" s="45" t="n"/>
      <c r="G1025" s="45" t="n"/>
      <c r="H1025" s="45" t="n"/>
      <c r="I1025" s="45" t="n"/>
      <c r="J1025" s="45" t="n"/>
      <c r="K1025" s="45" t="n"/>
      <c r="L1025" s="45" t="n"/>
      <c r="M1025" s="45" t="n"/>
      <c r="N1025" s="45" t="n"/>
      <c r="O1025" s="45" t="n"/>
    </row>
    <row r="1026" ht="16.5" customHeight="1" s="85">
      <c r="A1026" s="46" t="inlineStr">
        <is>
          <t>Akhil</t>
        </is>
      </c>
      <c r="B1026" s="46" t="n">
        <v>9596511827</v>
      </c>
      <c r="C1026" s="46" t="inlineStr">
        <is>
          <t>Customer</t>
        </is>
      </c>
      <c r="D1026" s="46" t="inlineStr">
        <is>
          <t>₹ 0</t>
        </is>
      </c>
      <c r="E1026" s="45" t="n"/>
      <c r="F1026" s="45" t="n"/>
      <c r="G1026" s="45" t="n"/>
      <c r="H1026" s="45" t="n"/>
      <c r="I1026" s="45" t="n"/>
      <c r="J1026" s="45" t="n"/>
      <c r="K1026" s="45" t="n"/>
      <c r="L1026" s="45" t="n"/>
      <c r="M1026" s="45" t="n"/>
      <c r="N1026" s="45" t="n"/>
      <c r="O1026" s="45" t="n"/>
    </row>
    <row r="1027" ht="16.5" customHeight="1" s="85">
      <c r="A1027" s="46" t="inlineStr">
        <is>
          <t>Biju LFS, Dharampur</t>
        </is>
      </c>
      <c r="B1027" s="46" t="n">
        <v>9598124844</v>
      </c>
      <c r="C1027" s="46" t="inlineStr">
        <is>
          <t>Customer</t>
        </is>
      </c>
      <c r="D1027" s="46" t="inlineStr">
        <is>
          <t>₹ 0</t>
        </is>
      </c>
      <c r="E1027" s="45" t="n"/>
      <c r="F1027" s="45" t="n"/>
      <c r="G1027" s="45" t="n"/>
      <c r="H1027" s="45" t="n"/>
      <c r="I1027" s="45" t="n"/>
      <c r="J1027" s="45" t="n"/>
      <c r="K1027" s="45" t="n"/>
      <c r="L1027" s="45" t="n"/>
      <c r="M1027" s="45" t="n"/>
      <c r="N1027" s="45" t="n"/>
      <c r="O1027" s="45" t="n"/>
    </row>
    <row r="1028" ht="16.5" customHeight="1" s="85">
      <c r="A1028" s="46" t="inlineStr">
        <is>
          <t>alka</t>
        </is>
      </c>
      <c r="B1028" s="46" t="n">
        <v>9598221818</v>
      </c>
      <c r="C1028" s="46" t="inlineStr">
        <is>
          <t>Customer</t>
        </is>
      </c>
      <c r="D1028" s="46" t="inlineStr">
        <is>
          <t>₹ 0</t>
        </is>
      </c>
      <c r="E1028" s="45" t="n"/>
      <c r="F1028" s="45" t="n"/>
      <c r="G1028" s="45" t="n"/>
      <c r="H1028" s="45" t="n"/>
      <c r="I1028" s="45" t="n"/>
      <c r="J1028" s="45" t="n"/>
      <c r="K1028" s="45" t="n"/>
      <c r="L1028" s="45" t="n"/>
      <c r="M1028" s="45" t="n"/>
      <c r="N1028" s="45" t="n"/>
      <c r="O1028" s="45" t="n"/>
    </row>
    <row r="1029" ht="16.5" customHeight="1" s="85">
      <c r="A1029" s="46" t="inlineStr">
        <is>
          <t>Adarsh</t>
        </is>
      </c>
      <c r="B1029" s="46" t="n">
        <v>9598610845</v>
      </c>
      <c r="C1029" s="46" t="inlineStr">
        <is>
          <t>Customer</t>
        </is>
      </c>
      <c r="D1029" s="46" t="inlineStr">
        <is>
          <t>₹ 0</t>
        </is>
      </c>
      <c r="E1029" s="45" t="n"/>
      <c r="F1029" s="45" t="n"/>
      <c r="G1029" s="45" t="n"/>
      <c r="H1029" s="45" t="n"/>
      <c r="I1029" s="45" t="n"/>
      <c r="J1029" s="45" t="n"/>
      <c r="K1029" s="45" t="n"/>
      <c r="L1029" s="45" t="n"/>
      <c r="M1029" s="45" t="n"/>
      <c r="N1029" s="45" t="n"/>
      <c r="O1029" s="45" t="n"/>
    </row>
    <row r="1030" ht="16.5" customHeight="1" s="85">
      <c r="A1030" s="46" t="inlineStr">
        <is>
          <t>Paril</t>
        </is>
      </c>
      <c r="B1030" s="46" t="n">
        <v>9598899966</v>
      </c>
      <c r="C1030" s="46" t="inlineStr">
        <is>
          <t>Customer</t>
        </is>
      </c>
      <c r="D1030" s="46" t="inlineStr">
        <is>
          <t>₹ 0</t>
        </is>
      </c>
      <c r="E1030" s="45" t="n"/>
      <c r="F1030" s="45" t="n"/>
      <c r="G1030" s="45" t="n"/>
      <c r="H1030" s="45" t="n"/>
      <c r="I1030" s="45" t="n"/>
      <c r="J1030" s="45" t="n"/>
      <c r="K1030" s="45" t="n"/>
      <c r="L1030" s="45" t="n"/>
      <c r="M1030" s="45" t="n"/>
      <c r="N1030" s="45" t="n"/>
      <c r="O1030" s="45" t="n"/>
    </row>
    <row r="1031" ht="16.5" customHeight="1" s="85">
      <c r="A1031" s="46" t="inlineStr">
        <is>
          <t>Abhilash</t>
        </is>
      </c>
      <c r="B1031" s="46" t="n">
        <v>9605005962</v>
      </c>
      <c r="C1031" s="46" t="inlineStr">
        <is>
          <t>Customer</t>
        </is>
      </c>
      <c r="D1031" s="46" t="inlineStr">
        <is>
          <t>₹ 0</t>
        </is>
      </c>
      <c r="E1031" s="45" t="n"/>
      <c r="F1031" s="45" t="n"/>
      <c r="G1031" s="45" t="n"/>
      <c r="H1031" s="45" t="n"/>
      <c r="I1031" s="45" t="n"/>
      <c r="J1031" s="45" t="n"/>
      <c r="K1031" s="45" t="n"/>
      <c r="L1031" s="45" t="n"/>
      <c r="M1031" s="45" t="n"/>
      <c r="N1031" s="45" t="n"/>
      <c r="O1031" s="45" t="n"/>
    </row>
    <row r="1032" ht="16.5" customHeight="1" s="85">
      <c r="A1032" s="46" t="inlineStr">
        <is>
          <t>Josin Malayali Tholanickal</t>
        </is>
      </c>
      <c r="B1032" s="46" t="n">
        <v>9605136982</v>
      </c>
      <c r="C1032" s="46" t="inlineStr">
        <is>
          <t>Customer</t>
        </is>
      </c>
      <c r="D1032" s="46" t="inlineStr">
        <is>
          <t>₹ 0</t>
        </is>
      </c>
      <c r="E1032" s="45" t="n"/>
      <c r="F1032" s="45" t="n"/>
      <c r="G1032" s="45" t="n"/>
      <c r="H1032" s="45" t="n"/>
      <c r="I1032" s="45" t="n"/>
      <c r="J1032" s="45" t="n"/>
      <c r="K1032" s="45" t="n"/>
      <c r="L1032" s="45" t="n"/>
      <c r="M1032" s="45" t="n"/>
      <c r="N1032" s="45" t="n"/>
      <c r="O1032" s="45" t="n"/>
    </row>
    <row r="1033" ht="16.5" customHeight="1" s="85">
      <c r="A1033" s="46" t="inlineStr">
        <is>
          <t>Lijo</t>
        </is>
      </c>
      <c r="B1033" s="46" t="n">
        <v>9605336161</v>
      </c>
      <c r="C1033" s="46" t="inlineStr">
        <is>
          <t>Customer</t>
        </is>
      </c>
      <c r="D1033" s="46" t="inlineStr">
        <is>
          <t>₹ 0</t>
        </is>
      </c>
      <c r="E1033" s="45" t="n"/>
      <c r="F1033" s="45" t="n"/>
      <c r="G1033" s="45" t="n"/>
      <c r="H1033" s="45" t="n"/>
      <c r="I1033" s="45" t="n"/>
      <c r="J1033" s="45" t="n"/>
      <c r="K1033" s="45" t="n"/>
      <c r="L1033" s="45" t="n"/>
      <c r="M1033" s="45" t="n"/>
      <c r="N1033" s="45" t="n"/>
      <c r="O1033" s="45" t="n"/>
    </row>
    <row r="1034" ht="16.5" customHeight="1" s="85">
      <c r="A1034" s="46" t="inlineStr">
        <is>
          <t>Rina</t>
        </is>
      </c>
      <c r="B1034" s="46" t="n">
        <v>9605851237</v>
      </c>
      <c r="C1034" s="46" t="inlineStr">
        <is>
          <t>Customer</t>
        </is>
      </c>
      <c r="D1034" s="46" t="inlineStr">
        <is>
          <t>₹ 0</t>
        </is>
      </c>
      <c r="E1034" s="45" t="n"/>
      <c r="F1034" s="45" t="n"/>
      <c r="G1034" s="45" t="n"/>
      <c r="H1034" s="45" t="n"/>
      <c r="I1034" s="45" t="n"/>
      <c r="J1034" s="45" t="n"/>
      <c r="K1034" s="45" t="n"/>
      <c r="L1034" s="45" t="n"/>
      <c r="M1034" s="45" t="n"/>
      <c r="N1034" s="45" t="n"/>
      <c r="O1034" s="45" t="n"/>
    </row>
    <row r="1035" ht="16.5" customHeight="1" s="85">
      <c r="A1035" s="46" t="inlineStr">
        <is>
          <t>Kartik</t>
        </is>
      </c>
      <c r="B1035" s="46" t="n">
        <v>9605967946</v>
      </c>
      <c r="C1035" s="46" t="inlineStr">
        <is>
          <t>Customer</t>
        </is>
      </c>
      <c r="D1035" s="46" t="inlineStr">
        <is>
          <t>₹ 0</t>
        </is>
      </c>
      <c r="E1035" s="45" t="n"/>
      <c r="F1035" s="45" t="n"/>
      <c r="G1035" s="45" t="n"/>
      <c r="H1035" s="45" t="n"/>
      <c r="I1035" s="45" t="n"/>
      <c r="J1035" s="45" t="n"/>
      <c r="K1035" s="45" t="n"/>
      <c r="L1035" s="45" t="n"/>
      <c r="M1035" s="45" t="n"/>
      <c r="N1035" s="45" t="n"/>
      <c r="O1035" s="45" t="n"/>
    </row>
    <row r="1036" ht="16.5" customHeight="1" s="85">
      <c r="A1036" s="46" t="inlineStr">
        <is>
          <t>Sister Of Mary Immaculate Gorakhpur</t>
        </is>
      </c>
      <c r="B1036" s="46" t="n">
        <v>9608210859</v>
      </c>
      <c r="C1036" s="46" t="inlineStr">
        <is>
          <t>Customer</t>
        </is>
      </c>
      <c r="D1036" s="46" t="inlineStr">
        <is>
          <t>₹ 0</t>
        </is>
      </c>
      <c r="E1036" s="45" t="n"/>
      <c r="F1036" s="45" t="n"/>
      <c r="G1036" s="45" t="n"/>
      <c r="H1036" s="45" t="n"/>
      <c r="I1036" s="45" t="n"/>
      <c r="J1036" s="45" t="n"/>
      <c r="K1036" s="45" t="n"/>
      <c r="L1036" s="45" t="n"/>
      <c r="M1036" s="45" t="n"/>
      <c r="N1036" s="45" t="n"/>
      <c r="O1036" s="45" t="n"/>
    </row>
    <row r="1037" ht="16.5" customHeight="1" s="85">
      <c r="A1037" s="46" t="inlineStr">
        <is>
          <t>Jolly</t>
        </is>
      </c>
      <c r="B1037" s="46" t="n">
        <v>9616129239</v>
      </c>
      <c r="C1037" s="46" t="inlineStr">
        <is>
          <t>Customer</t>
        </is>
      </c>
      <c r="D1037" s="46" t="inlineStr">
        <is>
          <t>₹ 0</t>
        </is>
      </c>
      <c r="E1037" s="45" t="n"/>
      <c r="F1037" s="45" t="n"/>
      <c r="G1037" s="45" t="n"/>
      <c r="H1037" s="45" t="n"/>
      <c r="I1037" s="45" t="n"/>
      <c r="J1037" s="45" t="n"/>
      <c r="K1037" s="45" t="n"/>
      <c r="L1037" s="45" t="n"/>
      <c r="M1037" s="45" t="n"/>
      <c r="N1037" s="45" t="n"/>
      <c r="O1037" s="45" t="n"/>
    </row>
    <row r="1038" ht="16.5" customHeight="1" s="85">
      <c r="A1038" s="46" t="inlineStr">
        <is>
          <t>Vinod George</t>
        </is>
      </c>
      <c r="B1038" s="46" t="n">
        <v>9616512022</v>
      </c>
      <c r="C1038" s="46" t="inlineStr">
        <is>
          <t>Customer</t>
        </is>
      </c>
      <c r="D1038" s="46" t="inlineStr">
        <is>
          <t>₹ 0</t>
        </is>
      </c>
      <c r="E1038" s="45" t="n"/>
      <c r="F1038" s="45" t="n"/>
      <c r="G1038" s="45" t="n"/>
      <c r="H1038" s="45" t="n"/>
      <c r="I1038" s="45" t="n"/>
      <c r="J1038" s="45" t="n"/>
      <c r="K1038" s="45" t="n"/>
      <c r="L1038" s="45" t="n"/>
      <c r="M1038" s="45" t="n"/>
      <c r="N1038" s="45" t="n"/>
      <c r="O1038" s="45" t="n"/>
    </row>
    <row r="1039" ht="16.5" customHeight="1" s="85">
      <c r="A1039" s="46" t="inlineStr">
        <is>
          <t>Suma Aunty</t>
        </is>
      </c>
      <c r="B1039" s="46" t="n">
        <v>9616561463</v>
      </c>
      <c r="C1039" s="46" t="inlineStr">
        <is>
          <t>Customer</t>
        </is>
      </c>
      <c r="D1039" s="46" t="inlineStr">
        <is>
          <t>₹ 0</t>
        </is>
      </c>
      <c r="E1039" s="45" t="n"/>
      <c r="F1039" s="45" t="n"/>
      <c r="G1039" s="45" t="n"/>
      <c r="H1039" s="45" t="n"/>
      <c r="I1039" s="45" t="n"/>
      <c r="J1039" s="45" t="n"/>
      <c r="K1039" s="45" t="n"/>
      <c r="L1039" s="45" t="n"/>
      <c r="M1039" s="45" t="n"/>
      <c r="N1039" s="45" t="n"/>
      <c r="O1039" s="45" t="n"/>
    </row>
    <row r="1040" ht="16.5" customHeight="1" s="85">
      <c r="A1040" s="46" t="inlineStr">
        <is>
          <t>Johnson</t>
        </is>
      </c>
      <c r="B1040" s="46" t="n">
        <v>9616615688</v>
      </c>
      <c r="C1040" s="46" t="inlineStr">
        <is>
          <t>Customer</t>
        </is>
      </c>
      <c r="D1040" s="46" t="inlineStr">
        <is>
          <t>₹ 0</t>
        </is>
      </c>
      <c r="E1040" s="45" t="n"/>
      <c r="F1040" s="45" t="n"/>
      <c r="G1040" s="45" t="n"/>
      <c r="H1040" s="45" t="n"/>
      <c r="I1040" s="45" t="n"/>
      <c r="J1040" s="45" t="n"/>
      <c r="K1040" s="45" t="n"/>
      <c r="L1040" s="45" t="n"/>
      <c r="M1040" s="45" t="n"/>
      <c r="N1040" s="45" t="n"/>
      <c r="O1040" s="45" t="n"/>
    </row>
    <row r="1041" ht="16.5" customHeight="1" s="85">
      <c r="A1041" s="46" t="inlineStr">
        <is>
          <t>Prince Vincent Malayali vincent</t>
        </is>
      </c>
      <c r="B1041" s="46" t="n">
        <v>9616774488</v>
      </c>
      <c r="C1041" s="46" t="inlineStr">
        <is>
          <t>Customer</t>
        </is>
      </c>
      <c r="D1041" s="46" t="inlineStr">
        <is>
          <t>₹ 0</t>
        </is>
      </c>
      <c r="E1041" s="45" t="n"/>
      <c r="F1041" s="45" t="n"/>
      <c r="G1041" s="45" t="n"/>
      <c r="H1041" s="45" t="n"/>
      <c r="I1041" s="45" t="n"/>
      <c r="J1041" s="45" t="n"/>
      <c r="K1041" s="45" t="n"/>
      <c r="L1041" s="45" t="n"/>
      <c r="M1041" s="45" t="n"/>
      <c r="N1041" s="45" t="n"/>
      <c r="O1041" s="45" t="n"/>
    </row>
    <row r="1042" ht="16.5" customHeight="1" s="85">
      <c r="A1042" s="46" t="inlineStr">
        <is>
          <t>Brijbhushan</t>
        </is>
      </c>
      <c r="B1042" s="46" t="n">
        <v>9616849484</v>
      </c>
      <c r="C1042" s="46" t="inlineStr">
        <is>
          <t>Customer</t>
        </is>
      </c>
      <c r="D1042" s="46" t="inlineStr">
        <is>
          <t>₹ 0</t>
        </is>
      </c>
      <c r="E1042" s="45" t="n"/>
      <c r="F1042" s="45" t="n"/>
      <c r="G1042" s="45" t="n"/>
      <c r="H1042" s="45" t="n"/>
      <c r="I1042" s="45" t="n"/>
      <c r="J1042" s="45" t="n"/>
      <c r="K1042" s="45" t="n"/>
      <c r="L1042" s="45" t="n"/>
      <c r="M1042" s="45" t="n"/>
      <c r="N1042" s="45" t="n"/>
      <c r="O1042" s="45" t="n"/>
    </row>
    <row r="1043" ht="16.5" customHeight="1" s="85">
      <c r="A1043" s="46" t="inlineStr">
        <is>
          <t>Keerthi</t>
        </is>
      </c>
      <c r="B1043" s="46" t="n">
        <v>9620817620</v>
      </c>
      <c r="C1043" s="46" t="inlineStr">
        <is>
          <t>Customer</t>
        </is>
      </c>
      <c r="D1043" s="46" t="inlineStr">
        <is>
          <t>₹ 0</t>
        </is>
      </c>
      <c r="E1043" s="45" t="n"/>
      <c r="F1043" s="45" t="n"/>
      <c r="G1043" s="45" t="n"/>
      <c r="H1043" s="45" t="n"/>
      <c r="I1043" s="45" t="n"/>
      <c r="J1043" s="45" t="n"/>
      <c r="K1043" s="45" t="n"/>
      <c r="L1043" s="45" t="n"/>
      <c r="M1043" s="45" t="n"/>
      <c r="N1043" s="45" t="n"/>
      <c r="O1043" s="45" t="n"/>
    </row>
    <row r="1044" ht="16.5" customHeight="1" s="85">
      <c r="A1044" s="46" t="inlineStr">
        <is>
          <t>Nitesh</t>
        </is>
      </c>
      <c r="B1044" s="46" t="n">
        <v>9621228489</v>
      </c>
      <c r="C1044" s="46" t="inlineStr">
        <is>
          <t>Customer</t>
        </is>
      </c>
      <c r="D1044" s="46" t="inlineStr">
        <is>
          <t>₹ 0</t>
        </is>
      </c>
      <c r="E1044" s="45" t="n"/>
      <c r="F1044" s="45" t="n"/>
      <c r="G1044" s="45" t="n"/>
      <c r="H1044" s="45" t="n"/>
      <c r="I1044" s="45" t="n"/>
      <c r="J1044" s="45" t="n"/>
      <c r="K1044" s="45" t="n"/>
      <c r="L1044" s="45" t="n"/>
      <c r="M1044" s="45" t="n"/>
      <c r="N1044" s="45" t="n"/>
      <c r="O1044" s="45" t="n"/>
    </row>
    <row r="1045" ht="16.5" customHeight="1" s="85">
      <c r="A1045" s="46" t="inlineStr">
        <is>
          <t>Sr. Susheela</t>
        </is>
      </c>
      <c r="B1045" s="46" t="n">
        <v>9621247980</v>
      </c>
      <c r="C1045" s="46" t="inlineStr">
        <is>
          <t>Customer</t>
        </is>
      </c>
      <c r="D1045" s="46" t="inlineStr">
        <is>
          <t>₹ 0</t>
        </is>
      </c>
      <c r="E1045" s="45" t="n"/>
      <c r="F1045" s="45" t="n"/>
      <c r="G1045" s="45" t="n"/>
      <c r="H1045" s="45" t="n"/>
      <c r="I1045" s="45" t="n"/>
      <c r="J1045" s="45" t="n"/>
      <c r="K1045" s="45" t="n"/>
      <c r="L1045" s="45" t="n"/>
      <c r="M1045" s="45" t="n"/>
      <c r="N1045" s="45" t="n"/>
      <c r="O1045" s="45" t="n"/>
    </row>
    <row r="1046" ht="16.5" customHeight="1" s="85">
      <c r="A1046" s="46" t="inlineStr">
        <is>
          <t>Rajesh Khalilabad</t>
        </is>
      </c>
      <c r="B1046" s="46" t="n">
        <v>9621268713</v>
      </c>
      <c r="C1046" s="46" t="inlineStr">
        <is>
          <t>Customer</t>
        </is>
      </c>
      <c r="D1046" s="46" t="inlineStr">
        <is>
          <t>₹ 0</t>
        </is>
      </c>
      <c r="E1046" s="45" t="n"/>
      <c r="F1046" s="45" t="n"/>
      <c r="G1046" s="45" t="n"/>
      <c r="H1046" s="45" t="n"/>
      <c r="I1046" s="45" t="n"/>
      <c r="J1046" s="45" t="n"/>
      <c r="K1046" s="45" t="n"/>
      <c r="L1046" s="45" t="n"/>
      <c r="M1046" s="45" t="n"/>
      <c r="N1046" s="45" t="n"/>
      <c r="O1046" s="45" t="n"/>
    </row>
    <row r="1047" ht="16.5" customHeight="1" s="85">
      <c r="A1047" s="46" t="inlineStr">
        <is>
          <t>Ganesh</t>
        </is>
      </c>
      <c r="B1047" s="46" t="n">
        <v>9621466198</v>
      </c>
      <c r="C1047" s="46" t="inlineStr">
        <is>
          <t>Customer</t>
        </is>
      </c>
      <c r="D1047" s="46" t="inlineStr">
        <is>
          <t>₹ 0</t>
        </is>
      </c>
      <c r="E1047" s="45" t="n"/>
      <c r="F1047" s="45" t="n"/>
      <c r="G1047" s="45" t="n"/>
      <c r="H1047" s="45" t="n"/>
      <c r="I1047" s="45" t="n"/>
      <c r="J1047" s="45" t="n"/>
      <c r="K1047" s="45" t="n"/>
      <c r="L1047" s="45" t="n"/>
      <c r="M1047" s="45" t="n"/>
      <c r="N1047" s="45" t="n"/>
      <c r="O1047" s="45" t="n"/>
    </row>
    <row r="1048" ht="16.5" customHeight="1" s="85">
      <c r="A1048" s="46" t="inlineStr">
        <is>
          <t>Shunil Ganesh</t>
        </is>
      </c>
      <c r="B1048" s="46" t="n">
        <v>9621716767</v>
      </c>
      <c r="C1048" s="46" t="inlineStr">
        <is>
          <t>Customer</t>
        </is>
      </c>
      <c r="D1048" s="46" t="inlineStr">
        <is>
          <t>₹ 0</t>
        </is>
      </c>
      <c r="E1048" s="45" t="n"/>
      <c r="F1048" s="45" t="n"/>
      <c r="G1048" s="45" t="n"/>
      <c r="H1048" s="45" t="n"/>
      <c r="I1048" s="45" t="n"/>
      <c r="J1048" s="45" t="n"/>
      <c r="K1048" s="45" t="n"/>
      <c r="L1048" s="45" t="n"/>
      <c r="M1048" s="45" t="n"/>
      <c r="N1048" s="45" t="n"/>
      <c r="O1048" s="45" t="n"/>
    </row>
    <row r="1049" ht="16.5" customHeight="1" s="85">
      <c r="A1049" s="46" t="inlineStr">
        <is>
          <t>Krishna</t>
        </is>
      </c>
      <c r="B1049" s="46" t="n">
        <v>9621798068</v>
      </c>
      <c r="C1049" s="46" t="inlineStr">
        <is>
          <t>Customer</t>
        </is>
      </c>
      <c r="D1049" s="46" t="inlineStr">
        <is>
          <t>₹ 0</t>
        </is>
      </c>
      <c r="E1049" s="45" t="n"/>
      <c r="F1049" s="45" t="n"/>
      <c r="G1049" s="45" t="n"/>
      <c r="H1049" s="45" t="n"/>
      <c r="I1049" s="45" t="n"/>
      <c r="J1049" s="45" t="n"/>
      <c r="K1049" s="45" t="n"/>
      <c r="L1049" s="45" t="n"/>
      <c r="M1049" s="45" t="n"/>
      <c r="N1049" s="45" t="n"/>
      <c r="O1049" s="45" t="n"/>
    </row>
    <row r="1050" ht="16.5" customHeight="1" s="85">
      <c r="A1050" s="46" t="inlineStr">
        <is>
          <t>Gideon John Chacko</t>
        </is>
      </c>
      <c r="B1050" s="46" t="n">
        <v>9621899780</v>
      </c>
      <c r="C1050" s="46" t="inlineStr">
        <is>
          <t>Customer</t>
        </is>
      </c>
      <c r="D1050" s="46" t="inlineStr">
        <is>
          <t>₹ 0</t>
        </is>
      </c>
      <c r="E1050" s="45" t="n"/>
      <c r="F1050" s="45" t="n"/>
      <c r="G1050" s="45" t="n"/>
      <c r="H1050" s="45" t="n"/>
      <c r="I1050" s="45" t="n"/>
      <c r="J1050" s="45" t="n"/>
      <c r="K1050" s="45" t="n"/>
      <c r="L1050" s="45" t="n"/>
      <c r="M1050" s="45" t="n"/>
      <c r="N1050" s="45" t="n"/>
      <c r="O1050" s="45" t="n"/>
    </row>
    <row r="1051" ht="16.5" customHeight="1" s="85">
      <c r="A1051" s="46" t="inlineStr">
        <is>
          <t>St. Joseph's Gorakhnath</t>
        </is>
      </c>
      <c r="B1051" s="46" t="n">
        <v>9621992096</v>
      </c>
      <c r="C1051" s="46" t="inlineStr">
        <is>
          <t>Customer</t>
        </is>
      </c>
      <c r="D1051" s="46" t="inlineStr">
        <is>
          <t>₹ 0</t>
        </is>
      </c>
      <c r="E1051" s="45" t="n"/>
      <c r="F1051" s="45" t="n"/>
      <c r="G1051" s="45" t="n"/>
      <c r="H1051" s="45" t="n"/>
      <c r="I1051" s="45" t="n"/>
      <c r="J1051" s="45" t="n"/>
      <c r="K1051" s="45" t="n"/>
      <c r="L1051" s="45" t="n"/>
      <c r="M1051" s="45" t="n"/>
      <c r="N1051" s="45" t="n"/>
      <c r="O1051" s="45" t="n"/>
    </row>
    <row r="1052" ht="16.5" customHeight="1" s="85">
      <c r="A1052" s="46" t="inlineStr">
        <is>
          <t>Naresh Kumar</t>
        </is>
      </c>
      <c r="B1052" s="46" t="n">
        <v>9628129140</v>
      </c>
      <c r="C1052" s="46" t="inlineStr">
        <is>
          <t>Customer</t>
        </is>
      </c>
      <c r="D1052" s="46" t="inlineStr">
        <is>
          <t>₹ 0</t>
        </is>
      </c>
      <c r="E1052" s="45" t="n"/>
      <c r="F1052" s="45" t="n"/>
      <c r="G1052" s="45" t="n"/>
      <c r="H1052" s="45" t="n"/>
      <c r="I1052" s="45" t="n"/>
      <c r="J1052" s="45" t="n"/>
      <c r="K1052" s="45" t="n"/>
      <c r="L1052" s="45" t="n"/>
      <c r="M1052" s="45" t="n"/>
      <c r="N1052" s="45" t="n"/>
      <c r="O1052" s="45" t="n"/>
    </row>
    <row r="1053" ht="16.5" customHeight="1" s="85">
      <c r="A1053" s="46" t="inlineStr">
        <is>
          <t>Tomcy</t>
        </is>
      </c>
      <c r="B1053" s="46" t="n">
        <v>9628298385</v>
      </c>
      <c r="C1053" s="46" t="inlineStr">
        <is>
          <t>Customer</t>
        </is>
      </c>
      <c r="D1053" s="46" t="inlineStr">
        <is>
          <t>₹ 0</t>
        </is>
      </c>
      <c r="E1053" s="45" t="n"/>
      <c r="F1053" s="45" t="n"/>
      <c r="G1053" s="45" t="n"/>
      <c r="H1053" s="45" t="n"/>
      <c r="I1053" s="45" t="n"/>
      <c r="J1053" s="45" t="n"/>
      <c r="K1053" s="45" t="n"/>
      <c r="L1053" s="45" t="n"/>
      <c r="M1053" s="45" t="n"/>
      <c r="N1053" s="45" t="n"/>
      <c r="O1053" s="45" t="n"/>
    </row>
    <row r="1054" ht="16.5" customHeight="1" s="85">
      <c r="A1054" s="46" t="inlineStr">
        <is>
          <t>Dr. R.P Prajapati</t>
        </is>
      </c>
      <c r="B1054" s="46" t="n">
        <v>9628425186</v>
      </c>
      <c r="C1054" s="46" t="inlineStr">
        <is>
          <t>Customer</t>
        </is>
      </c>
      <c r="D1054" s="46" t="inlineStr">
        <is>
          <t>₹ 0</t>
        </is>
      </c>
      <c r="E1054" s="45" t="n"/>
      <c r="F1054" s="45" t="n"/>
      <c r="G1054" s="45" t="n"/>
      <c r="H1054" s="45" t="n"/>
      <c r="I1054" s="45" t="n"/>
      <c r="J1054" s="45" t="n"/>
      <c r="K1054" s="45" t="n"/>
      <c r="L1054" s="45" t="n"/>
      <c r="M1054" s="45" t="n"/>
      <c r="N1054" s="45" t="n"/>
      <c r="O1054" s="45" t="n"/>
    </row>
    <row r="1055" ht="16.5" customHeight="1" s="85">
      <c r="A1055" s="46" t="inlineStr">
        <is>
          <t>Monika</t>
        </is>
      </c>
      <c r="B1055" s="46" t="n">
        <v>9628676161</v>
      </c>
      <c r="C1055" s="46" t="inlineStr">
        <is>
          <t>Customer</t>
        </is>
      </c>
      <c r="D1055" s="46" t="inlineStr">
        <is>
          <t>₹ 0</t>
        </is>
      </c>
      <c r="E1055" s="45" t="n"/>
      <c r="F1055" s="45" t="n"/>
      <c r="G1055" s="45" t="n"/>
      <c r="H1055" s="45" t="n"/>
      <c r="I1055" s="45" t="n"/>
      <c r="J1055" s="45" t="n"/>
      <c r="K1055" s="45" t="n"/>
      <c r="L1055" s="45" t="n"/>
      <c r="M1055" s="45" t="n"/>
      <c r="N1055" s="45" t="n"/>
      <c r="O1055" s="45" t="n"/>
    </row>
    <row r="1056" ht="16.5" customHeight="1" s="85">
      <c r="A1056" s="46" t="inlineStr">
        <is>
          <t>Sr.Leema</t>
        </is>
      </c>
      <c r="B1056" s="46" t="n">
        <v>9628761532</v>
      </c>
      <c r="C1056" s="46" t="inlineStr">
        <is>
          <t>Customer</t>
        </is>
      </c>
      <c r="D1056" s="46" t="inlineStr">
        <is>
          <t>₹ 0</t>
        </is>
      </c>
      <c r="E1056" s="45" t="n"/>
      <c r="F1056" s="45" t="n"/>
      <c r="G1056" s="45" t="n"/>
      <c r="H1056" s="45" t="n"/>
      <c r="I1056" s="45" t="n"/>
      <c r="J1056" s="45" t="n"/>
      <c r="K1056" s="45" t="n"/>
      <c r="L1056" s="45" t="n"/>
      <c r="M1056" s="45" t="n"/>
      <c r="N1056" s="45" t="n"/>
      <c r="O1056" s="45" t="n"/>
    </row>
    <row r="1057" ht="16.5" customHeight="1" s="85">
      <c r="A1057" s="46" t="inlineStr">
        <is>
          <t>Pr Johnson kushinagar 2023</t>
        </is>
      </c>
      <c r="B1057" s="46" t="n">
        <v>9628916929</v>
      </c>
      <c r="C1057" s="46" t="inlineStr">
        <is>
          <t>Customer</t>
        </is>
      </c>
      <c r="D1057" s="46" t="inlineStr">
        <is>
          <t>₹ 0</t>
        </is>
      </c>
      <c r="E1057" s="45" t="n"/>
      <c r="F1057" s="45" t="n"/>
      <c r="G1057" s="45" t="n"/>
      <c r="H1057" s="45" t="n"/>
      <c r="I1057" s="45" t="n"/>
      <c r="J1057" s="45" t="n"/>
      <c r="K1057" s="45" t="n"/>
      <c r="L1057" s="45" t="n"/>
      <c r="M1057" s="45" t="n"/>
      <c r="N1057" s="45" t="n"/>
      <c r="O1057" s="45" t="n"/>
    </row>
    <row r="1058" ht="16.5" customHeight="1" s="85">
      <c r="A1058" s="46" t="inlineStr">
        <is>
          <t>Gopal</t>
        </is>
      </c>
      <c r="B1058" s="46" t="n">
        <v>9629782391</v>
      </c>
      <c r="C1058" s="46" t="inlineStr">
        <is>
          <t>Customer</t>
        </is>
      </c>
      <c r="D1058" s="46" t="inlineStr">
        <is>
          <t>₹ 0</t>
        </is>
      </c>
      <c r="E1058" s="45" t="n"/>
      <c r="F1058" s="45" t="n"/>
      <c r="G1058" s="45" t="n"/>
      <c r="H1058" s="45" t="n"/>
      <c r="I1058" s="45" t="n"/>
      <c r="J1058" s="45" t="n"/>
      <c r="K1058" s="45" t="n"/>
      <c r="L1058" s="45" t="n"/>
      <c r="M1058" s="45" t="n"/>
      <c r="N1058" s="45" t="n"/>
      <c r="O1058" s="45" t="n"/>
    </row>
    <row r="1059" ht="16.5" customHeight="1" s="85">
      <c r="A1059" s="46" t="inlineStr">
        <is>
          <t>Archana</t>
        </is>
      </c>
      <c r="B1059" s="46" t="n">
        <v>9633250850</v>
      </c>
      <c r="C1059" s="46" t="inlineStr">
        <is>
          <t>Customer</t>
        </is>
      </c>
      <c r="D1059" s="46" t="inlineStr">
        <is>
          <t>₹ 0</t>
        </is>
      </c>
      <c r="E1059" s="45" t="n"/>
      <c r="F1059" s="45" t="n"/>
      <c r="G1059" s="45" t="n"/>
      <c r="H1059" s="45" t="n"/>
      <c r="I1059" s="45" t="n"/>
      <c r="J1059" s="45" t="n"/>
      <c r="K1059" s="45" t="n"/>
      <c r="L1059" s="45" t="n"/>
      <c r="M1059" s="45" t="n"/>
      <c r="N1059" s="45" t="n"/>
      <c r="O1059" s="45" t="n"/>
    </row>
    <row r="1060" ht="16.5" customHeight="1" s="85">
      <c r="A1060" s="46" t="inlineStr">
        <is>
          <t>Amrit</t>
        </is>
      </c>
      <c r="B1060" s="46" t="n">
        <v>9633272240</v>
      </c>
      <c r="C1060" s="46" t="inlineStr">
        <is>
          <t>Customer</t>
        </is>
      </c>
      <c r="D1060" s="46" t="inlineStr">
        <is>
          <t>₹ 0</t>
        </is>
      </c>
      <c r="E1060" s="45" t="n"/>
      <c r="F1060" s="45" t="n"/>
      <c r="G1060" s="45" t="n"/>
      <c r="H1060" s="45" t="n"/>
      <c r="I1060" s="45" t="n"/>
      <c r="J1060" s="45" t="n"/>
      <c r="K1060" s="45" t="n"/>
      <c r="L1060" s="45" t="n"/>
      <c r="M1060" s="45" t="n"/>
      <c r="N1060" s="45" t="n"/>
      <c r="O1060" s="45" t="n"/>
    </row>
    <row r="1061" ht="16.5" customHeight="1" s="85">
      <c r="A1061" s="46" t="inlineStr">
        <is>
          <t>Josestephen</t>
        </is>
      </c>
      <c r="B1061" s="46" t="n">
        <v>9633356347</v>
      </c>
      <c r="C1061" s="46" t="inlineStr">
        <is>
          <t>Customer</t>
        </is>
      </c>
      <c r="D1061" s="46" t="inlineStr">
        <is>
          <t>₹ 0</t>
        </is>
      </c>
      <c r="E1061" s="45" t="n"/>
      <c r="F1061" s="45" t="n"/>
      <c r="G1061" s="45" t="n"/>
      <c r="H1061" s="45" t="n"/>
      <c r="I1061" s="45" t="n"/>
      <c r="J1061" s="45" t="n"/>
      <c r="K1061" s="45" t="n"/>
      <c r="L1061" s="45" t="n"/>
      <c r="M1061" s="45" t="n"/>
      <c r="N1061" s="45" t="n"/>
      <c r="O1061" s="45" t="n"/>
    </row>
    <row r="1062" ht="16.5" customHeight="1" s="85">
      <c r="A1062" s="46" t="inlineStr">
        <is>
          <t>Nidhish</t>
        </is>
      </c>
      <c r="B1062" s="46" t="n">
        <v>9633475898</v>
      </c>
      <c r="C1062" s="46" t="inlineStr">
        <is>
          <t>Customer</t>
        </is>
      </c>
      <c r="D1062" s="46" t="inlineStr">
        <is>
          <t>₹ 0</t>
        </is>
      </c>
      <c r="E1062" s="45" t="n"/>
      <c r="F1062" s="45" t="n"/>
      <c r="G1062" s="45" t="n"/>
      <c r="H1062" s="45" t="n"/>
      <c r="I1062" s="45" t="n"/>
      <c r="J1062" s="45" t="n"/>
      <c r="K1062" s="45" t="n"/>
      <c r="L1062" s="45" t="n"/>
      <c r="M1062" s="45" t="n"/>
      <c r="N1062" s="45" t="n"/>
      <c r="O1062" s="45" t="n"/>
    </row>
    <row r="1063" ht="16.5" customHeight="1" s="85">
      <c r="A1063" s="46" t="inlineStr">
        <is>
          <t>Madhulika</t>
        </is>
      </c>
      <c r="B1063" s="46" t="n">
        <v>9634014478</v>
      </c>
      <c r="C1063" s="46" t="inlineStr">
        <is>
          <t>Customer</t>
        </is>
      </c>
      <c r="D1063" s="46" t="inlineStr">
        <is>
          <t>₹ 0</t>
        </is>
      </c>
      <c r="E1063" s="45" t="n"/>
      <c r="F1063" s="45" t="n"/>
      <c r="G1063" s="45" t="n"/>
      <c r="H1063" s="45" t="n"/>
      <c r="I1063" s="45" t="n"/>
      <c r="J1063" s="45" t="n"/>
      <c r="K1063" s="45" t="n"/>
      <c r="L1063" s="45" t="n"/>
      <c r="M1063" s="45" t="n"/>
      <c r="N1063" s="45" t="n"/>
      <c r="O1063" s="45" t="n"/>
    </row>
    <row r="1064" ht="16.5" customHeight="1" s="85">
      <c r="A1064" s="46" t="inlineStr">
        <is>
          <t>Kaushik</t>
        </is>
      </c>
      <c r="B1064" s="46" t="n">
        <v>9641804336</v>
      </c>
      <c r="C1064" s="46" t="inlineStr">
        <is>
          <t>Customer</t>
        </is>
      </c>
      <c r="D1064" s="46" t="inlineStr">
        <is>
          <t>₹ 0</t>
        </is>
      </c>
      <c r="E1064" s="45" t="n"/>
      <c r="F1064" s="45" t="n"/>
      <c r="G1064" s="45" t="n"/>
      <c r="H1064" s="45" t="n"/>
      <c r="I1064" s="45" t="n"/>
      <c r="J1064" s="45" t="n"/>
      <c r="K1064" s="45" t="n"/>
      <c r="L1064" s="45" t="n"/>
      <c r="M1064" s="45" t="n"/>
      <c r="N1064" s="45" t="n"/>
      <c r="O1064" s="45" t="n"/>
    </row>
    <row r="1065" ht="16.5" customHeight="1" s="85">
      <c r="A1065" s="46" t="inlineStr">
        <is>
          <t>Vishnu</t>
        </is>
      </c>
      <c r="B1065" s="46" t="n">
        <v>9643375460</v>
      </c>
      <c r="C1065" s="46" t="inlineStr">
        <is>
          <t>Customer</t>
        </is>
      </c>
      <c r="D1065" s="46" t="inlineStr">
        <is>
          <t>₹ 0</t>
        </is>
      </c>
      <c r="E1065" s="45" t="n"/>
      <c r="F1065" s="45" t="n"/>
      <c r="G1065" s="45" t="n"/>
      <c r="H1065" s="45" t="n"/>
      <c r="I1065" s="45" t="n"/>
      <c r="J1065" s="45" t="n"/>
      <c r="K1065" s="45" t="n"/>
      <c r="L1065" s="45" t="n"/>
      <c r="M1065" s="45" t="n"/>
      <c r="N1065" s="45" t="n"/>
      <c r="O1065" s="45" t="n"/>
    </row>
    <row r="1066" ht="16.5" customHeight="1" s="85">
      <c r="A1066" s="46" t="inlineStr">
        <is>
          <t>Drishya</t>
        </is>
      </c>
      <c r="B1066" s="46" t="n">
        <v>9645292672</v>
      </c>
      <c r="C1066" s="46" t="inlineStr">
        <is>
          <t>Customer</t>
        </is>
      </c>
      <c r="D1066" s="46" t="inlineStr">
        <is>
          <t>₹ 0</t>
        </is>
      </c>
      <c r="E1066" s="45" t="n"/>
      <c r="F1066" s="45" t="n"/>
      <c r="G1066" s="45" t="n"/>
      <c r="H1066" s="45" t="n"/>
      <c r="I1066" s="45" t="n"/>
      <c r="J1066" s="45" t="n"/>
      <c r="K1066" s="45" t="n"/>
      <c r="L1066" s="45" t="n"/>
      <c r="M1066" s="45" t="n"/>
      <c r="N1066" s="45" t="n"/>
      <c r="O1066" s="45" t="n"/>
    </row>
    <row r="1067" ht="16.5" customHeight="1" s="85">
      <c r="A1067" s="46" t="inlineStr">
        <is>
          <t>Sijo</t>
        </is>
      </c>
      <c r="B1067" s="46" t="n">
        <v>9645646119</v>
      </c>
      <c r="C1067" s="46" t="inlineStr">
        <is>
          <t>Customer</t>
        </is>
      </c>
      <c r="D1067" s="46" t="inlineStr">
        <is>
          <t>₹ 0</t>
        </is>
      </c>
      <c r="E1067" s="45" t="n"/>
      <c r="F1067" s="45" t="n"/>
      <c r="G1067" s="45" t="n"/>
      <c r="H1067" s="45" t="n"/>
      <c r="I1067" s="45" t="n"/>
      <c r="J1067" s="45" t="n"/>
      <c r="K1067" s="45" t="n"/>
      <c r="L1067" s="45" t="n"/>
      <c r="M1067" s="45" t="n"/>
      <c r="N1067" s="45" t="n"/>
      <c r="O1067" s="45" t="n"/>
    </row>
    <row r="1068" ht="16.5" customHeight="1" s="85">
      <c r="A1068" s="46" t="inlineStr">
        <is>
          <t>Pournami</t>
        </is>
      </c>
      <c r="B1068" s="46" t="n">
        <v>9645880479</v>
      </c>
      <c r="C1068" s="46" t="inlineStr">
        <is>
          <t>Customer</t>
        </is>
      </c>
      <c r="D1068" s="46" t="inlineStr">
        <is>
          <t>₹ 0</t>
        </is>
      </c>
      <c r="E1068" s="45" t="n"/>
      <c r="F1068" s="45" t="n"/>
      <c r="G1068" s="45" t="n"/>
      <c r="H1068" s="45" t="n"/>
      <c r="I1068" s="45" t="n"/>
      <c r="J1068" s="45" t="n"/>
      <c r="K1068" s="45" t="n"/>
      <c r="L1068" s="45" t="n"/>
      <c r="M1068" s="45" t="n"/>
      <c r="N1068" s="45" t="n"/>
      <c r="O1068" s="45" t="n"/>
    </row>
    <row r="1069" ht="16.5" customHeight="1" s="85">
      <c r="A1069" s="46" t="inlineStr">
        <is>
          <t>Little Flower Kalwari</t>
        </is>
      </c>
      <c r="B1069" s="46" t="n">
        <v>9646156113</v>
      </c>
      <c r="C1069" s="46" t="inlineStr">
        <is>
          <t>Customer</t>
        </is>
      </c>
      <c r="D1069" s="46" t="inlineStr">
        <is>
          <t>₹ 0</t>
        </is>
      </c>
      <c r="E1069" s="45" t="n"/>
      <c r="F1069" s="45" t="n"/>
      <c r="G1069" s="45" t="n"/>
      <c r="H1069" s="45" t="n"/>
      <c r="I1069" s="45" t="n"/>
      <c r="J1069" s="45" t="n"/>
      <c r="K1069" s="45" t="n"/>
      <c r="L1069" s="45" t="n"/>
      <c r="M1069" s="45" t="n"/>
      <c r="N1069" s="45" t="n"/>
      <c r="O1069" s="45" t="n"/>
    </row>
    <row r="1070" ht="16.5" customHeight="1" s="85">
      <c r="A1070" s="46" t="inlineStr">
        <is>
          <t>Amit</t>
        </is>
      </c>
      <c r="B1070" s="46" t="n">
        <v>9648659037</v>
      </c>
      <c r="C1070" s="46" t="inlineStr">
        <is>
          <t>Customer</t>
        </is>
      </c>
      <c r="D1070" s="46" t="inlineStr">
        <is>
          <t>₹ 0</t>
        </is>
      </c>
      <c r="E1070" s="45" t="n"/>
      <c r="F1070" s="45" t="n"/>
      <c r="G1070" s="45" t="n"/>
      <c r="H1070" s="45" t="n"/>
      <c r="I1070" s="45" t="n"/>
      <c r="J1070" s="45" t="n"/>
      <c r="K1070" s="45" t="n"/>
      <c r="L1070" s="45" t="n"/>
      <c r="M1070" s="45" t="n"/>
      <c r="N1070" s="45" t="n"/>
      <c r="O1070" s="45" t="n"/>
    </row>
    <row r="1071" ht="16.5" customHeight="1" s="85">
      <c r="A1071" s="46" t="inlineStr">
        <is>
          <t>Little Flower School</t>
        </is>
      </c>
      <c r="B1071" s="46" t="n">
        <v>9648888866</v>
      </c>
      <c r="C1071" s="46" t="inlineStr">
        <is>
          <t>Customer</t>
        </is>
      </c>
      <c r="D1071" s="46" t="inlineStr">
        <is>
          <t>₹ 0</t>
        </is>
      </c>
      <c r="E1071" s="45" t="n"/>
      <c r="F1071" s="45" t="n"/>
      <c r="G1071" s="45" t="n"/>
      <c r="H1071" s="45" t="n"/>
      <c r="I1071" s="45" t="n"/>
      <c r="J1071" s="45" t="n"/>
      <c r="K1071" s="45" t="n"/>
      <c r="L1071" s="45" t="n"/>
      <c r="M1071" s="45" t="n"/>
      <c r="N1071" s="45" t="n"/>
      <c r="O1071" s="45" t="n"/>
    </row>
    <row r="1072" ht="16.5" customHeight="1" s="85">
      <c r="A1072" s="46" t="inlineStr">
        <is>
          <t>Brijesh Kumar</t>
        </is>
      </c>
      <c r="B1072" s="46" t="n">
        <v>9651074060</v>
      </c>
      <c r="C1072" s="46" t="inlineStr">
        <is>
          <t>Customer</t>
        </is>
      </c>
      <c r="D1072" s="46" t="inlineStr">
        <is>
          <t>₹ 0</t>
        </is>
      </c>
      <c r="E1072" s="45" t="n"/>
      <c r="F1072" s="45" t="n"/>
      <c r="G1072" s="45" t="n"/>
      <c r="H1072" s="45" t="n"/>
      <c r="I1072" s="45" t="n"/>
      <c r="J1072" s="45" t="n"/>
      <c r="K1072" s="45" t="n"/>
      <c r="L1072" s="45" t="n"/>
      <c r="M1072" s="45" t="n"/>
      <c r="N1072" s="45" t="n"/>
      <c r="O1072" s="45" t="n"/>
    </row>
    <row r="1073" ht="16.5" customHeight="1" s="85">
      <c r="A1073" s="46" t="inlineStr">
        <is>
          <t>Ranolf</t>
        </is>
      </c>
      <c r="B1073" s="46" t="n">
        <v>9651187643</v>
      </c>
      <c r="C1073" s="46" t="inlineStr">
        <is>
          <t>Customer</t>
        </is>
      </c>
      <c r="D1073" s="46" t="inlineStr">
        <is>
          <t>₹ 0</t>
        </is>
      </c>
      <c r="E1073" s="45" t="n"/>
      <c r="F1073" s="45" t="n"/>
      <c r="G1073" s="45" t="n"/>
      <c r="H1073" s="45" t="n"/>
      <c r="I1073" s="45" t="n"/>
      <c r="J1073" s="45" t="n"/>
      <c r="K1073" s="45" t="n"/>
      <c r="L1073" s="45" t="n"/>
      <c r="M1073" s="45" t="n"/>
      <c r="N1073" s="45" t="n"/>
      <c r="O1073" s="45" t="n"/>
    </row>
    <row r="1074" ht="16.5" customHeight="1" s="85">
      <c r="A1074" s="46" t="inlineStr">
        <is>
          <t>Johnson</t>
        </is>
      </c>
      <c r="B1074" s="46" t="n">
        <v>9651217030</v>
      </c>
      <c r="C1074" s="46" t="inlineStr">
        <is>
          <t>Customer</t>
        </is>
      </c>
      <c r="D1074" s="46" t="inlineStr">
        <is>
          <t>₹ 0</t>
        </is>
      </c>
      <c r="E1074" s="45" t="n"/>
      <c r="F1074" s="45" t="n"/>
      <c r="G1074" s="45" t="n"/>
      <c r="H1074" s="45" t="n"/>
      <c r="I1074" s="45" t="n"/>
      <c r="J1074" s="45" t="n"/>
      <c r="K1074" s="45" t="n"/>
      <c r="L1074" s="45" t="n"/>
      <c r="M1074" s="45" t="n"/>
      <c r="N1074" s="45" t="n"/>
      <c r="O1074" s="45" t="n"/>
    </row>
    <row r="1075" ht="16.5" customHeight="1" s="85">
      <c r="A1075" s="46" t="inlineStr">
        <is>
          <t>Anju Mariya</t>
        </is>
      </c>
      <c r="B1075" s="46" t="n">
        <v>9651683948</v>
      </c>
      <c r="C1075" s="46" t="inlineStr">
        <is>
          <t>Customer</t>
        </is>
      </c>
      <c r="D1075" s="46" t="inlineStr">
        <is>
          <t>₹ 0</t>
        </is>
      </c>
      <c r="E1075" s="45" t="n"/>
      <c r="F1075" s="45" t="n"/>
      <c r="G1075" s="45" t="n"/>
      <c r="H1075" s="45" t="n"/>
      <c r="I1075" s="45" t="n"/>
      <c r="J1075" s="45" t="n"/>
      <c r="K1075" s="45" t="n"/>
      <c r="L1075" s="45" t="n"/>
      <c r="M1075" s="45" t="n"/>
      <c r="N1075" s="45" t="n"/>
      <c r="O1075" s="45" t="n"/>
    </row>
    <row r="1076" ht="16.5" customHeight="1" s="85">
      <c r="A1076" s="46" t="inlineStr">
        <is>
          <t>Guddu</t>
        </is>
      </c>
      <c r="B1076" s="46" t="n">
        <v>9651757076</v>
      </c>
      <c r="C1076" s="46" t="inlineStr">
        <is>
          <t>Customer</t>
        </is>
      </c>
      <c r="D1076" s="46" t="inlineStr">
        <is>
          <t>₹ 0</t>
        </is>
      </c>
      <c r="E1076" s="45" t="n"/>
      <c r="F1076" s="45" t="n"/>
      <c r="G1076" s="45" t="n"/>
      <c r="H1076" s="45" t="n"/>
      <c r="I1076" s="45" t="n"/>
      <c r="J1076" s="45" t="n"/>
      <c r="K1076" s="45" t="n"/>
      <c r="L1076" s="45" t="n"/>
      <c r="M1076" s="45" t="n"/>
      <c r="N1076" s="45" t="n"/>
      <c r="O1076" s="45" t="n"/>
    </row>
    <row r="1077" ht="16.5" customHeight="1" s="85">
      <c r="A1077" s="46" t="inlineStr">
        <is>
          <t>Anila</t>
        </is>
      </c>
      <c r="B1077" s="46" t="n">
        <v>9654130658</v>
      </c>
      <c r="C1077" s="46" t="inlineStr">
        <is>
          <t>Customer</t>
        </is>
      </c>
      <c r="D1077" s="46" t="inlineStr">
        <is>
          <t>₹ 0</t>
        </is>
      </c>
      <c r="E1077" s="45" t="n"/>
      <c r="F1077" s="45" t="n"/>
      <c r="G1077" s="45" t="n"/>
      <c r="H1077" s="45" t="n"/>
      <c r="I1077" s="45" t="n"/>
      <c r="J1077" s="45" t="n"/>
      <c r="K1077" s="45" t="n"/>
      <c r="L1077" s="45" t="n"/>
      <c r="M1077" s="45" t="n"/>
      <c r="N1077" s="45" t="n"/>
      <c r="O1077" s="45" t="n"/>
    </row>
    <row r="1078" ht="16.5" customHeight="1" s="85">
      <c r="A1078" s="46" t="inlineStr">
        <is>
          <t>Trins</t>
        </is>
      </c>
      <c r="B1078" s="46" t="n">
        <v>9656632402</v>
      </c>
      <c r="C1078" s="46" t="inlineStr">
        <is>
          <t>Customer</t>
        </is>
      </c>
      <c r="D1078" s="46" t="inlineStr">
        <is>
          <t>₹ 0</t>
        </is>
      </c>
      <c r="E1078" s="45" t="n"/>
      <c r="F1078" s="45" t="n"/>
      <c r="G1078" s="45" t="n"/>
      <c r="H1078" s="45" t="n"/>
      <c r="I1078" s="45" t="n"/>
      <c r="J1078" s="45" t="n"/>
      <c r="K1078" s="45" t="n"/>
      <c r="L1078" s="45" t="n"/>
      <c r="M1078" s="45" t="n"/>
      <c r="N1078" s="45" t="n"/>
      <c r="O1078" s="45" t="n"/>
    </row>
    <row r="1079" ht="16.5" customHeight="1" s="85">
      <c r="A1079" s="46" t="inlineStr">
        <is>
          <t>Saujan</t>
        </is>
      </c>
      <c r="B1079" s="46" t="n">
        <v>9656644278</v>
      </c>
      <c r="C1079" s="46" t="inlineStr">
        <is>
          <t>Customer</t>
        </is>
      </c>
      <c r="D1079" s="46" t="inlineStr">
        <is>
          <t>₹ 0</t>
        </is>
      </c>
      <c r="E1079" s="45" t="n"/>
      <c r="F1079" s="45" t="n"/>
      <c r="G1079" s="45" t="n"/>
      <c r="H1079" s="45" t="n"/>
      <c r="I1079" s="45" t="n"/>
      <c r="J1079" s="45" t="n"/>
      <c r="K1079" s="45" t="n"/>
      <c r="L1079" s="45" t="n"/>
      <c r="M1079" s="45" t="n"/>
      <c r="N1079" s="45" t="n"/>
      <c r="O1079" s="45" t="n"/>
    </row>
    <row r="1080" ht="16.5" customHeight="1" s="85">
      <c r="A1080" s="46" t="inlineStr">
        <is>
          <t>Abhijith</t>
        </is>
      </c>
      <c r="B1080" s="46" t="n">
        <v>9656668158</v>
      </c>
      <c r="C1080" s="46" t="inlineStr">
        <is>
          <t>Customer</t>
        </is>
      </c>
      <c r="D1080" s="46" t="inlineStr">
        <is>
          <t>₹ 0</t>
        </is>
      </c>
      <c r="E1080" s="45" t="n"/>
      <c r="F1080" s="45" t="n"/>
      <c r="G1080" s="45" t="n"/>
      <c r="H1080" s="45" t="n"/>
      <c r="I1080" s="45" t="n"/>
      <c r="J1080" s="45" t="n"/>
      <c r="K1080" s="45" t="n"/>
      <c r="L1080" s="45" t="n"/>
      <c r="M1080" s="45" t="n"/>
      <c r="N1080" s="45" t="n"/>
      <c r="O1080" s="45" t="n"/>
    </row>
    <row r="1081" ht="16.5" customHeight="1" s="85">
      <c r="A1081" s="46" t="inlineStr">
        <is>
          <t>Nandu</t>
        </is>
      </c>
      <c r="B1081" s="46" t="n">
        <v>9656887955</v>
      </c>
      <c r="C1081" s="46" t="inlineStr">
        <is>
          <t>Customer</t>
        </is>
      </c>
      <c r="D1081" s="46" t="inlineStr">
        <is>
          <t>₹ 0</t>
        </is>
      </c>
      <c r="E1081" s="45" t="n"/>
      <c r="F1081" s="45" t="n"/>
      <c r="G1081" s="45" t="n"/>
      <c r="H1081" s="45" t="n"/>
      <c r="I1081" s="45" t="n"/>
      <c r="J1081" s="45" t="n"/>
      <c r="K1081" s="45" t="n"/>
      <c r="L1081" s="45" t="n"/>
      <c r="M1081" s="45" t="n"/>
      <c r="N1081" s="45" t="n"/>
      <c r="O1081" s="45" t="n"/>
    </row>
    <row r="1082" ht="16.5" customHeight="1" s="85">
      <c r="A1082" s="46" t="inlineStr">
        <is>
          <t>Praveen</t>
        </is>
      </c>
      <c r="B1082" s="46" t="n">
        <v>9664518566</v>
      </c>
      <c r="C1082" s="46" t="inlineStr">
        <is>
          <t>Customer</t>
        </is>
      </c>
      <c r="D1082" s="46" t="inlineStr">
        <is>
          <t>₹ 0</t>
        </is>
      </c>
      <c r="E1082" s="45" t="n"/>
      <c r="F1082" s="45" t="n"/>
      <c r="G1082" s="45" t="n"/>
      <c r="H1082" s="45" t="n"/>
      <c r="I1082" s="45" t="n"/>
      <c r="J1082" s="45" t="n"/>
      <c r="K1082" s="45" t="n"/>
      <c r="L1082" s="45" t="n"/>
      <c r="M1082" s="45" t="n"/>
      <c r="N1082" s="45" t="n"/>
      <c r="O1082" s="45" t="n"/>
    </row>
    <row r="1083" ht="16.5" customHeight="1" s="85">
      <c r="A1083" s="46" t="inlineStr">
        <is>
          <t>Sumi</t>
        </is>
      </c>
      <c r="B1083" s="46" t="n">
        <v>9666868449</v>
      </c>
      <c r="C1083" s="46" t="inlineStr">
        <is>
          <t>Customer</t>
        </is>
      </c>
      <c r="D1083" s="46" t="inlineStr">
        <is>
          <t>₹ 0</t>
        </is>
      </c>
      <c r="E1083" s="45" t="n"/>
      <c r="F1083" s="45" t="n"/>
      <c r="G1083" s="45" t="n"/>
      <c r="H1083" s="45" t="n"/>
      <c r="I1083" s="45" t="n"/>
      <c r="J1083" s="45" t="n"/>
      <c r="K1083" s="45" t="n"/>
      <c r="L1083" s="45" t="n"/>
      <c r="M1083" s="45" t="n"/>
      <c r="N1083" s="45" t="n"/>
      <c r="O1083" s="45" t="n"/>
    </row>
    <row r="1084" ht="16.5" customHeight="1" s="85">
      <c r="A1084" s="46" t="inlineStr">
        <is>
          <t>Girija Ict 2024</t>
        </is>
      </c>
      <c r="B1084" s="46" t="n">
        <v>9670042538</v>
      </c>
      <c r="C1084" s="46" t="inlineStr">
        <is>
          <t>Customer</t>
        </is>
      </c>
      <c r="D1084" s="46" t="inlineStr">
        <is>
          <t>₹ 0</t>
        </is>
      </c>
      <c r="E1084" s="45" t="n"/>
      <c r="F1084" s="45" t="n"/>
      <c r="G1084" s="45" t="n"/>
      <c r="H1084" s="45" t="n"/>
      <c r="I1084" s="45" t="n"/>
      <c r="J1084" s="45" t="n"/>
      <c r="K1084" s="45" t="n"/>
      <c r="L1084" s="45" t="n"/>
      <c r="M1084" s="45" t="n"/>
      <c r="N1084" s="45" t="n"/>
      <c r="O1084" s="45" t="n"/>
    </row>
    <row r="1085" ht="16.5" customHeight="1" s="85">
      <c r="A1085" s="46" t="inlineStr">
        <is>
          <t>L.S.T Convent Khorabar</t>
        </is>
      </c>
      <c r="B1085" s="46" t="n">
        <v>9670065809</v>
      </c>
      <c r="C1085" s="46" t="inlineStr">
        <is>
          <t>Customer</t>
        </is>
      </c>
      <c r="D1085" s="46" t="inlineStr">
        <is>
          <t>₹ 0</t>
        </is>
      </c>
      <c r="E1085" s="45" t="n"/>
      <c r="F1085" s="45" t="n"/>
      <c r="G1085" s="45" t="n"/>
      <c r="H1085" s="45" t="n"/>
      <c r="I1085" s="45" t="n"/>
      <c r="J1085" s="45" t="n"/>
      <c r="K1085" s="45" t="n"/>
      <c r="L1085" s="45" t="n"/>
      <c r="M1085" s="45" t="n"/>
      <c r="N1085" s="45" t="n"/>
      <c r="O1085" s="45" t="n"/>
    </row>
    <row r="1086" ht="16.5" customHeight="1" s="85">
      <c r="A1086" s="46" t="inlineStr">
        <is>
          <t>Father Mathew</t>
        </is>
      </c>
      <c r="B1086" s="46" t="n">
        <v>9670084428</v>
      </c>
      <c r="C1086" s="46" t="inlineStr">
        <is>
          <t>Customer</t>
        </is>
      </c>
      <c r="D1086" s="46" t="inlineStr">
        <is>
          <t>₹ 0</t>
        </is>
      </c>
      <c r="E1086" s="45" t="n"/>
      <c r="F1086" s="45" t="n"/>
      <c r="G1086" s="45" t="n"/>
      <c r="H1086" s="45" t="n"/>
      <c r="I1086" s="45" t="n"/>
      <c r="J1086" s="45" t="n"/>
      <c r="K1086" s="45" t="n"/>
      <c r="L1086" s="45" t="n"/>
      <c r="M1086" s="45" t="n"/>
      <c r="N1086" s="45" t="n"/>
      <c r="O1086" s="45" t="n"/>
    </row>
    <row r="1087" ht="16.5" customHeight="1" s="85">
      <c r="A1087" s="46" t="inlineStr">
        <is>
          <t>Nikhil</t>
        </is>
      </c>
      <c r="B1087" s="46" t="n">
        <v>9670445260</v>
      </c>
      <c r="C1087" s="46" t="inlineStr">
        <is>
          <t>Customer</t>
        </is>
      </c>
      <c r="D1087" s="46" t="inlineStr">
        <is>
          <t>₹ 0</t>
        </is>
      </c>
      <c r="E1087" s="45" t="n"/>
      <c r="F1087" s="45" t="n"/>
      <c r="G1087" s="45" t="n"/>
      <c r="H1087" s="45" t="n"/>
      <c r="I1087" s="45" t="n"/>
      <c r="J1087" s="45" t="n"/>
      <c r="K1087" s="45" t="n"/>
      <c r="L1087" s="45" t="n"/>
      <c r="M1087" s="45" t="n"/>
      <c r="N1087" s="45" t="n"/>
      <c r="O1087" s="45" t="n"/>
    </row>
    <row r="1088" ht="16.5" customHeight="1" s="85">
      <c r="A1088" s="46" t="inlineStr">
        <is>
          <t>San</t>
        </is>
      </c>
      <c r="B1088" s="46" t="n">
        <v>9670469907</v>
      </c>
      <c r="C1088" s="46" t="inlineStr">
        <is>
          <t>Customer</t>
        </is>
      </c>
      <c r="D1088" s="46" t="inlineStr">
        <is>
          <t>₹ 0</t>
        </is>
      </c>
      <c r="E1088" s="45" t="n"/>
      <c r="F1088" s="45" t="n"/>
      <c r="G1088" s="45" t="n"/>
      <c r="H1088" s="45" t="n"/>
      <c r="I1088" s="45" t="n"/>
      <c r="J1088" s="45" t="n"/>
      <c r="K1088" s="45" t="n"/>
      <c r="L1088" s="45" t="n"/>
      <c r="M1088" s="45" t="n"/>
      <c r="N1088" s="45" t="n"/>
      <c r="O1088" s="45" t="n"/>
    </row>
    <row r="1089" ht="16.5" customHeight="1" s="85">
      <c r="A1089" s="46" t="inlineStr">
        <is>
          <t>Thomas Khalilabad</t>
        </is>
      </c>
      <c r="B1089" s="46" t="n">
        <v>9670545453</v>
      </c>
      <c r="C1089" s="46" t="inlineStr">
        <is>
          <t>Customer</t>
        </is>
      </c>
      <c r="D1089" s="46" t="inlineStr">
        <is>
          <t>₹ 0</t>
        </is>
      </c>
      <c r="E1089" s="45" t="n"/>
      <c r="F1089" s="45" t="n"/>
      <c r="G1089" s="45" t="n"/>
      <c r="H1089" s="45" t="n"/>
      <c r="I1089" s="45" t="n"/>
      <c r="J1089" s="45" t="n"/>
      <c r="K1089" s="45" t="n"/>
      <c r="L1089" s="45" t="n"/>
      <c r="M1089" s="45" t="n"/>
      <c r="N1089" s="45" t="n"/>
      <c r="O1089" s="45" t="n"/>
    </row>
    <row r="1090" ht="16.5" customHeight="1" s="85">
      <c r="A1090" s="46" t="inlineStr">
        <is>
          <t>Jitendra</t>
        </is>
      </c>
      <c r="B1090" s="46" t="n">
        <v>9682401707</v>
      </c>
      <c r="C1090" s="46" t="inlineStr">
        <is>
          <t>Customer</t>
        </is>
      </c>
      <c r="D1090" s="46" t="inlineStr">
        <is>
          <t>₹ 0</t>
        </is>
      </c>
      <c r="E1090" s="45" t="n"/>
      <c r="F1090" s="45" t="n"/>
      <c r="G1090" s="45" t="n"/>
      <c r="H1090" s="45" t="n"/>
      <c r="I1090" s="45" t="n"/>
      <c r="J1090" s="45" t="n"/>
      <c r="K1090" s="45" t="n"/>
      <c r="L1090" s="45" t="n"/>
      <c r="M1090" s="45" t="n"/>
      <c r="N1090" s="45" t="n"/>
      <c r="O1090" s="45" t="n"/>
    </row>
    <row r="1091" ht="16.5" customHeight="1" s="85">
      <c r="A1091" s="46" t="inlineStr">
        <is>
          <t>Princy Reji</t>
        </is>
      </c>
      <c r="B1091" s="46" t="n">
        <v>9682790443</v>
      </c>
      <c r="C1091" s="46" t="inlineStr">
        <is>
          <t>Customer</t>
        </is>
      </c>
      <c r="D1091" s="46" t="inlineStr">
        <is>
          <t>₹ 0</t>
        </is>
      </c>
      <c r="E1091" s="45" t="n"/>
      <c r="F1091" s="45" t="n"/>
      <c r="G1091" s="45" t="n"/>
      <c r="H1091" s="45" t="n"/>
      <c r="I1091" s="45" t="n"/>
      <c r="J1091" s="45" t="n"/>
      <c r="K1091" s="45" t="n"/>
      <c r="L1091" s="45" t="n"/>
      <c r="M1091" s="45" t="n"/>
      <c r="N1091" s="45" t="n"/>
      <c r="O1091" s="45" t="n"/>
    </row>
    <row r="1092" ht="16.5" customHeight="1" s="85">
      <c r="A1092" s="46" t="inlineStr">
        <is>
          <t>Shivendr</t>
        </is>
      </c>
      <c r="B1092" s="46" t="n">
        <v>9691195249</v>
      </c>
      <c r="C1092" s="46" t="inlineStr">
        <is>
          <t>Customer</t>
        </is>
      </c>
      <c r="D1092" s="46" t="inlineStr">
        <is>
          <t>₹ 0</t>
        </is>
      </c>
      <c r="E1092" s="45" t="n"/>
      <c r="F1092" s="45" t="n"/>
      <c r="G1092" s="45" t="n"/>
      <c r="H1092" s="45" t="n"/>
      <c r="I1092" s="45" t="n"/>
      <c r="J1092" s="45" t="n"/>
      <c r="K1092" s="45" t="n"/>
      <c r="L1092" s="45" t="n"/>
      <c r="M1092" s="45" t="n"/>
      <c r="N1092" s="45" t="n"/>
      <c r="O1092" s="45" t="n"/>
    </row>
    <row r="1093" ht="16.5" customHeight="1" s="85">
      <c r="A1093" s="46" t="inlineStr">
        <is>
          <t>Gracy Antony</t>
        </is>
      </c>
      <c r="B1093" s="46" t="n">
        <v>9695369537</v>
      </c>
      <c r="C1093" s="46" t="inlineStr">
        <is>
          <t>Customer</t>
        </is>
      </c>
      <c r="D1093" s="46" t="inlineStr">
        <is>
          <t>₹ 0</t>
        </is>
      </c>
      <c r="E1093" s="45" t="n"/>
      <c r="F1093" s="45" t="n"/>
      <c r="G1093" s="45" t="n"/>
      <c r="H1093" s="45" t="n"/>
      <c r="I1093" s="45" t="n"/>
      <c r="J1093" s="45" t="n"/>
      <c r="K1093" s="45" t="n"/>
      <c r="L1093" s="45" t="n"/>
      <c r="M1093" s="45" t="n"/>
      <c r="N1093" s="45" t="n"/>
      <c r="O1093" s="45" t="n"/>
    </row>
    <row r="1094" ht="16.5" customHeight="1" s="85">
      <c r="A1094" s="46" t="inlineStr">
        <is>
          <t>Anil Kumar</t>
        </is>
      </c>
      <c r="B1094" s="46" t="n">
        <v>9695476008</v>
      </c>
      <c r="C1094" s="46" t="inlineStr">
        <is>
          <t>Customer</t>
        </is>
      </c>
      <c r="D1094" s="46" t="inlineStr">
        <is>
          <t>₹ 0</t>
        </is>
      </c>
      <c r="E1094" s="45" t="n"/>
      <c r="F1094" s="45" t="n"/>
      <c r="G1094" s="45" t="n"/>
      <c r="H1094" s="45" t="n"/>
      <c r="I1094" s="45" t="n"/>
      <c r="J1094" s="45" t="n"/>
      <c r="K1094" s="45" t="n"/>
      <c r="L1094" s="45" t="n"/>
      <c r="M1094" s="45" t="n"/>
      <c r="N1094" s="45" t="n"/>
      <c r="O1094" s="45" t="n"/>
    </row>
    <row r="1095" ht="16.5" customHeight="1" s="85">
      <c r="A1095" s="46" t="inlineStr">
        <is>
          <t>Rajesh</t>
        </is>
      </c>
      <c r="B1095" s="46" t="n">
        <v>9695644249</v>
      </c>
      <c r="C1095" s="46" t="inlineStr">
        <is>
          <t>Customer</t>
        </is>
      </c>
      <c r="D1095" s="46" t="inlineStr">
        <is>
          <t>₹ 0</t>
        </is>
      </c>
      <c r="E1095" s="45" t="n"/>
      <c r="F1095" s="45" t="n"/>
      <c r="G1095" s="45" t="n"/>
      <c r="H1095" s="45" t="n"/>
      <c r="I1095" s="45" t="n"/>
      <c r="J1095" s="45" t="n"/>
      <c r="K1095" s="45" t="n"/>
      <c r="L1095" s="45" t="n"/>
      <c r="M1095" s="45" t="n"/>
      <c r="N1095" s="45" t="n"/>
      <c r="O1095" s="45" t="n"/>
    </row>
    <row r="1096" ht="16.5" customHeight="1" s="85">
      <c r="A1096" s="46" t="inlineStr">
        <is>
          <t>Dr S P BEHERA</t>
        </is>
      </c>
      <c r="B1096" s="46" t="n">
        <v>9696103102</v>
      </c>
      <c r="C1096" s="46" t="inlineStr">
        <is>
          <t>Customer</t>
        </is>
      </c>
      <c r="D1096" s="46" t="inlineStr">
        <is>
          <t>₹ 0</t>
        </is>
      </c>
      <c r="E1096" s="45" t="n"/>
      <c r="F1096" s="45" t="n"/>
      <c r="G1096" s="45" t="n"/>
      <c r="H1096" s="45" t="n"/>
      <c r="I1096" s="45" t="n"/>
      <c r="J1096" s="45" t="n"/>
      <c r="K1096" s="45" t="n"/>
      <c r="L1096" s="45" t="n"/>
      <c r="M1096" s="45" t="n"/>
      <c r="N1096" s="45" t="n"/>
      <c r="O1096" s="45" t="n"/>
    </row>
    <row r="1097" ht="16.5" customHeight="1" s="85">
      <c r="A1097" s="46" t="inlineStr">
        <is>
          <t>Vinod Kumar, Salempur</t>
        </is>
      </c>
      <c r="B1097" s="46" t="n">
        <v>9696181821</v>
      </c>
      <c r="C1097" s="46" t="inlineStr">
        <is>
          <t>Customer</t>
        </is>
      </c>
      <c r="D1097" s="46" t="inlineStr">
        <is>
          <t>₹ 0</t>
        </is>
      </c>
      <c r="E1097" s="45" t="n"/>
      <c r="F1097" s="45" t="n"/>
      <c r="G1097" s="45" t="n"/>
      <c r="H1097" s="45" t="n"/>
      <c r="I1097" s="45" t="n"/>
      <c r="J1097" s="45" t="n"/>
      <c r="K1097" s="45" t="n"/>
      <c r="L1097" s="45" t="n"/>
      <c r="M1097" s="45" t="n"/>
      <c r="N1097" s="45" t="n"/>
      <c r="O1097" s="45" t="n"/>
    </row>
    <row r="1098" ht="16.5" customHeight="1" s="85">
      <c r="A1098" s="46" t="inlineStr">
        <is>
          <t>Sudhansu</t>
        </is>
      </c>
      <c r="B1098" s="46" t="n">
        <v>9696224740</v>
      </c>
      <c r="C1098" s="46" t="inlineStr">
        <is>
          <t>Customer</t>
        </is>
      </c>
      <c r="D1098" s="46" t="inlineStr">
        <is>
          <t>₹ 0</t>
        </is>
      </c>
      <c r="E1098" s="45" t="n"/>
      <c r="F1098" s="45" t="n"/>
      <c r="G1098" s="45" t="n"/>
      <c r="H1098" s="45" t="n"/>
      <c r="I1098" s="45" t="n"/>
      <c r="J1098" s="45" t="n"/>
      <c r="K1098" s="45" t="n"/>
      <c r="L1098" s="45" t="n"/>
      <c r="M1098" s="45" t="n"/>
      <c r="N1098" s="45" t="n"/>
      <c r="O1098" s="45" t="n"/>
    </row>
    <row r="1099" ht="16.5" customHeight="1" s="85">
      <c r="A1099" s="46" t="inlineStr">
        <is>
          <t>Vinod</t>
        </is>
      </c>
      <c r="B1099" s="46" t="n">
        <v>9696310318</v>
      </c>
      <c r="C1099" s="46" t="inlineStr">
        <is>
          <t>Customer</t>
        </is>
      </c>
      <c r="D1099" s="46" t="inlineStr">
        <is>
          <t>₹ 0</t>
        </is>
      </c>
      <c r="E1099" s="45" t="n"/>
      <c r="F1099" s="45" t="n"/>
      <c r="G1099" s="45" t="n"/>
      <c r="H1099" s="45" t="n"/>
      <c r="I1099" s="45" t="n"/>
      <c r="J1099" s="45" t="n"/>
      <c r="K1099" s="45" t="n"/>
      <c r="L1099" s="45" t="n"/>
      <c r="M1099" s="45" t="n"/>
      <c r="N1099" s="45" t="n"/>
      <c r="O1099" s="45" t="n"/>
    </row>
    <row r="1100" ht="16.5" customHeight="1" s="85">
      <c r="A1100" s="46" t="inlineStr">
        <is>
          <t>Lfs Ekla, Sis. Lucy</t>
        </is>
      </c>
      <c r="B1100" s="46" t="n">
        <v>9696877440</v>
      </c>
      <c r="C1100" s="46" t="inlineStr">
        <is>
          <t>Customer</t>
        </is>
      </c>
      <c r="D1100" s="46" t="inlineStr">
        <is>
          <t>₹ 0</t>
        </is>
      </c>
      <c r="E1100" s="45" t="n"/>
      <c r="F1100" s="45" t="n"/>
      <c r="G1100" s="45" t="n"/>
      <c r="H1100" s="45" t="n"/>
      <c r="I1100" s="45" t="n"/>
      <c r="J1100" s="45" t="n"/>
      <c r="K1100" s="45" t="n"/>
      <c r="L1100" s="45" t="n"/>
      <c r="M1100" s="45" t="n"/>
      <c r="N1100" s="45" t="n"/>
      <c r="O1100" s="45" t="n"/>
    </row>
    <row r="1101" ht="16.5" customHeight="1" s="85">
      <c r="A1101" s="46" t="inlineStr">
        <is>
          <t>Neetu Singh</t>
        </is>
      </c>
      <c r="B1101" s="46" t="n">
        <v>9696878488</v>
      </c>
      <c r="C1101" s="46" t="inlineStr">
        <is>
          <t>Customer</t>
        </is>
      </c>
      <c r="D1101" s="46" t="inlineStr">
        <is>
          <t>₹ 0</t>
        </is>
      </c>
      <c r="E1101" s="45" t="n"/>
      <c r="F1101" s="45" t="n"/>
      <c r="G1101" s="45" t="n"/>
      <c r="H1101" s="45" t="n"/>
      <c r="I1101" s="45" t="n"/>
      <c r="J1101" s="45" t="n"/>
      <c r="K1101" s="45" t="n"/>
      <c r="L1101" s="45" t="n"/>
      <c r="M1101" s="45" t="n"/>
      <c r="N1101" s="45" t="n"/>
      <c r="O1101" s="45" t="n"/>
    </row>
    <row r="1102" ht="16.5" customHeight="1" s="85">
      <c r="A1102" s="46" t="inlineStr">
        <is>
          <t>Johnson</t>
        </is>
      </c>
      <c r="B1102" s="46" t="n">
        <v>9696910118</v>
      </c>
      <c r="C1102" s="46" t="inlineStr">
        <is>
          <t>Customer</t>
        </is>
      </c>
      <c r="D1102" s="46" t="inlineStr">
        <is>
          <t>₹ 0</t>
        </is>
      </c>
      <c r="E1102" s="45" t="n"/>
      <c r="F1102" s="45" t="n"/>
      <c r="G1102" s="45" t="n"/>
      <c r="H1102" s="45" t="n"/>
      <c r="I1102" s="45" t="n"/>
      <c r="J1102" s="45" t="n"/>
      <c r="K1102" s="45" t="n"/>
      <c r="L1102" s="45" t="n"/>
      <c r="M1102" s="45" t="n"/>
      <c r="N1102" s="45" t="n"/>
      <c r="O1102" s="45" t="n"/>
    </row>
    <row r="1103" ht="16.5" customHeight="1" s="85">
      <c r="A1103" s="46" t="inlineStr">
        <is>
          <t>Praisy Reji</t>
        </is>
      </c>
      <c r="B1103" s="46" t="n">
        <v>9704805540</v>
      </c>
      <c r="C1103" s="46" t="inlineStr">
        <is>
          <t>Customer</t>
        </is>
      </c>
      <c r="D1103" s="46" t="inlineStr">
        <is>
          <t>₹ 0</t>
        </is>
      </c>
      <c r="E1103" s="45" t="n"/>
      <c r="F1103" s="45" t="n"/>
      <c r="G1103" s="45" t="n"/>
      <c r="H1103" s="45" t="n"/>
      <c r="I1103" s="45" t="n"/>
      <c r="J1103" s="45" t="n"/>
      <c r="K1103" s="45" t="n"/>
      <c r="L1103" s="45" t="n"/>
      <c r="M1103" s="45" t="n"/>
      <c r="N1103" s="45" t="n"/>
      <c r="O1103" s="45" t="n"/>
    </row>
    <row r="1104" ht="16.5" customHeight="1" s="85">
      <c r="A1104" s="46" t="inlineStr">
        <is>
          <t>Murali Enterprises Delhi</t>
        </is>
      </c>
      <c r="B1104" s="46" t="n">
        <v>9711628793</v>
      </c>
      <c r="C1104" s="46" t="inlineStr">
        <is>
          <t>Supplier</t>
        </is>
      </c>
      <c r="D1104" s="46" t="inlineStr">
        <is>
          <t>₹ 0</t>
        </is>
      </c>
      <c r="E1104" s="45" t="n"/>
      <c r="F1104" s="45" t="n"/>
      <c r="G1104" s="45" t="n"/>
      <c r="H1104" s="45" t="n"/>
      <c r="I1104" s="45" t="n"/>
      <c r="J1104" s="45" t="n"/>
      <c r="K1104" s="45" t="n"/>
      <c r="L1104" s="45" t="n"/>
      <c r="M1104" s="45" t="n"/>
      <c r="N1104" s="45" t="n"/>
      <c r="O1104" s="45" t="n"/>
    </row>
    <row r="1105" ht="16.5" customHeight="1" s="85">
      <c r="A1105" s="46" t="inlineStr">
        <is>
          <t>Praveen Airforce</t>
        </is>
      </c>
      <c r="B1105" s="46" t="n">
        <v>9711707042</v>
      </c>
      <c r="C1105" s="46" t="inlineStr">
        <is>
          <t>Customer</t>
        </is>
      </c>
      <c r="D1105" s="46" t="inlineStr">
        <is>
          <t>₹ 0</t>
        </is>
      </c>
      <c r="E1105" s="45" t="n"/>
      <c r="F1105" s="45" t="n"/>
      <c r="G1105" s="45" t="n"/>
      <c r="H1105" s="45" t="n"/>
      <c r="I1105" s="45" t="n"/>
      <c r="J1105" s="45" t="n"/>
      <c r="K1105" s="45" t="n"/>
      <c r="L1105" s="45" t="n"/>
      <c r="M1105" s="45" t="n"/>
      <c r="N1105" s="45" t="n"/>
      <c r="O1105" s="45" t="n"/>
    </row>
    <row r="1106" ht="16.5" customHeight="1" s="85">
      <c r="A1106" s="46" t="inlineStr">
        <is>
          <t>Ramlal</t>
        </is>
      </c>
      <c r="B1106" s="46" t="n">
        <v>9717522936</v>
      </c>
      <c r="C1106" s="46" t="inlineStr">
        <is>
          <t>Supplier</t>
        </is>
      </c>
      <c r="D1106" s="46" t="inlineStr">
        <is>
          <t>₹ 0</t>
        </is>
      </c>
      <c r="E1106" s="45" t="n"/>
      <c r="F1106" s="45" t="n"/>
      <c r="G1106" s="45" t="n"/>
      <c r="H1106" s="45" t="n"/>
      <c r="I1106" s="45" t="n"/>
      <c r="J1106" s="45" t="n"/>
      <c r="K1106" s="45" t="n"/>
      <c r="L1106" s="45" t="n"/>
      <c r="M1106" s="45" t="n"/>
      <c r="N1106" s="45" t="n"/>
      <c r="O1106" s="45" t="n"/>
    </row>
    <row r="1107" ht="16.5" customHeight="1" s="85">
      <c r="A1107" s="46" t="inlineStr">
        <is>
          <t>Simbu</t>
        </is>
      </c>
      <c r="B1107" s="46" t="n">
        <v>9718860865</v>
      </c>
      <c r="C1107" s="46" t="inlineStr">
        <is>
          <t>Customer</t>
        </is>
      </c>
      <c r="D1107" s="46" t="inlineStr">
        <is>
          <t>₹ 0</t>
        </is>
      </c>
      <c r="E1107" s="45" t="n"/>
      <c r="F1107" s="45" t="n"/>
      <c r="G1107" s="45" t="n"/>
      <c r="H1107" s="45" t="n"/>
      <c r="I1107" s="45" t="n"/>
      <c r="J1107" s="45" t="n"/>
      <c r="K1107" s="45" t="n"/>
      <c r="L1107" s="45" t="n"/>
      <c r="M1107" s="45" t="n"/>
      <c r="N1107" s="45" t="n"/>
      <c r="O1107" s="45" t="n"/>
    </row>
    <row r="1108" ht="16.5" customHeight="1" s="85">
      <c r="A1108" s="46" t="inlineStr">
        <is>
          <t>Sibi</t>
        </is>
      </c>
      <c r="B1108" s="46" t="n">
        <v>9720177304</v>
      </c>
      <c r="C1108" s="46" t="inlineStr">
        <is>
          <t>Customer</t>
        </is>
      </c>
      <c r="D1108" s="46" t="inlineStr">
        <is>
          <t>₹ 0</t>
        </is>
      </c>
      <c r="E1108" s="45" t="n"/>
      <c r="F1108" s="45" t="n"/>
      <c r="G1108" s="45" t="n"/>
      <c r="H1108" s="45" t="n"/>
      <c r="I1108" s="45" t="n"/>
      <c r="J1108" s="45" t="n"/>
      <c r="K1108" s="45" t="n"/>
      <c r="L1108" s="45" t="n"/>
      <c r="M1108" s="45" t="n"/>
      <c r="N1108" s="45" t="n"/>
      <c r="O1108" s="45" t="n"/>
    </row>
    <row r="1109" ht="16.5" customHeight="1" s="85">
      <c r="A1109" s="46" t="inlineStr">
        <is>
          <t>Siby</t>
        </is>
      </c>
      <c r="B1109" s="46" t="n">
        <v>9721077304</v>
      </c>
      <c r="C1109" s="46" t="inlineStr">
        <is>
          <t>Customer</t>
        </is>
      </c>
      <c r="D1109" s="46" t="inlineStr">
        <is>
          <t>₹ 0</t>
        </is>
      </c>
      <c r="E1109" s="45" t="n"/>
      <c r="F1109" s="45" t="n"/>
      <c r="G1109" s="45" t="n"/>
      <c r="H1109" s="45" t="n"/>
      <c r="I1109" s="45" t="n"/>
      <c r="J1109" s="45" t="n"/>
      <c r="K1109" s="45" t="n"/>
      <c r="L1109" s="45" t="n"/>
      <c r="M1109" s="45" t="n"/>
      <c r="N1109" s="45" t="n"/>
      <c r="O1109" s="45" t="n"/>
    </row>
    <row r="1110" ht="16.5" customHeight="1" s="85">
      <c r="A1110" s="46" t="inlineStr">
        <is>
          <t>Saurabh</t>
        </is>
      </c>
      <c r="B1110" s="46" t="n">
        <v>9721123675</v>
      </c>
      <c r="C1110" s="46" t="inlineStr">
        <is>
          <t>Customer</t>
        </is>
      </c>
      <c r="D1110" s="46" t="inlineStr">
        <is>
          <t>₹ 0</t>
        </is>
      </c>
      <c r="E1110" s="45" t="n"/>
      <c r="F1110" s="45" t="n"/>
      <c r="G1110" s="45" t="n"/>
      <c r="H1110" s="45" t="n"/>
      <c r="I1110" s="45" t="n"/>
      <c r="J1110" s="45" t="n"/>
      <c r="K1110" s="45" t="n"/>
      <c r="L1110" s="45" t="n"/>
      <c r="M1110" s="45" t="n"/>
      <c r="N1110" s="45" t="n"/>
      <c r="O1110" s="45" t="n"/>
    </row>
    <row r="1111" ht="16.5" customHeight="1" s="85">
      <c r="A1111" s="46" t="inlineStr">
        <is>
          <t>Sukhdev</t>
        </is>
      </c>
      <c r="B1111" s="46" t="n">
        <v>9721212511</v>
      </c>
      <c r="C1111" s="46" t="inlineStr">
        <is>
          <t>Customer</t>
        </is>
      </c>
      <c r="D1111" s="46" t="inlineStr">
        <is>
          <t>₹ 0</t>
        </is>
      </c>
      <c r="E1111" s="45" t="n"/>
      <c r="F1111" s="45" t="n"/>
      <c r="G1111" s="45" t="n"/>
      <c r="H1111" s="45" t="n"/>
      <c r="I1111" s="45" t="n"/>
      <c r="J1111" s="45" t="n"/>
      <c r="K1111" s="45" t="n"/>
      <c r="L1111" s="45" t="n"/>
      <c r="M1111" s="45" t="n"/>
      <c r="N1111" s="45" t="n"/>
      <c r="O1111" s="45" t="n"/>
    </row>
    <row r="1112" ht="16.5" customHeight="1" s="85">
      <c r="A1112" s="46" t="inlineStr">
        <is>
          <t>Manoj Kumar</t>
        </is>
      </c>
      <c r="B1112" s="46" t="n">
        <v>9721313228</v>
      </c>
      <c r="C1112" s="46" t="inlineStr">
        <is>
          <t>Customer</t>
        </is>
      </c>
      <c r="D1112" s="46" t="inlineStr">
        <is>
          <t>₹ 0</t>
        </is>
      </c>
      <c r="E1112" s="45" t="n"/>
      <c r="F1112" s="45" t="n"/>
      <c r="G1112" s="45" t="n"/>
      <c r="H1112" s="45" t="n"/>
      <c r="I1112" s="45" t="n"/>
      <c r="J1112" s="45" t="n"/>
      <c r="K1112" s="45" t="n"/>
      <c r="L1112" s="45" t="n"/>
      <c r="M1112" s="45" t="n"/>
      <c r="N1112" s="45" t="n"/>
      <c r="O1112" s="45" t="n"/>
    </row>
    <row r="1113" ht="16.5" customHeight="1" s="85">
      <c r="A1113" s="46" t="inlineStr">
        <is>
          <t>Shivani</t>
        </is>
      </c>
      <c r="B1113" s="46" t="n">
        <v>9721322053</v>
      </c>
      <c r="C1113" s="46" t="inlineStr">
        <is>
          <t>Customer</t>
        </is>
      </c>
      <c r="D1113" s="46" t="inlineStr">
        <is>
          <t>₹ 0</t>
        </is>
      </c>
      <c r="E1113" s="45" t="n"/>
      <c r="F1113" s="45" t="n"/>
      <c r="G1113" s="45" t="n"/>
      <c r="H1113" s="45" t="n"/>
      <c r="I1113" s="45" t="n"/>
      <c r="J1113" s="45" t="n"/>
      <c r="K1113" s="45" t="n"/>
      <c r="L1113" s="45" t="n"/>
      <c r="M1113" s="45" t="n"/>
      <c r="N1113" s="45" t="n"/>
      <c r="O1113" s="45" t="n"/>
    </row>
    <row r="1114" ht="16.5" customHeight="1" s="85">
      <c r="A1114" s="46" t="inlineStr">
        <is>
          <t>Gunja</t>
        </is>
      </c>
      <c r="B1114" s="46" t="n">
        <v>9721324946</v>
      </c>
      <c r="C1114" s="46" t="inlineStr">
        <is>
          <t>Customer</t>
        </is>
      </c>
      <c r="D1114" s="46" t="inlineStr">
        <is>
          <t>₹ 0</t>
        </is>
      </c>
      <c r="E1114" s="45" t="n"/>
      <c r="F1114" s="45" t="n"/>
      <c r="G1114" s="45" t="n"/>
      <c r="H1114" s="45" t="n"/>
      <c r="I1114" s="45" t="n"/>
      <c r="J1114" s="45" t="n"/>
      <c r="K1114" s="45" t="n"/>
      <c r="L1114" s="45" t="n"/>
      <c r="M1114" s="45" t="n"/>
      <c r="N1114" s="45" t="n"/>
      <c r="O1114" s="45" t="n"/>
    </row>
    <row r="1115" ht="16.5" customHeight="1" s="85">
      <c r="A1115" s="46" t="inlineStr">
        <is>
          <t>Anjana Didi</t>
        </is>
      </c>
      <c r="B1115" s="46" t="n">
        <v>9721790588</v>
      </c>
      <c r="C1115" s="46" t="inlineStr">
        <is>
          <t>Customer</t>
        </is>
      </c>
      <c r="D1115" s="46" t="inlineStr">
        <is>
          <t>₹ 0</t>
        </is>
      </c>
      <c r="E1115" s="45" t="n"/>
      <c r="F1115" s="45" t="n"/>
      <c r="G1115" s="45" t="n"/>
      <c r="H1115" s="45" t="n"/>
      <c r="I1115" s="45" t="n"/>
      <c r="J1115" s="45" t="n"/>
      <c r="K1115" s="45" t="n"/>
      <c r="L1115" s="45" t="n"/>
      <c r="M1115" s="45" t="n"/>
      <c r="N1115" s="45" t="n"/>
      <c r="O1115" s="45" t="n"/>
    </row>
    <row r="1116" ht="16.5" customHeight="1" s="85">
      <c r="A1116" s="46" t="inlineStr">
        <is>
          <t>Shibi Patil</t>
        </is>
      </c>
      <c r="B1116" s="46" t="n">
        <v>9731426577</v>
      </c>
      <c r="C1116" s="46" t="inlineStr">
        <is>
          <t>Customer</t>
        </is>
      </c>
      <c r="D1116" s="46" t="inlineStr">
        <is>
          <t>₹ 0</t>
        </is>
      </c>
      <c r="E1116" s="45" t="n"/>
      <c r="F1116" s="45" t="n"/>
      <c r="G1116" s="45" t="n"/>
      <c r="H1116" s="45" t="n"/>
      <c r="I1116" s="45" t="n"/>
      <c r="J1116" s="45" t="n"/>
      <c r="K1116" s="45" t="n"/>
      <c r="L1116" s="45" t="n"/>
      <c r="M1116" s="45" t="n"/>
      <c r="N1116" s="45" t="n"/>
      <c r="O1116" s="45" t="n"/>
    </row>
    <row r="1117" ht="16.5" customHeight="1" s="85">
      <c r="A1117" s="46" t="inlineStr">
        <is>
          <t>Sunil Kripalay</t>
        </is>
      </c>
      <c r="B1117" s="46" t="n">
        <v>9744620581</v>
      </c>
      <c r="C1117" s="46" t="inlineStr">
        <is>
          <t>Customer</t>
        </is>
      </c>
      <c r="D1117" s="46" t="inlineStr">
        <is>
          <t>₹ 0</t>
        </is>
      </c>
      <c r="E1117" s="45" t="n"/>
      <c r="F1117" s="45" t="n"/>
      <c r="G1117" s="45" t="n"/>
      <c r="H1117" s="45" t="n"/>
      <c r="I1117" s="45" t="n"/>
      <c r="J1117" s="45" t="n"/>
      <c r="K1117" s="45" t="n"/>
      <c r="L1117" s="45" t="n"/>
      <c r="M1117" s="45" t="n"/>
      <c r="N1117" s="45" t="n"/>
      <c r="O1117" s="45" t="n"/>
    </row>
    <row r="1118" ht="16.5" customHeight="1" s="85">
      <c r="A1118" s="46" t="inlineStr">
        <is>
          <t>Lino</t>
        </is>
      </c>
      <c r="B1118" s="46" t="n">
        <v>9744644719</v>
      </c>
      <c r="C1118" s="46" t="inlineStr">
        <is>
          <t>Customer</t>
        </is>
      </c>
      <c r="D1118" s="46" t="inlineStr">
        <is>
          <t>₹ 0</t>
        </is>
      </c>
      <c r="E1118" s="45" t="n"/>
      <c r="F1118" s="45" t="n"/>
      <c r="G1118" s="45" t="n"/>
      <c r="H1118" s="45" t="n"/>
      <c r="I1118" s="45" t="n"/>
      <c r="J1118" s="45" t="n"/>
      <c r="K1118" s="45" t="n"/>
      <c r="L1118" s="45" t="n"/>
      <c r="M1118" s="45" t="n"/>
      <c r="N1118" s="45" t="n"/>
      <c r="O1118" s="45" t="n"/>
    </row>
    <row r="1119" ht="16.5" customHeight="1" s="85">
      <c r="A1119" s="46" t="inlineStr">
        <is>
          <t>Priyanka</t>
        </is>
      </c>
      <c r="B1119" s="46" t="n">
        <v>9745286688</v>
      </c>
      <c r="C1119" s="46" t="inlineStr">
        <is>
          <t>Customer</t>
        </is>
      </c>
      <c r="D1119" s="46" t="inlineStr">
        <is>
          <t>₹ 0</t>
        </is>
      </c>
      <c r="E1119" s="45" t="n"/>
      <c r="F1119" s="45" t="n"/>
      <c r="G1119" s="45" t="n"/>
      <c r="H1119" s="45" t="n"/>
      <c r="I1119" s="45" t="n"/>
      <c r="J1119" s="45" t="n"/>
      <c r="K1119" s="45" t="n"/>
      <c r="L1119" s="45" t="n"/>
      <c r="M1119" s="45" t="n"/>
      <c r="N1119" s="45" t="n"/>
      <c r="O1119" s="45" t="n"/>
    </row>
    <row r="1120" ht="16.5" customHeight="1" s="85">
      <c r="A1120" s="46" t="inlineStr">
        <is>
          <t>Rajit Thomas Patna</t>
        </is>
      </c>
      <c r="B1120" s="46" t="n">
        <v>9745938539</v>
      </c>
      <c r="C1120" s="46" t="inlineStr">
        <is>
          <t>Customer</t>
        </is>
      </c>
      <c r="D1120" s="46" t="inlineStr">
        <is>
          <t>₹ 0</t>
        </is>
      </c>
      <c r="E1120" s="45" t="n"/>
      <c r="F1120" s="45" t="n"/>
      <c r="G1120" s="45" t="n"/>
      <c r="H1120" s="45" t="n"/>
      <c r="I1120" s="45" t="n"/>
      <c r="J1120" s="45" t="n"/>
      <c r="K1120" s="45" t="n"/>
      <c r="L1120" s="45" t="n"/>
      <c r="M1120" s="45" t="n"/>
      <c r="N1120" s="45" t="n"/>
      <c r="O1120" s="45" t="n"/>
    </row>
    <row r="1121" ht="16.5" customHeight="1" s="85">
      <c r="A1121" s="46" t="inlineStr">
        <is>
          <t>Bincy</t>
        </is>
      </c>
      <c r="B1121" s="46" t="n">
        <v>9746410302</v>
      </c>
      <c r="C1121" s="46" t="inlineStr">
        <is>
          <t>Customer</t>
        </is>
      </c>
      <c r="D1121" s="46" t="inlineStr">
        <is>
          <t>₹ 0</t>
        </is>
      </c>
      <c r="E1121" s="45" t="n"/>
      <c r="F1121" s="45" t="n"/>
      <c r="G1121" s="45" t="n"/>
      <c r="H1121" s="45" t="n"/>
      <c r="I1121" s="45" t="n"/>
      <c r="J1121" s="45" t="n"/>
      <c r="K1121" s="45" t="n"/>
      <c r="L1121" s="45" t="n"/>
      <c r="M1121" s="45" t="n"/>
      <c r="N1121" s="45" t="n"/>
      <c r="O1121" s="45" t="n"/>
    </row>
    <row r="1122" ht="16.5" customHeight="1" s="85">
      <c r="A1122" s="46" t="inlineStr">
        <is>
          <t>Mumtaz</t>
        </is>
      </c>
      <c r="B1122" s="46" t="n">
        <v>9746882345</v>
      </c>
      <c r="C1122" s="46" t="inlineStr">
        <is>
          <t>Customer</t>
        </is>
      </c>
      <c r="D1122" s="46" t="inlineStr">
        <is>
          <t>₹ 0</t>
        </is>
      </c>
      <c r="E1122" s="45" t="n"/>
      <c r="F1122" s="45" t="n"/>
      <c r="G1122" s="45" t="n"/>
      <c r="H1122" s="45" t="n"/>
      <c r="I1122" s="45" t="n"/>
      <c r="J1122" s="45" t="n"/>
      <c r="K1122" s="45" t="n"/>
      <c r="L1122" s="45" t="n"/>
      <c r="M1122" s="45" t="n"/>
      <c r="N1122" s="45" t="n"/>
      <c r="O1122" s="45" t="n"/>
    </row>
    <row r="1123" ht="16.5" customHeight="1" s="85">
      <c r="A1123" s="46" t="inlineStr">
        <is>
          <t>Jis</t>
        </is>
      </c>
      <c r="B1123" s="46" t="n">
        <v>9746992907</v>
      </c>
      <c r="C1123" s="46" t="inlineStr">
        <is>
          <t>Customer</t>
        </is>
      </c>
      <c r="D1123" s="46" t="inlineStr">
        <is>
          <t>₹ 0</t>
        </is>
      </c>
      <c r="E1123" s="45" t="n"/>
      <c r="F1123" s="45" t="n"/>
      <c r="G1123" s="45" t="n"/>
      <c r="H1123" s="45" t="n"/>
      <c r="I1123" s="45" t="n"/>
      <c r="J1123" s="45" t="n"/>
      <c r="K1123" s="45" t="n"/>
      <c r="L1123" s="45" t="n"/>
      <c r="M1123" s="45" t="n"/>
      <c r="N1123" s="45" t="n"/>
      <c r="O1123" s="45" t="n"/>
    </row>
    <row r="1124" ht="16.5" customHeight="1" s="85">
      <c r="A1124" s="46" t="inlineStr">
        <is>
          <t>Khorabar</t>
        </is>
      </c>
      <c r="B1124" s="46" t="n">
        <v>9746999281</v>
      </c>
      <c r="C1124" s="46" t="inlineStr">
        <is>
          <t>Customer</t>
        </is>
      </c>
      <c r="D1124" s="46" t="inlineStr">
        <is>
          <t>₹ 0</t>
        </is>
      </c>
      <c r="E1124" s="45" t="n"/>
      <c r="F1124" s="45" t="n"/>
      <c r="G1124" s="45" t="n"/>
      <c r="H1124" s="45" t="n"/>
      <c r="I1124" s="45" t="n"/>
      <c r="J1124" s="45" t="n"/>
      <c r="K1124" s="45" t="n"/>
      <c r="L1124" s="45" t="n"/>
      <c r="M1124" s="45" t="n"/>
      <c r="N1124" s="45" t="n"/>
      <c r="O1124" s="45" t="n"/>
    </row>
    <row r="1125" ht="16.5" customHeight="1" s="85">
      <c r="A1125" s="46" t="inlineStr">
        <is>
          <t>Vishnu</t>
        </is>
      </c>
      <c r="B1125" s="46" t="n">
        <v>9747092529</v>
      </c>
      <c r="C1125" s="46" t="inlineStr">
        <is>
          <t>Customer</t>
        </is>
      </c>
      <c r="D1125" s="46" t="inlineStr">
        <is>
          <t>₹ 0</t>
        </is>
      </c>
      <c r="E1125" s="45" t="n"/>
      <c r="F1125" s="45" t="n"/>
      <c r="G1125" s="45" t="n"/>
      <c r="H1125" s="45" t="n"/>
      <c r="I1125" s="45" t="n"/>
      <c r="J1125" s="45" t="n"/>
      <c r="K1125" s="45" t="n"/>
      <c r="L1125" s="45" t="n"/>
      <c r="M1125" s="45" t="n"/>
      <c r="N1125" s="45" t="n"/>
      <c r="O1125" s="45" t="n"/>
    </row>
    <row r="1126" ht="16.5" customHeight="1" s="85">
      <c r="A1126" s="46" t="inlineStr">
        <is>
          <t>JOMON</t>
        </is>
      </c>
      <c r="B1126" s="46" t="n">
        <v>9747218764</v>
      </c>
      <c r="C1126" s="46" t="inlineStr">
        <is>
          <t>Customer</t>
        </is>
      </c>
      <c r="D1126" s="46" t="inlineStr">
        <is>
          <t>₹ 0</t>
        </is>
      </c>
      <c r="E1126" s="45" t="n"/>
      <c r="F1126" s="45" t="n"/>
      <c r="G1126" s="45" t="n"/>
      <c r="H1126" s="45" t="n"/>
      <c r="I1126" s="45" t="n"/>
      <c r="J1126" s="45" t="n"/>
      <c r="K1126" s="45" t="n"/>
      <c r="L1126" s="45" t="n"/>
      <c r="M1126" s="45" t="n"/>
      <c r="N1126" s="45" t="n"/>
      <c r="O1126" s="45" t="n"/>
    </row>
    <row r="1127" ht="16.5" customHeight="1" s="85">
      <c r="A1127" s="46" t="inlineStr">
        <is>
          <t>Abhijeet</t>
        </is>
      </c>
      <c r="B1127" s="46" t="n">
        <v>9747266659</v>
      </c>
      <c r="C1127" s="46" t="inlineStr">
        <is>
          <t>Customer</t>
        </is>
      </c>
      <c r="D1127" s="46" t="inlineStr">
        <is>
          <t>₹ 0</t>
        </is>
      </c>
      <c r="E1127" s="45" t="n"/>
      <c r="F1127" s="45" t="n"/>
      <c r="G1127" s="45" t="n"/>
      <c r="H1127" s="45" t="n"/>
      <c r="I1127" s="45" t="n"/>
      <c r="J1127" s="45" t="n"/>
      <c r="K1127" s="45" t="n"/>
      <c r="L1127" s="45" t="n"/>
      <c r="M1127" s="45" t="n"/>
      <c r="N1127" s="45" t="n"/>
      <c r="O1127" s="45" t="n"/>
    </row>
    <row r="1128" ht="16.5" customHeight="1" s="85">
      <c r="A1128" s="46" t="inlineStr">
        <is>
          <t>Baby Thomas</t>
        </is>
      </c>
      <c r="B1128" s="46" t="n">
        <v>9747318541</v>
      </c>
      <c r="C1128" s="46" t="inlineStr">
        <is>
          <t>Customer</t>
        </is>
      </c>
      <c r="D1128" s="46" t="inlineStr">
        <is>
          <t>₹ 0</t>
        </is>
      </c>
      <c r="E1128" s="45" t="n"/>
      <c r="F1128" s="45" t="n"/>
      <c r="G1128" s="45" t="n"/>
      <c r="H1128" s="45" t="n"/>
      <c r="I1128" s="45" t="n"/>
      <c r="J1128" s="45" t="n"/>
      <c r="K1128" s="45" t="n"/>
      <c r="L1128" s="45" t="n"/>
      <c r="M1128" s="45" t="n"/>
      <c r="N1128" s="45" t="n"/>
      <c r="O1128" s="45" t="n"/>
    </row>
    <row r="1129" ht="16.5" customHeight="1" s="85">
      <c r="A1129" s="46" t="inlineStr">
        <is>
          <t>Aby</t>
        </is>
      </c>
      <c r="B1129" s="46" t="n">
        <v>9747944168</v>
      </c>
      <c r="C1129" s="46" t="inlineStr">
        <is>
          <t>Customer</t>
        </is>
      </c>
      <c r="D1129" s="46" t="inlineStr">
        <is>
          <t>₹ 0</t>
        </is>
      </c>
      <c r="E1129" s="45" t="n"/>
      <c r="F1129" s="45" t="n"/>
      <c r="G1129" s="45" t="n"/>
      <c r="H1129" s="45" t="n"/>
      <c r="I1129" s="45" t="n"/>
      <c r="J1129" s="45" t="n"/>
      <c r="K1129" s="45" t="n"/>
      <c r="L1129" s="45" t="n"/>
      <c r="M1129" s="45" t="n"/>
      <c r="N1129" s="45" t="n"/>
      <c r="O1129" s="45" t="n"/>
    </row>
    <row r="1130" ht="16.5" customHeight="1" s="85">
      <c r="A1130" s="46" t="inlineStr">
        <is>
          <t>Nitin</t>
        </is>
      </c>
      <c r="B1130" s="46" t="n">
        <v>9755504321</v>
      </c>
      <c r="C1130" s="46" t="inlineStr">
        <is>
          <t>Customer</t>
        </is>
      </c>
      <c r="D1130" s="46" t="inlineStr">
        <is>
          <t>₹ 0</t>
        </is>
      </c>
      <c r="E1130" s="45" t="n"/>
      <c r="F1130" s="45" t="n"/>
      <c r="G1130" s="45" t="n"/>
      <c r="H1130" s="45" t="n"/>
      <c r="I1130" s="45" t="n"/>
      <c r="J1130" s="45" t="n"/>
      <c r="K1130" s="45" t="n"/>
      <c r="L1130" s="45" t="n"/>
      <c r="M1130" s="45" t="n"/>
      <c r="N1130" s="45" t="n"/>
      <c r="O1130" s="45" t="n"/>
    </row>
    <row r="1131" ht="16.5" customHeight="1" s="85">
      <c r="A1131" s="46" t="inlineStr">
        <is>
          <t>Shubham</t>
        </is>
      </c>
      <c r="B1131" s="46" t="n">
        <v>9760243102</v>
      </c>
      <c r="C1131" s="46" t="inlineStr">
        <is>
          <t>Customer</t>
        </is>
      </c>
      <c r="D1131" s="46" t="inlineStr">
        <is>
          <t>₹ 0</t>
        </is>
      </c>
      <c r="E1131" s="45" t="n"/>
      <c r="F1131" s="45" t="n"/>
      <c r="G1131" s="45" t="n"/>
      <c r="H1131" s="45" t="n"/>
      <c r="I1131" s="45" t="n"/>
      <c r="J1131" s="45" t="n"/>
      <c r="K1131" s="45" t="n"/>
      <c r="L1131" s="45" t="n"/>
      <c r="M1131" s="45" t="n"/>
      <c r="N1131" s="45" t="n"/>
      <c r="O1131" s="45" t="n"/>
    </row>
    <row r="1132" ht="16.5" customHeight="1" s="85">
      <c r="A1132" s="46" t="inlineStr">
        <is>
          <t>victoria</t>
        </is>
      </c>
      <c r="B1132" s="46" t="n">
        <v>9760276068</v>
      </c>
      <c r="C1132" s="46" t="inlineStr">
        <is>
          <t>Customer</t>
        </is>
      </c>
      <c r="D1132" s="46" t="inlineStr">
        <is>
          <t>₹ 0</t>
        </is>
      </c>
      <c r="E1132" s="45" t="n"/>
      <c r="F1132" s="45" t="n"/>
      <c r="G1132" s="45" t="n"/>
      <c r="H1132" s="45" t="n"/>
      <c r="I1132" s="45" t="n"/>
      <c r="J1132" s="45" t="n"/>
      <c r="K1132" s="45" t="n"/>
      <c r="L1132" s="45" t="n"/>
      <c r="M1132" s="45" t="n"/>
      <c r="N1132" s="45" t="n"/>
      <c r="O1132" s="45" t="n"/>
    </row>
    <row r="1133" ht="16.5" customHeight="1" s="85">
      <c r="A1133" s="46" t="inlineStr">
        <is>
          <t>Aijaz</t>
        </is>
      </c>
      <c r="B1133" s="46" t="n">
        <v>9764578580</v>
      </c>
      <c r="C1133" s="46" t="inlineStr">
        <is>
          <t>Customer</t>
        </is>
      </c>
      <c r="D1133" s="46" t="inlineStr">
        <is>
          <t>₹ 0</t>
        </is>
      </c>
      <c r="E1133" s="45" t="n"/>
      <c r="F1133" s="45" t="n"/>
      <c r="G1133" s="45" t="n"/>
      <c r="H1133" s="45" t="n"/>
      <c r="I1133" s="45" t="n"/>
      <c r="J1133" s="45" t="n"/>
      <c r="K1133" s="45" t="n"/>
      <c r="L1133" s="45" t="n"/>
      <c r="M1133" s="45" t="n"/>
      <c r="N1133" s="45" t="n"/>
      <c r="O1133" s="45" t="n"/>
    </row>
    <row r="1134" ht="16.5" customHeight="1" s="85">
      <c r="A1134" s="46" t="inlineStr">
        <is>
          <t>Neeraj St Kabir Ngr</t>
        </is>
      </c>
      <c r="B1134" s="46" t="n">
        <v>9766965462</v>
      </c>
      <c r="C1134" s="46" t="inlineStr">
        <is>
          <t>Customer</t>
        </is>
      </c>
      <c r="D1134" s="46" t="inlineStr">
        <is>
          <t>₹ 0</t>
        </is>
      </c>
      <c r="E1134" s="45" t="n"/>
      <c r="F1134" s="45" t="n"/>
      <c r="G1134" s="45" t="n"/>
      <c r="H1134" s="45" t="n"/>
      <c r="I1134" s="45" t="n"/>
      <c r="J1134" s="45" t="n"/>
      <c r="K1134" s="45" t="n"/>
      <c r="L1134" s="45" t="n"/>
      <c r="M1134" s="45" t="n"/>
      <c r="N1134" s="45" t="n"/>
      <c r="O1134" s="45" t="n"/>
    </row>
    <row r="1135" ht="16.5" customHeight="1" s="85">
      <c r="A1135" s="46" t="inlineStr">
        <is>
          <t>Reshma</t>
        </is>
      </c>
      <c r="B1135" s="46" t="n">
        <v>9778547843</v>
      </c>
      <c r="C1135" s="46" t="inlineStr">
        <is>
          <t>Customer</t>
        </is>
      </c>
      <c r="D1135" s="46" t="inlineStr">
        <is>
          <t>₹ 0</t>
        </is>
      </c>
      <c r="E1135" s="45" t="n"/>
      <c r="F1135" s="45" t="n"/>
      <c r="G1135" s="45" t="n"/>
      <c r="H1135" s="45" t="n"/>
      <c r="I1135" s="45" t="n"/>
      <c r="J1135" s="45" t="n"/>
      <c r="K1135" s="45" t="n"/>
      <c r="L1135" s="45" t="n"/>
      <c r="M1135" s="45" t="n"/>
      <c r="N1135" s="45" t="n"/>
      <c r="O1135" s="45" t="n"/>
    </row>
    <row r="1136" ht="16.5" customHeight="1" s="85">
      <c r="A1136" s="46" t="inlineStr">
        <is>
          <t>Jaya Prakash</t>
        </is>
      </c>
      <c r="B1136" s="46" t="n">
        <v>9786012393</v>
      </c>
      <c r="C1136" s="46" t="inlineStr">
        <is>
          <t>Customer</t>
        </is>
      </c>
      <c r="D1136" s="46" t="inlineStr">
        <is>
          <t>₹ 0</t>
        </is>
      </c>
      <c r="E1136" s="45" t="n"/>
      <c r="F1136" s="45" t="n"/>
      <c r="G1136" s="45" t="n"/>
      <c r="H1136" s="45" t="n"/>
      <c r="I1136" s="45" t="n"/>
      <c r="J1136" s="45" t="n"/>
      <c r="K1136" s="45" t="n"/>
      <c r="L1136" s="45" t="n"/>
      <c r="M1136" s="45" t="n"/>
      <c r="N1136" s="45" t="n"/>
      <c r="O1136" s="45" t="n"/>
    </row>
    <row r="1137" ht="16.5" customHeight="1" s="85">
      <c r="A1137" s="46" t="inlineStr">
        <is>
          <t>Gopa Kumar</t>
        </is>
      </c>
      <c r="B1137" s="46" t="n">
        <v>9789104996</v>
      </c>
      <c r="C1137" s="46" t="inlineStr">
        <is>
          <t>Customer</t>
        </is>
      </c>
      <c r="D1137" s="46" t="inlineStr">
        <is>
          <t>₹ 0</t>
        </is>
      </c>
      <c r="E1137" s="45" t="n"/>
      <c r="F1137" s="45" t="n"/>
      <c r="G1137" s="45" t="n"/>
      <c r="H1137" s="45" t="n"/>
      <c r="I1137" s="45" t="n"/>
      <c r="J1137" s="45" t="n"/>
      <c r="K1137" s="45" t="n"/>
      <c r="L1137" s="45" t="n"/>
      <c r="M1137" s="45" t="n"/>
      <c r="N1137" s="45" t="n"/>
      <c r="O1137" s="45" t="n"/>
    </row>
    <row r="1138" ht="16.5" customHeight="1" s="85">
      <c r="A1138" s="46" t="inlineStr">
        <is>
          <t>Babil</t>
        </is>
      </c>
      <c r="B1138" s="46" t="n">
        <v>9792171361</v>
      </c>
      <c r="C1138" s="46" t="inlineStr">
        <is>
          <t>Customer</t>
        </is>
      </c>
      <c r="D1138" s="46" t="inlineStr">
        <is>
          <t>₹ 0</t>
        </is>
      </c>
      <c r="E1138" s="45" t="n"/>
      <c r="F1138" s="45" t="n"/>
      <c r="G1138" s="45" t="n"/>
      <c r="H1138" s="45" t="n"/>
      <c r="I1138" s="45" t="n"/>
      <c r="J1138" s="45" t="n"/>
      <c r="K1138" s="45" t="n"/>
      <c r="L1138" s="45" t="n"/>
      <c r="M1138" s="45" t="n"/>
      <c r="N1138" s="45" t="n"/>
      <c r="O1138" s="45" t="n"/>
    </row>
    <row r="1139" ht="16.5" customHeight="1" s="85">
      <c r="A1139" s="46" t="inlineStr">
        <is>
          <t>Roy Abraham</t>
        </is>
      </c>
      <c r="B1139" s="46" t="n">
        <v>9792255300</v>
      </c>
      <c r="C1139" s="46" t="inlineStr">
        <is>
          <t>Customer</t>
        </is>
      </c>
      <c r="D1139" s="46" t="inlineStr">
        <is>
          <t>₹ 0</t>
        </is>
      </c>
      <c r="E1139" s="45" t="n"/>
      <c r="F1139" s="45" t="n"/>
      <c r="G1139" s="45" t="n"/>
      <c r="H1139" s="45" t="n"/>
      <c r="I1139" s="45" t="n"/>
      <c r="J1139" s="45" t="n"/>
      <c r="K1139" s="45" t="n"/>
      <c r="L1139" s="45" t="n"/>
      <c r="M1139" s="45" t="n"/>
      <c r="N1139" s="45" t="n"/>
      <c r="O1139" s="45" t="n"/>
    </row>
    <row r="1140" ht="16.5" customHeight="1" s="85">
      <c r="A1140" s="46" t="inlineStr">
        <is>
          <t>Rosh</t>
        </is>
      </c>
      <c r="B1140" s="46" t="n">
        <v>9792618203</v>
      </c>
      <c r="C1140" s="46" t="inlineStr">
        <is>
          <t>Customer</t>
        </is>
      </c>
      <c r="D1140" s="46" t="inlineStr">
        <is>
          <t>₹ 0</t>
        </is>
      </c>
      <c r="E1140" s="45" t="n"/>
      <c r="F1140" s="45" t="n"/>
      <c r="G1140" s="45" t="n"/>
      <c r="H1140" s="45" t="n"/>
      <c r="I1140" s="45" t="n"/>
      <c r="J1140" s="45" t="n"/>
      <c r="K1140" s="45" t="n"/>
      <c r="L1140" s="45" t="n"/>
      <c r="M1140" s="45" t="n"/>
      <c r="N1140" s="45" t="n"/>
      <c r="O1140" s="45" t="n"/>
    </row>
    <row r="1141" ht="16.5" customHeight="1" s="85">
      <c r="A1141" s="46" t="inlineStr">
        <is>
          <t>Pr Emmanuel</t>
        </is>
      </c>
      <c r="B1141" s="46" t="n">
        <v>9793022561</v>
      </c>
      <c r="C1141" s="46" t="inlineStr">
        <is>
          <t>Customer</t>
        </is>
      </c>
      <c r="D1141" s="46" t="inlineStr">
        <is>
          <t>₹ 0</t>
        </is>
      </c>
      <c r="E1141" s="45" t="n"/>
      <c r="F1141" s="45" t="n"/>
      <c r="G1141" s="45" t="n"/>
      <c r="H1141" s="45" t="n"/>
      <c r="I1141" s="45" t="n"/>
      <c r="J1141" s="45" t="n"/>
      <c r="K1141" s="45" t="n"/>
      <c r="L1141" s="45" t="n"/>
      <c r="M1141" s="45" t="n"/>
      <c r="N1141" s="45" t="n"/>
      <c r="O1141" s="45" t="n"/>
    </row>
    <row r="1142" ht="16.5" customHeight="1" s="85">
      <c r="A1142" s="46" t="inlineStr">
        <is>
          <t>jijo</t>
        </is>
      </c>
      <c r="B1142" s="46" t="n">
        <v>9793129983</v>
      </c>
      <c r="C1142" s="46" t="inlineStr">
        <is>
          <t>Customer</t>
        </is>
      </c>
      <c r="D1142" s="46" t="inlineStr">
        <is>
          <t>₹ 0</t>
        </is>
      </c>
      <c r="E1142" s="45" t="n"/>
      <c r="F1142" s="45" t="n"/>
      <c r="G1142" s="45" t="n"/>
      <c r="H1142" s="45" t="n"/>
      <c r="I1142" s="45" t="n"/>
      <c r="J1142" s="45" t="n"/>
      <c r="K1142" s="45" t="n"/>
      <c r="L1142" s="45" t="n"/>
      <c r="M1142" s="45" t="n"/>
      <c r="N1142" s="45" t="n"/>
      <c r="O1142" s="45" t="n"/>
    </row>
    <row r="1143" ht="16.5" customHeight="1" s="85">
      <c r="A1143" s="46" t="inlineStr">
        <is>
          <t>Sarika</t>
        </is>
      </c>
      <c r="B1143" s="46" t="n">
        <v>9793383262</v>
      </c>
      <c r="C1143" s="46" t="inlineStr">
        <is>
          <t>Customer</t>
        </is>
      </c>
      <c r="D1143" s="46" t="inlineStr">
        <is>
          <t>₹ 0</t>
        </is>
      </c>
      <c r="E1143" s="45" t="n"/>
      <c r="F1143" s="45" t="n"/>
      <c r="G1143" s="45" t="n"/>
      <c r="H1143" s="45" t="n"/>
      <c r="I1143" s="45" t="n"/>
      <c r="J1143" s="45" t="n"/>
      <c r="K1143" s="45" t="n"/>
      <c r="L1143" s="45" t="n"/>
      <c r="M1143" s="45" t="n"/>
      <c r="N1143" s="45" t="n"/>
      <c r="O1143" s="45" t="n"/>
    </row>
    <row r="1144" ht="16.5" customHeight="1" s="85">
      <c r="A1144" s="46" t="inlineStr">
        <is>
          <t>Dayanand</t>
        </is>
      </c>
      <c r="B1144" s="46" t="n">
        <v>9793643054</v>
      </c>
      <c r="C1144" s="46" t="inlineStr">
        <is>
          <t>Customer</t>
        </is>
      </c>
      <c r="D1144" s="46" t="inlineStr">
        <is>
          <t>₹ 0</t>
        </is>
      </c>
      <c r="E1144" s="45" t="n"/>
      <c r="F1144" s="45" t="n"/>
      <c r="G1144" s="45" t="n"/>
      <c r="H1144" s="45" t="n"/>
      <c r="I1144" s="45" t="n"/>
      <c r="J1144" s="45" t="n"/>
      <c r="K1144" s="45" t="n"/>
      <c r="L1144" s="45" t="n"/>
      <c r="M1144" s="45" t="n"/>
      <c r="N1144" s="45" t="n"/>
      <c r="O1144" s="45" t="n"/>
    </row>
    <row r="1145" ht="16.5" customHeight="1" s="85">
      <c r="A1145" s="46" t="inlineStr">
        <is>
          <t>Lilly</t>
        </is>
      </c>
      <c r="B1145" s="46" t="n">
        <v>9793796975</v>
      </c>
      <c r="C1145" s="46" t="inlineStr">
        <is>
          <t>Customer</t>
        </is>
      </c>
      <c r="D1145" s="46" t="inlineStr">
        <is>
          <t>₹ 0</t>
        </is>
      </c>
      <c r="E1145" s="45" t="n"/>
      <c r="F1145" s="45" t="n"/>
      <c r="G1145" s="45" t="n"/>
      <c r="H1145" s="45" t="n"/>
      <c r="I1145" s="45" t="n"/>
      <c r="J1145" s="45" t="n"/>
      <c r="K1145" s="45" t="n"/>
      <c r="L1145" s="45" t="n"/>
      <c r="M1145" s="45" t="n"/>
      <c r="N1145" s="45" t="n"/>
      <c r="O1145" s="45" t="n"/>
    </row>
    <row r="1146" ht="16.5" customHeight="1" s="85">
      <c r="A1146" s="46" t="inlineStr">
        <is>
          <t>D.K Rai</t>
        </is>
      </c>
      <c r="B1146" s="46" t="n">
        <v>9793815006</v>
      </c>
      <c r="C1146" s="46" t="inlineStr">
        <is>
          <t>Customer</t>
        </is>
      </c>
      <c r="D1146" s="46" t="inlineStr">
        <is>
          <t>₹ 0</t>
        </is>
      </c>
      <c r="E1146" s="45" t="n"/>
      <c r="F1146" s="45" t="n"/>
      <c r="G1146" s="45" t="n"/>
      <c r="H1146" s="45" t="n"/>
      <c r="I1146" s="45" t="n"/>
      <c r="J1146" s="45" t="n"/>
      <c r="K1146" s="45" t="n"/>
      <c r="L1146" s="45" t="n"/>
      <c r="M1146" s="45" t="n"/>
      <c r="N1146" s="45" t="n"/>
      <c r="O1146" s="45" t="n"/>
    </row>
    <row r="1147" ht="16.5" customHeight="1" s="85">
      <c r="A1147" s="46" t="inlineStr">
        <is>
          <t>Mervy Birkett</t>
        </is>
      </c>
      <c r="B1147" s="46" t="n">
        <v>9793933349</v>
      </c>
      <c r="C1147" s="46" t="inlineStr">
        <is>
          <t>Customer</t>
        </is>
      </c>
      <c r="D1147" s="46" t="inlineStr">
        <is>
          <t>₹ 0</t>
        </is>
      </c>
      <c r="E1147" s="45" t="n"/>
      <c r="F1147" s="45" t="n"/>
      <c r="G1147" s="45" t="n"/>
      <c r="H1147" s="45" t="n"/>
      <c r="I1147" s="45" t="n"/>
      <c r="J1147" s="45" t="n"/>
      <c r="K1147" s="45" t="n"/>
      <c r="L1147" s="45" t="n"/>
      <c r="M1147" s="45" t="n"/>
      <c r="N1147" s="45" t="n"/>
      <c r="O1147" s="45" t="n"/>
    </row>
    <row r="1148" ht="16.5" customHeight="1" s="85">
      <c r="A1148" s="46" t="inlineStr">
        <is>
          <t>UNKNOWN 6</t>
        </is>
      </c>
      <c r="B1148" s="46" t="n">
        <v>9794002300</v>
      </c>
      <c r="C1148" s="46" t="inlineStr">
        <is>
          <t>Customer</t>
        </is>
      </c>
      <c r="D1148" s="46" t="inlineStr">
        <is>
          <t>₹ 0</t>
        </is>
      </c>
      <c r="E1148" s="45" t="n"/>
      <c r="F1148" s="45" t="n"/>
      <c r="G1148" s="45" t="n"/>
      <c r="H1148" s="45" t="n"/>
      <c r="I1148" s="45" t="n"/>
      <c r="J1148" s="45" t="n"/>
      <c r="K1148" s="45" t="n"/>
      <c r="L1148" s="45" t="n"/>
      <c r="M1148" s="45" t="n"/>
      <c r="N1148" s="45" t="n"/>
      <c r="O1148" s="45" t="n"/>
    </row>
    <row r="1149" ht="16.5" customHeight="1" s="85">
      <c r="A1149" s="46" t="inlineStr">
        <is>
          <t>Vikas Prajapati</t>
        </is>
      </c>
      <c r="B1149" s="46" t="n">
        <v>9794082413</v>
      </c>
      <c r="C1149" s="46" t="inlineStr">
        <is>
          <t>Customer</t>
        </is>
      </c>
      <c r="D1149" s="46" t="inlineStr">
        <is>
          <t>₹ 0</t>
        </is>
      </c>
      <c r="E1149" s="45" t="n"/>
      <c r="F1149" s="45" t="n"/>
      <c r="G1149" s="45" t="n"/>
      <c r="H1149" s="45" t="n"/>
      <c r="I1149" s="45" t="n"/>
      <c r="J1149" s="45" t="n"/>
      <c r="K1149" s="45" t="n"/>
      <c r="L1149" s="45" t="n"/>
      <c r="M1149" s="45" t="n"/>
      <c r="N1149" s="45" t="n"/>
      <c r="O1149" s="45" t="n"/>
    </row>
    <row r="1150" ht="16.5" customHeight="1" s="85">
      <c r="A1150" s="46" t="inlineStr">
        <is>
          <t>Sril</t>
        </is>
      </c>
      <c r="B1150" s="46" t="n">
        <v>9794190107</v>
      </c>
      <c r="C1150" s="46" t="inlineStr">
        <is>
          <t>Customer</t>
        </is>
      </c>
      <c r="D1150" s="46" t="inlineStr">
        <is>
          <t>₹ 0</t>
        </is>
      </c>
      <c r="E1150" s="45" t="n"/>
      <c r="F1150" s="45" t="n"/>
      <c r="G1150" s="45" t="n"/>
      <c r="H1150" s="45" t="n"/>
      <c r="I1150" s="45" t="n"/>
      <c r="J1150" s="45" t="n"/>
      <c r="K1150" s="45" t="n"/>
      <c r="L1150" s="45" t="n"/>
      <c r="M1150" s="45" t="n"/>
      <c r="N1150" s="45" t="n"/>
      <c r="O1150" s="45" t="n"/>
    </row>
    <row r="1151" ht="16.5" customHeight="1" s="85">
      <c r="A1151" s="46" t="inlineStr">
        <is>
          <t>Jaisheel Das</t>
        </is>
      </c>
      <c r="B1151" s="46" t="n">
        <v>9794268263</v>
      </c>
      <c r="C1151" s="46" t="inlineStr">
        <is>
          <t>Customer</t>
        </is>
      </c>
      <c r="D1151" s="46" t="inlineStr">
        <is>
          <t>₹ 0</t>
        </is>
      </c>
      <c r="E1151" s="45" t="n"/>
      <c r="F1151" s="45" t="n"/>
      <c r="G1151" s="45" t="n"/>
      <c r="H1151" s="45" t="n"/>
      <c r="I1151" s="45" t="n"/>
      <c r="J1151" s="45" t="n"/>
      <c r="K1151" s="45" t="n"/>
      <c r="L1151" s="45" t="n"/>
      <c r="M1151" s="45" t="n"/>
      <c r="N1151" s="45" t="n"/>
      <c r="O1151" s="45" t="n"/>
    </row>
    <row r="1152" ht="16.5" customHeight="1" s="85">
      <c r="A1152" s="46" t="inlineStr">
        <is>
          <t>Digvijay Pandey</t>
        </is>
      </c>
      <c r="B1152" s="46" t="n">
        <v>9794279619</v>
      </c>
      <c r="C1152" s="46" t="inlineStr">
        <is>
          <t>Customer</t>
        </is>
      </c>
      <c r="D1152" s="46" t="inlineStr">
        <is>
          <t>₹ 0</t>
        </is>
      </c>
      <c r="E1152" s="45" t="n"/>
      <c r="F1152" s="45" t="n"/>
      <c r="G1152" s="45" t="n"/>
      <c r="H1152" s="45" t="n"/>
      <c r="I1152" s="45" t="n"/>
      <c r="J1152" s="45" t="n"/>
      <c r="K1152" s="45" t="n"/>
      <c r="L1152" s="45" t="n"/>
      <c r="M1152" s="45" t="n"/>
      <c r="N1152" s="45" t="n"/>
      <c r="O1152" s="45" t="n"/>
    </row>
    <row r="1153" ht="16.5" customHeight="1" s="85">
      <c r="A1153" s="46" t="inlineStr">
        <is>
          <t>Ashish</t>
        </is>
      </c>
      <c r="B1153" s="46" t="n">
        <v>9794333889</v>
      </c>
      <c r="C1153" s="46" t="inlineStr">
        <is>
          <t>Customer</t>
        </is>
      </c>
      <c r="D1153" s="46" t="inlineStr">
        <is>
          <t>₹ 0</t>
        </is>
      </c>
      <c r="E1153" s="45" t="n"/>
      <c r="F1153" s="45" t="n"/>
      <c r="G1153" s="45" t="n"/>
      <c r="H1153" s="45" t="n"/>
      <c r="I1153" s="45" t="n"/>
      <c r="J1153" s="45" t="n"/>
      <c r="K1153" s="45" t="n"/>
      <c r="L1153" s="45" t="n"/>
      <c r="M1153" s="45" t="n"/>
      <c r="N1153" s="45" t="n"/>
      <c r="O1153" s="45" t="n"/>
    </row>
    <row r="1154" ht="16.5" customHeight="1" s="85">
      <c r="A1154" s="46" t="inlineStr">
        <is>
          <t>St.Joseph School Khorabar</t>
        </is>
      </c>
      <c r="B1154" s="46" t="n">
        <v>9794428846</v>
      </c>
      <c r="C1154" s="46" t="inlineStr">
        <is>
          <t>Customer</t>
        </is>
      </c>
      <c r="D1154" s="46" t="inlineStr">
        <is>
          <t>₹ 0</t>
        </is>
      </c>
      <c r="E1154" s="45" t="n"/>
      <c r="F1154" s="45" t="n"/>
      <c r="G1154" s="45" t="n"/>
      <c r="H1154" s="45" t="n"/>
      <c r="I1154" s="45" t="n"/>
      <c r="J1154" s="45" t="n"/>
      <c r="K1154" s="45" t="n"/>
      <c r="L1154" s="45" t="n"/>
      <c r="M1154" s="45" t="n"/>
      <c r="N1154" s="45" t="n"/>
      <c r="O1154" s="45" t="n"/>
    </row>
    <row r="1155" ht="16.5" customHeight="1" s="85">
      <c r="A1155" s="46" t="inlineStr">
        <is>
          <t>Sril</t>
        </is>
      </c>
      <c r="B1155" s="46" t="n">
        <v>9794490107</v>
      </c>
      <c r="C1155" s="46" t="inlineStr">
        <is>
          <t>Customer</t>
        </is>
      </c>
      <c r="D1155" s="46" t="inlineStr">
        <is>
          <t>₹ 0</t>
        </is>
      </c>
      <c r="E1155" s="45" t="n"/>
      <c r="F1155" s="45" t="n"/>
      <c r="G1155" s="45" t="n"/>
      <c r="H1155" s="45" t="n"/>
      <c r="I1155" s="45" t="n"/>
      <c r="J1155" s="45" t="n"/>
      <c r="K1155" s="45" t="n"/>
      <c r="L1155" s="45" t="n"/>
      <c r="M1155" s="45" t="n"/>
      <c r="N1155" s="45" t="n"/>
      <c r="O1155" s="45" t="n"/>
    </row>
    <row r="1156" ht="16.5" customHeight="1" s="85">
      <c r="A1156" s="46" t="inlineStr">
        <is>
          <t>Pradeep Airforce</t>
        </is>
      </c>
      <c r="B1156" s="46" t="n">
        <v>9794633237</v>
      </c>
      <c r="C1156" s="46" t="inlineStr">
        <is>
          <t>Customer</t>
        </is>
      </c>
      <c r="D1156" s="46" t="inlineStr">
        <is>
          <t>₹ 0</t>
        </is>
      </c>
      <c r="E1156" s="45" t="n"/>
      <c r="F1156" s="45" t="n"/>
      <c r="G1156" s="45" t="n"/>
      <c r="H1156" s="45" t="n"/>
      <c r="I1156" s="45" t="n"/>
      <c r="J1156" s="45" t="n"/>
      <c r="K1156" s="45" t="n"/>
      <c r="L1156" s="45" t="n"/>
      <c r="M1156" s="45" t="n"/>
      <c r="N1156" s="45" t="n"/>
      <c r="O1156" s="45" t="n"/>
    </row>
    <row r="1157" ht="16.5" customHeight="1" s="85">
      <c r="A1157" s="46" t="inlineStr">
        <is>
          <t>Elc Colment</t>
        </is>
      </c>
      <c r="B1157" s="46" t="n">
        <v>9794682829</v>
      </c>
      <c r="C1157" s="46" t="inlineStr">
        <is>
          <t>Customer</t>
        </is>
      </c>
      <c r="D1157" s="46" t="inlineStr">
        <is>
          <t>₹ 0</t>
        </is>
      </c>
      <c r="E1157" s="45" t="n"/>
      <c r="F1157" s="45" t="n"/>
      <c r="G1157" s="45" t="n"/>
      <c r="H1157" s="45" t="n"/>
      <c r="I1157" s="45" t="n"/>
      <c r="J1157" s="45" t="n"/>
      <c r="K1157" s="45" t="n"/>
      <c r="L1157" s="45" t="n"/>
      <c r="M1157" s="45" t="n"/>
      <c r="N1157" s="45" t="n"/>
      <c r="O1157" s="45" t="n"/>
    </row>
    <row r="1158" ht="16.5" customHeight="1" s="85">
      <c r="A1158" s="46" t="inlineStr">
        <is>
          <t>Chandani Gautam</t>
        </is>
      </c>
      <c r="B1158" s="46" t="n">
        <v>9794692791</v>
      </c>
      <c r="C1158" s="46" t="inlineStr">
        <is>
          <t>Customer</t>
        </is>
      </c>
      <c r="D1158" s="46" t="inlineStr">
        <is>
          <t>₹ 0</t>
        </is>
      </c>
      <c r="E1158" s="45" t="n"/>
      <c r="F1158" s="45" t="n"/>
      <c r="G1158" s="45" t="n"/>
      <c r="H1158" s="45" t="n"/>
      <c r="I1158" s="45" t="n"/>
      <c r="J1158" s="45" t="n"/>
      <c r="K1158" s="45" t="n"/>
      <c r="L1158" s="45" t="n"/>
      <c r="M1158" s="45" t="n"/>
      <c r="N1158" s="45" t="n"/>
      <c r="O1158" s="45" t="n"/>
    </row>
    <row r="1159" ht="16.5" customHeight="1" s="85">
      <c r="A1159" s="46" t="inlineStr">
        <is>
          <t>Ragina</t>
        </is>
      </c>
      <c r="B1159" s="46" t="n">
        <v>9794740263</v>
      </c>
      <c r="C1159" s="46" t="inlineStr">
        <is>
          <t>Customer</t>
        </is>
      </c>
      <c r="D1159" s="46" t="inlineStr">
        <is>
          <t>₹ 0</t>
        </is>
      </c>
      <c r="E1159" s="45" t="n"/>
      <c r="F1159" s="45" t="n"/>
      <c r="G1159" s="45" t="n"/>
      <c r="H1159" s="45" t="n"/>
      <c r="I1159" s="45" t="n"/>
      <c r="J1159" s="45" t="n"/>
      <c r="K1159" s="45" t="n"/>
      <c r="L1159" s="45" t="n"/>
      <c r="M1159" s="45" t="n"/>
      <c r="N1159" s="45" t="n"/>
      <c r="O1159" s="45" t="n"/>
    </row>
    <row r="1160" ht="16.5" customHeight="1" s="85">
      <c r="A1160" s="46" t="inlineStr">
        <is>
          <t>Subramaniyam</t>
        </is>
      </c>
      <c r="B1160" s="46" t="n">
        <v>9794840342</v>
      </c>
      <c r="C1160" s="46" t="inlineStr">
        <is>
          <t>Customer</t>
        </is>
      </c>
      <c r="D1160" s="46" t="inlineStr">
        <is>
          <t>₹ 0</t>
        </is>
      </c>
      <c r="E1160" s="45" t="n"/>
      <c r="F1160" s="45" t="n"/>
      <c r="G1160" s="45" t="n"/>
      <c r="H1160" s="45" t="n"/>
      <c r="I1160" s="45" t="n"/>
      <c r="J1160" s="45" t="n"/>
      <c r="K1160" s="45" t="n"/>
      <c r="L1160" s="45" t="n"/>
      <c r="M1160" s="45" t="n"/>
      <c r="N1160" s="45" t="n"/>
      <c r="O1160" s="45" t="n"/>
    </row>
    <row r="1161" ht="16.5" customHeight="1" s="85">
      <c r="A1161" s="46" t="inlineStr">
        <is>
          <t>Shiv shanker</t>
        </is>
      </c>
      <c r="B1161" s="46" t="n">
        <v>9794840889</v>
      </c>
      <c r="C1161" s="46" t="inlineStr">
        <is>
          <t>Customer</t>
        </is>
      </c>
      <c r="D1161" s="46" t="inlineStr">
        <is>
          <t>₹ 0</t>
        </is>
      </c>
      <c r="E1161" s="45" t="n"/>
      <c r="F1161" s="45" t="n"/>
      <c r="G1161" s="45" t="n"/>
      <c r="H1161" s="45" t="n"/>
      <c r="I1161" s="45" t="n"/>
      <c r="J1161" s="45" t="n"/>
      <c r="K1161" s="45" t="n"/>
      <c r="L1161" s="45" t="n"/>
      <c r="M1161" s="45" t="n"/>
      <c r="N1161" s="45" t="n"/>
      <c r="O1161" s="45" t="n"/>
    </row>
    <row r="1162" ht="16.5" customHeight="1" s="85">
      <c r="A1162" s="46" t="inlineStr">
        <is>
          <t>Deepak</t>
        </is>
      </c>
      <c r="B1162" s="46" t="n">
        <v>9795107879</v>
      </c>
      <c r="C1162" s="46" t="inlineStr">
        <is>
          <t>Customer</t>
        </is>
      </c>
      <c r="D1162" s="46" t="inlineStr">
        <is>
          <t>₹ 0</t>
        </is>
      </c>
      <c r="E1162" s="45" t="n"/>
      <c r="F1162" s="45" t="n"/>
      <c r="G1162" s="45" t="n"/>
      <c r="H1162" s="45" t="n"/>
      <c r="I1162" s="45" t="n"/>
      <c r="J1162" s="45" t="n"/>
      <c r="K1162" s="45" t="n"/>
      <c r="L1162" s="45" t="n"/>
      <c r="M1162" s="45" t="n"/>
      <c r="N1162" s="45" t="n"/>
      <c r="O1162" s="45" t="n"/>
    </row>
    <row r="1163" ht="16.5" customHeight="1" s="85">
      <c r="A1163" s="46" t="inlineStr">
        <is>
          <t>Anup ACA BAPT</t>
        </is>
      </c>
      <c r="B1163" s="46" t="n">
        <v>9795258902</v>
      </c>
      <c r="C1163" s="46" t="inlineStr">
        <is>
          <t>Customer</t>
        </is>
      </c>
      <c r="D1163" s="46" t="inlineStr">
        <is>
          <t>₹ 0</t>
        </is>
      </c>
      <c r="E1163" s="45" t="n"/>
      <c r="F1163" s="45" t="n"/>
      <c r="G1163" s="45" t="n"/>
      <c r="H1163" s="45" t="n"/>
      <c r="I1163" s="45" t="n"/>
      <c r="J1163" s="45" t="n"/>
      <c r="K1163" s="45" t="n"/>
      <c r="L1163" s="45" t="n"/>
      <c r="M1163" s="45" t="n"/>
      <c r="N1163" s="45" t="n"/>
      <c r="O1163" s="45" t="n"/>
    </row>
    <row r="1164" ht="16.5" customHeight="1" s="85">
      <c r="A1164" s="46" t="inlineStr">
        <is>
          <t>Shelly Abrham</t>
        </is>
      </c>
      <c r="B1164" s="46" t="n">
        <v>9795273838</v>
      </c>
      <c r="C1164" s="46" t="inlineStr">
        <is>
          <t>Customer</t>
        </is>
      </c>
      <c r="D1164" s="46" t="inlineStr">
        <is>
          <t>₹ 0</t>
        </is>
      </c>
      <c r="E1164" s="45" t="n"/>
      <c r="F1164" s="45" t="n"/>
      <c r="G1164" s="45" t="n"/>
      <c r="H1164" s="45" t="n"/>
      <c r="I1164" s="45" t="n"/>
      <c r="J1164" s="45" t="n"/>
      <c r="K1164" s="45" t="n"/>
      <c r="L1164" s="45" t="n"/>
      <c r="M1164" s="45" t="n"/>
      <c r="N1164" s="45" t="n"/>
      <c r="O1164" s="45" t="n"/>
    </row>
    <row r="1165" ht="16.5" customHeight="1" s="85">
      <c r="A1165" s="46" t="inlineStr">
        <is>
          <t>Shires</t>
        </is>
      </c>
      <c r="B1165" s="46" t="n">
        <v>9795808673</v>
      </c>
      <c r="C1165" s="46" t="inlineStr">
        <is>
          <t>Customer</t>
        </is>
      </c>
      <c r="D1165" s="46" t="inlineStr">
        <is>
          <t>₹ 0</t>
        </is>
      </c>
      <c r="E1165" s="45" t="n"/>
      <c r="F1165" s="45" t="n"/>
      <c r="G1165" s="45" t="n"/>
      <c r="H1165" s="45" t="n"/>
      <c r="I1165" s="45" t="n"/>
      <c r="J1165" s="45" t="n"/>
      <c r="K1165" s="45" t="n"/>
      <c r="L1165" s="45" t="n"/>
      <c r="M1165" s="45" t="n"/>
      <c r="N1165" s="45" t="n"/>
      <c r="O1165" s="45" t="n"/>
    </row>
    <row r="1166" ht="16.5" customHeight="1" s="85">
      <c r="A1166" s="46" t="inlineStr">
        <is>
          <t>Pr.Reji Samuel</t>
        </is>
      </c>
      <c r="B1166" s="46" t="n">
        <v>9795939152</v>
      </c>
      <c r="C1166" s="46" t="inlineStr">
        <is>
          <t>Customer</t>
        </is>
      </c>
      <c r="D1166" s="46" t="inlineStr">
        <is>
          <t>₹ 0</t>
        </is>
      </c>
      <c r="E1166" s="45" t="n"/>
      <c r="F1166" s="45" t="n"/>
      <c r="G1166" s="45" t="n"/>
      <c r="H1166" s="45" t="n"/>
      <c r="I1166" s="45" t="n"/>
      <c r="J1166" s="45" t="n"/>
      <c r="K1166" s="45" t="n"/>
      <c r="L1166" s="45" t="n"/>
      <c r="M1166" s="45" t="n"/>
      <c r="N1166" s="45" t="n"/>
      <c r="O1166" s="45" t="n"/>
    </row>
    <row r="1167" ht="16.5" customHeight="1" s="85">
      <c r="A1167" s="46" t="inlineStr">
        <is>
          <t>Suresh</t>
        </is>
      </c>
      <c r="B1167" s="46" t="n">
        <v>9801397449</v>
      </c>
      <c r="C1167" s="46" t="inlineStr">
        <is>
          <t>Customer</t>
        </is>
      </c>
      <c r="D1167" s="46" t="inlineStr">
        <is>
          <t>₹ 0</t>
        </is>
      </c>
      <c r="E1167" s="45" t="n"/>
      <c r="F1167" s="45" t="n"/>
      <c r="G1167" s="45" t="n"/>
      <c r="H1167" s="45" t="n"/>
      <c r="I1167" s="45" t="n"/>
      <c r="J1167" s="45" t="n"/>
      <c r="K1167" s="45" t="n"/>
      <c r="L1167" s="45" t="n"/>
      <c r="M1167" s="45" t="n"/>
      <c r="N1167" s="45" t="n"/>
      <c r="O1167" s="45" t="n"/>
    </row>
    <row r="1168" ht="16.5" customHeight="1" s="85">
      <c r="A1168" s="46" t="inlineStr">
        <is>
          <t>Mark Masih</t>
        </is>
      </c>
      <c r="B1168" s="46" t="n">
        <v>9807118424</v>
      </c>
      <c r="C1168" s="46" t="inlineStr">
        <is>
          <t>Customer</t>
        </is>
      </c>
      <c r="D1168" s="46" t="inlineStr">
        <is>
          <t>₹ 0</t>
        </is>
      </c>
      <c r="E1168" s="45" t="n"/>
      <c r="F1168" s="45" t="n"/>
      <c r="G1168" s="45" t="n"/>
      <c r="H1168" s="45" t="n"/>
      <c r="I1168" s="45" t="n"/>
      <c r="J1168" s="45" t="n"/>
      <c r="K1168" s="45" t="n"/>
      <c r="L1168" s="45" t="n"/>
      <c r="M1168" s="45" t="n"/>
      <c r="N1168" s="45" t="n"/>
      <c r="O1168" s="45" t="n"/>
    </row>
    <row r="1169" ht="16.5" customHeight="1" s="85">
      <c r="A1169" s="46" t="inlineStr">
        <is>
          <t>Ram Murthy Ram</t>
        </is>
      </c>
      <c r="B1169" s="46" t="n">
        <v>9807167554</v>
      </c>
      <c r="C1169" s="46" t="inlineStr">
        <is>
          <t>Customer</t>
        </is>
      </c>
      <c r="D1169" s="46" t="inlineStr">
        <is>
          <t>₹ 0</t>
        </is>
      </c>
      <c r="E1169" s="45" t="n"/>
      <c r="F1169" s="45" t="n"/>
      <c r="G1169" s="45" t="n"/>
      <c r="H1169" s="45" t="n"/>
      <c r="I1169" s="45" t="n"/>
      <c r="J1169" s="45" t="n"/>
      <c r="K1169" s="45" t="n"/>
      <c r="L1169" s="45" t="n"/>
      <c r="M1169" s="45" t="n"/>
      <c r="N1169" s="45" t="n"/>
      <c r="O1169" s="45" t="n"/>
    </row>
    <row r="1170" ht="16.5" customHeight="1" s="85">
      <c r="A1170" s="46" t="inlineStr">
        <is>
          <t>Cijoy Malayali</t>
        </is>
      </c>
      <c r="B1170" s="46" t="n">
        <v>9807320785</v>
      </c>
      <c r="C1170" s="46" t="inlineStr">
        <is>
          <t>Customer</t>
        </is>
      </c>
      <c r="D1170" s="46" t="inlineStr">
        <is>
          <t>₹ 0</t>
        </is>
      </c>
      <c r="E1170" s="45" t="n"/>
      <c r="F1170" s="45" t="n"/>
      <c r="G1170" s="45" t="n"/>
      <c r="H1170" s="45" t="n"/>
      <c r="I1170" s="45" t="n"/>
      <c r="J1170" s="45" t="n"/>
      <c r="K1170" s="45" t="n"/>
      <c r="L1170" s="45" t="n"/>
      <c r="M1170" s="45" t="n"/>
      <c r="N1170" s="45" t="n"/>
      <c r="O1170" s="45" t="n"/>
    </row>
    <row r="1171" ht="16.5" customHeight="1" s="85">
      <c r="A1171" s="46" t="inlineStr">
        <is>
          <t>Soniya</t>
        </is>
      </c>
      <c r="B1171" s="46" t="n">
        <v>9807611582</v>
      </c>
      <c r="C1171" s="46" t="inlineStr">
        <is>
          <t>Customer</t>
        </is>
      </c>
      <c r="D1171" s="46" t="inlineStr">
        <is>
          <t>₹ 0</t>
        </is>
      </c>
      <c r="E1171" s="45" t="n"/>
      <c r="F1171" s="45" t="n"/>
      <c r="G1171" s="45" t="n"/>
      <c r="H1171" s="45" t="n"/>
      <c r="I1171" s="45" t="n"/>
      <c r="J1171" s="45" t="n"/>
      <c r="K1171" s="45" t="n"/>
      <c r="L1171" s="45" t="n"/>
      <c r="M1171" s="45" t="n"/>
      <c r="N1171" s="45" t="n"/>
      <c r="O1171" s="45" t="n"/>
    </row>
    <row r="1172" ht="16.5" customHeight="1" s="85">
      <c r="A1172" s="46" t="inlineStr">
        <is>
          <t>Sudhir Robert</t>
        </is>
      </c>
      <c r="B1172" s="46" t="n">
        <v>9807873395</v>
      </c>
      <c r="C1172" s="46" t="inlineStr">
        <is>
          <t>Customer</t>
        </is>
      </c>
      <c r="D1172" s="46" t="inlineStr">
        <is>
          <t>₹ 0</t>
        </is>
      </c>
      <c r="E1172" s="45" t="n"/>
      <c r="F1172" s="45" t="n"/>
      <c r="G1172" s="45" t="n"/>
      <c r="H1172" s="45" t="n"/>
      <c r="I1172" s="45" t="n"/>
      <c r="J1172" s="45" t="n"/>
      <c r="K1172" s="45" t="n"/>
      <c r="L1172" s="45" t="n"/>
      <c r="M1172" s="45" t="n"/>
      <c r="N1172" s="45" t="n"/>
      <c r="O1172" s="45" t="n"/>
    </row>
    <row r="1173" ht="16.5" customHeight="1" s="85">
      <c r="A1173" s="46" t="inlineStr">
        <is>
          <t>Pr.vijay</t>
        </is>
      </c>
      <c r="B1173" s="46" t="n">
        <v>9807987780</v>
      </c>
      <c r="C1173" s="46" t="inlineStr">
        <is>
          <t>Customer</t>
        </is>
      </c>
      <c r="D1173" s="46" t="inlineStr">
        <is>
          <t>₹ 0</t>
        </is>
      </c>
      <c r="E1173" s="45" t="n"/>
      <c r="F1173" s="45" t="n"/>
      <c r="G1173" s="45" t="n"/>
      <c r="H1173" s="45" t="n"/>
      <c r="I1173" s="45" t="n"/>
      <c r="J1173" s="45" t="n"/>
      <c r="K1173" s="45" t="n"/>
      <c r="L1173" s="45" t="n"/>
      <c r="M1173" s="45" t="n"/>
      <c r="N1173" s="45" t="n"/>
      <c r="O1173" s="45" t="n"/>
    </row>
    <row r="1174" ht="16.5" customHeight="1" s="85">
      <c r="A1174" s="46" t="inlineStr">
        <is>
          <t>Sambhu</t>
        </is>
      </c>
      <c r="B1174" s="46" t="n">
        <v>9809872625</v>
      </c>
      <c r="C1174" s="46" t="inlineStr">
        <is>
          <t>Customer</t>
        </is>
      </c>
      <c r="D1174" s="46" t="inlineStr">
        <is>
          <t>₹ 0</t>
        </is>
      </c>
      <c r="E1174" s="45" t="n"/>
      <c r="F1174" s="45" t="n"/>
      <c r="G1174" s="45" t="n"/>
      <c r="H1174" s="45" t="n"/>
      <c r="I1174" s="45" t="n"/>
      <c r="J1174" s="45" t="n"/>
      <c r="K1174" s="45" t="n"/>
      <c r="L1174" s="45" t="n"/>
      <c r="M1174" s="45" t="n"/>
      <c r="N1174" s="45" t="n"/>
      <c r="O1174" s="45" t="n"/>
    </row>
    <row r="1175" ht="16.5" customHeight="1" s="85">
      <c r="A1175" s="46" t="inlineStr">
        <is>
          <t>C.L Verma</t>
        </is>
      </c>
      <c r="B1175" s="46" t="n">
        <v>9810867335</v>
      </c>
      <c r="C1175" s="46" t="inlineStr">
        <is>
          <t>Customer</t>
        </is>
      </c>
      <c r="D1175" s="46" t="inlineStr">
        <is>
          <t>₹ 0</t>
        </is>
      </c>
      <c r="E1175" s="45" t="n"/>
      <c r="F1175" s="45" t="n"/>
      <c r="G1175" s="45" t="n"/>
      <c r="H1175" s="45" t="n"/>
      <c r="I1175" s="45" t="n"/>
      <c r="J1175" s="45" t="n"/>
      <c r="K1175" s="45" t="n"/>
      <c r="L1175" s="45" t="n"/>
      <c r="M1175" s="45" t="n"/>
      <c r="N1175" s="45" t="n"/>
      <c r="O1175" s="45" t="n"/>
    </row>
    <row r="1176" ht="16.5" customHeight="1" s="85">
      <c r="A1176" s="46" t="inlineStr">
        <is>
          <t>Rajesh Chhetri 2022</t>
        </is>
      </c>
      <c r="B1176" s="46" t="n">
        <v>9811975291</v>
      </c>
      <c r="C1176" s="46" t="inlineStr">
        <is>
          <t>Customer</t>
        </is>
      </c>
      <c r="D1176" s="46" t="inlineStr">
        <is>
          <t>₹ 0</t>
        </is>
      </c>
      <c r="E1176" s="45" t="n"/>
      <c r="F1176" s="45" t="n"/>
      <c r="G1176" s="45" t="n"/>
      <c r="H1176" s="45" t="n"/>
      <c r="I1176" s="45" t="n"/>
      <c r="J1176" s="45" t="n"/>
      <c r="K1176" s="45" t="n"/>
      <c r="L1176" s="45" t="n"/>
      <c r="M1176" s="45" t="n"/>
      <c r="N1176" s="45" t="n"/>
      <c r="O1176" s="45" t="n"/>
    </row>
    <row r="1177" ht="16.5" customHeight="1" s="85">
      <c r="A1177" s="46" t="inlineStr">
        <is>
          <t>Ps, Rajesh Chetri</t>
        </is>
      </c>
      <c r="B1177" s="46" t="n">
        <v>9812927575</v>
      </c>
      <c r="C1177" s="46" t="inlineStr">
        <is>
          <t>Customer</t>
        </is>
      </c>
      <c r="D1177" s="46" t="inlineStr">
        <is>
          <t>₹ 0</t>
        </is>
      </c>
      <c r="E1177" s="45" t="n"/>
      <c r="F1177" s="45" t="n"/>
      <c r="G1177" s="45" t="n"/>
      <c r="H1177" s="45" t="n"/>
      <c r="I1177" s="45" t="n"/>
      <c r="J1177" s="45" t="n"/>
      <c r="K1177" s="45" t="n"/>
      <c r="L1177" s="45" t="n"/>
      <c r="M1177" s="45" t="n"/>
      <c r="N1177" s="45" t="n"/>
      <c r="O1177" s="45" t="n"/>
    </row>
    <row r="1178" ht="16.5" customHeight="1" s="85">
      <c r="A1178" s="46" t="inlineStr">
        <is>
          <t>Sarimol MNS Mess</t>
        </is>
      </c>
      <c r="B1178" s="46" t="n">
        <v>9815503393</v>
      </c>
      <c r="C1178" s="46" t="inlineStr">
        <is>
          <t>Customer</t>
        </is>
      </c>
      <c r="D1178" s="46" t="inlineStr">
        <is>
          <t>₹ 0</t>
        </is>
      </c>
      <c r="E1178" s="45" t="n"/>
      <c r="F1178" s="45" t="n"/>
      <c r="G1178" s="45" t="n"/>
      <c r="H1178" s="45" t="n"/>
      <c r="I1178" s="45" t="n"/>
      <c r="J1178" s="45" t="n"/>
      <c r="K1178" s="45" t="n"/>
      <c r="L1178" s="45" t="n"/>
      <c r="M1178" s="45" t="n"/>
      <c r="N1178" s="45" t="n"/>
      <c r="O1178" s="45" t="n"/>
    </row>
    <row r="1179" ht="16.5" customHeight="1" s="85">
      <c r="A1179" s="46" t="inlineStr">
        <is>
          <t>Bharat</t>
        </is>
      </c>
      <c r="B1179" s="46" t="n">
        <v>9818612882</v>
      </c>
      <c r="C1179" s="46" t="inlineStr">
        <is>
          <t>Customer</t>
        </is>
      </c>
      <c r="D1179" s="46" t="inlineStr">
        <is>
          <t>₹ 0</t>
        </is>
      </c>
      <c r="E1179" s="45" t="n"/>
      <c r="F1179" s="45" t="n"/>
      <c r="G1179" s="45" t="n"/>
      <c r="H1179" s="45" t="n"/>
      <c r="I1179" s="45" t="n"/>
      <c r="J1179" s="45" t="n"/>
      <c r="K1179" s="45" t="n"/>
      <c r="L1179" s="45" t="n"/>
      <c r="M1179" s="45" t="n"/>
      <c r="N1179" s="45" t="n"/>
      <c r="O1179" s="45" t="n"/>
    </row>
    <row r="1180" ht="16.5" customHeight="1" s="85">
      <c r="A1180" s="46" t="inlineStr">
        <is>
          <t>Niraj</t>
        </is>
      </c>
      <c r="B1180" s="46" t="n">
        <v>9820901703</v>
      </c>
      <c r="C1180" s="46" t="inlineStr">
        <is>
          <t>Customer</t>
        </is>
      </c>
      <c r="D1180" s="46" t="inlineStr">
        <is>
          <t>₹ 0</t>
        </is>
      </c>
      <c r="E1180" s="45" t="n"/>
      <c r="F1180" s="45" t="n"/>
      <c r="G1180" s="45" t="n"/>
      <c r="H1180" s="45" t="n"/>
      <c r="I1180" s="45" t="n"/>
      <c r="J1180" s="45" t="n"/>
      <c r="K1180" s="45" t="n"/>
      <c r="L1180" s="45" t="n"/>
      <c r="M1180" s="45" t="n"/>
      <c r="N1180" s="45" t="n"/>
      <c r="O1180" s="45" t="n"/>
    </row>
    <row r="1181" ht="16.5" customHeight="1" s="85">
      <c r="A1181" s="46" t="inlineStr">
        <is>
          <t>Ramsevak Bhojpuri</t>
        </is>
      </c>
      <c r="B1181" s="46" t="n">
        <v>9821026268</v>
      </c>
      <c r="C1181" s="46" t="inlineStr">
        <is>
          <t>Customer</t>
        </is>
      </c>
      <c r="D1181" s="46" t="inlineStr">
        <is>
          <t>₹ 0</t>
        </is>
      </c>
      <c r="E1181" s="45" t="n"/>
      <c r="F1181" s="45" t="n"/>
      <c r="G1181" s="45" t="n"/>
      <c r="H1181" s="45" t="n"/>
      <c r="I1181" s="45" t="n"/>
      <c r="J1181" s="45" t="n"/>
      <c r="K1181" s="45" t="n"/>
      <c r="L1181" s="45" t="n"/>
      <c r="M1181" s="45" t="n"/>
      <c r="N1181" s="45" t="n"/>
      <c r="O1181" s="45" t="n"/>
    </row>
    <row r="1182" ht="16.5" customHeight="1" s="85">
      <c r="A1182" s="46" t="inlineStr">
        <is>
          <t>Gyanshyam UC</t>
        </is>
      </c>
      <c r="B1182" s="46" t="n">
        <v>9832193323</v>
      </c>
      <c r="C1182" s="46" t="inlineStr">
        <is>
          <t>Customer</t>
        </is>
      </c>
      <c r="D1182" s="46" t="inlineStr">
        <is>
          <t>₹ 0</t>
        </is>
      </c>
      <c r="E1182" s="45" t="n"/>
      <c r="F1182" s="45" t="n"/>
      <c r="G1182" s="45" t="n"/>
      <c r="H1182" s="45" t="n"/>
      <c r="I1182" s="45" t="n"/>
      <c r="J1182" s="45" t="n"/>
      <c r="K1182" s="45" t="n"/>
      <c r="L1182" s="45" t="n"/>
      <c r="M1182" s="45" t="n"/>
      <c r="N1182" s="45" t="n"/>
      <c r="O1182" s="45" t="n"/>
    </row>
    <row r="1183" ht="16.5" customHeight="1" s="85">
      <c r="A1183" s="46" t="inlineStr">
        <is>
          <t>Bismaya</t>
        </is>
      </c>
      <c r="B1183" s="46" t="n">
        <v>9834254927</v>
      </c>
      <c r="C1183" s="46" t="inlineStr">
        <is>
          <t>Customer</t>
        </is>
      </c>
      <c r="D1183" s="46" t="inlineStr">
        <is>
          <t>₹ 0</t>
        </is>
      </c>
      <c r="E1183" s="45" t="n"/>
      <c r="F1183" s="45" t="n"/>
      <c r="G1183" s="45" t="n"/>
      <c r="H1183" s="45" t="n"/>
      <c r="I1183" s="45" t="n"/>
      <c r="J1183" s="45" t="n"/>
      <c r="K1183" s="45" t="n"/>
      <c r="L1183" s="45" t="n"/>
      <c r="M1183" s="45" t="n"/>
      <c r="N1183" s="45" t="n"/>
      <c r="O1183" s="45" t="n"/>
    </row>
    <row r="1184" ht="16.5" customHeight="1" s="85">
      <c r="A1184" s="46" t="inlineStr">
        <is>
          <t>Astha</t>
        </is>
      </c>
      <c r="B1184" s="46" t="n">
        <v>9838024131</v>
      </c>
      <c r="C1184" s="46" t="inlineStr">
        <is>
          <t>Customer</t>
        </is>
      </c>
      <c r="D1184" s="46" t="inlineStr">
        <is>
          <t>₹ 0</t>
        </is>
      </c>
      <c r="E1184" s="45" t="n"/>
      <c r="F1184" s="45" t="n"/>
      <c r="G1184" s="45" t="n"/>
      <c r="H1184" s="45" t="n"/>
      <c r="I1184" s="45" t="n"/>
      <c r="J1184" s="45" t="n"/>
      <c r="K1184" s="45" t="n"/>
      <c r="L1184" s="45" t="n"/>
      <c r="M1184" s="45" t="n"/>
      <c r="N1184" s="45" t="n"/>
      <c r="O1184" s="45" t="n"/>
    </row>
    <row r="1185" ht="16.5" customHeight="1" s="85">
      <c r="A1185" s="46" t="inlineStr">
        <is>
          <t>Aryan Varma</t>
        </is>
      </c>
      <c r="B1185" s="46" t="n">
        <v>9838150106</v>
      </c>
      <c r="C1185" s="46" t="inlineStr">
        <is>
          <t>Customer</t>
        </is>
      </c>
      <c r="D1185" s="46" t="inlineStr">
        <is>
          <t>₹ 0</t>
        </is>
      </c>
      <c r="E1185" s="45" t="n"/>
      <c r="F1185" s="45" t="n"/>
      <c r="G1185" s="45" t="n"/>
      <c r="H1185" s="45" t="n"/>
      <c r="I1185" s="45" t="n"/>
      <c r="J1185" s="45" t="n"/>
      <c r="K1185" s="45" t="n"/>
      <c r="L1185" s="45" t="n"/>
      <c r="M1185" s="45" t="n"/>
      <c r="N1185" s="45" t="n"/>
      <c r="O1185" s="45" t="n"/>
    </row>
    <row r="1186" ht="16.5" customHeight="1" s="85">
      <c r="A1186" s="46" t="inlineStr">
        <is>
          <t>S.M.i</t>
        </is>
      </c>
      <c r="B1186" s="46" t="n">
        <v>9838294981</v>
      </c>
      <c r="C1186" s="46" t="inlineStr">
        <is>
          <t>Customer</t>
        </is>
      </c>
      <c r="D1186" s="46" t="inlineStr">
        <is>
          <t>₹ 0</t>
        </is>
      </c>
      <c r="E1186" s="45" t="n"/>
      <c r="F1186" s="45" t="n"/>
      <c r="G1186" s="45" t="n"/>
      <c r="H1186" s="45" t="n"/>
      <c r="I1186" s="45" t="n"/>
      <c r="J1186" s="45" t="n"/>
      <c r="K1186" s="45" t="n"/>
      <c r="L1186" s="45" t="n"/>
      <c r="M1186" s="45" t="n"/>
      <c r="N1186" s="45" t="n"/>
      <c r="O1186" s="45" t="n"/>
    </row>
    <row r="1187" ht="16.5" customHeight="1" s="85">
      <c r="A1187" s="46" t="inlineStr">
        <is>
          <t>Kanak Mitra</t>
        </is>
      </c>
      <c r="B1187" s="46" t="n">
        <v>9838432703</v>
      </c>
      <c r="C1187" s="46" t="inlineStr">
        <is>
          <t>Customer</t>
        </is>
      </c>
      <c r="D1187" s="46" t="inlineStr">
        <is>
          <t>₹ 0</t>
        </is>
      </c>
      <c r="E1187" s="45" t="n"/>
      <c r="F1187" s="45" t="n"/>
      <c r="G1187" s="45" t="n"/>
      <c r="H1187" s="45" t="n"/>
      <c r="I1187" s="45" t="n"/>
      <c r="J1187" s="45" t="n"/>
      <c r="K1187" s="45" t="n"/>
      <c r="L1187" s="45" t="n"/>
      <c r="M1187" s="45" t="n"/>
      <c r="N1187" s="45" t="n"/>
      <c r="O1187" s="45" t="n"/>
    </row>
    <row r="1188" ht="16.5" customHeight="1" s="85">
      <c r="A1188" s="46" t="inlineStr">
        <is>
          <t>Ajay Masih</t>
        </is>
      </c>
      <c r="B1188" s="46" t="n">
        <v>9838506120</v>
      </c>
      <c r="C1188" s="46" t="inlineStr">
        <is>
          <t>Customer</t>
        </is>
      </c>
      <c r="D1188" s="46" t="inlineStr">
        <is>
          <t>₹ 0</t>
        </is>
      </c>
      <c r="E1188" s="45" t="n"/>
      <c r="F1188" s="45" t="n"/>
      <c r="G1188" s="45" t="n"/>
      <c r="H1188" s="45" t="n"/>
      <c r="I1188" s="45" t="n"/>
      <c r="J1188" s="45" t="n"/>
      <c r="K1188" s="45" t="n"/>
      <c r="L1188" s="45" t="n"/>
      <c r="M1188" s="45" t="n"/>
      <c r="N1188" s="45" t="n"/>
      <c r="O1188" s="45" t="n"/>
    </row>
    <row r="1189" ht="16.5" customHeight="1" s="85">
      <c r="A1189" s="46" t="inlineStr">
        <is>
          <t>Rajender Prashad</t>
        </is>
      </c>
      <c r="B1189" s="46" t="n">
        <v>9838528068</v>
      </c>
      <c r="C1189" s="46" t="inlineStr">
        <is>
          <t>Customer</t>
        </is>
      </c>
      <c r="D1189" s="46" t="inlineStr">
        <is>
          <t>₹ 0</t>
        </is>
      </c>
      <c r="E1189" s="45" t="n"/>
      <c r="F1189" s="45" t="n"/>
      <c r="G1189" s="45" t="n"/>
      <c r="H1189" s="45" t="n"/>
      <c r="I1189" s="45" t="n"/>
      <c r="J1189" s="45" t="n"/>
      <c r="K1189" s="45" t="n"/>
      <c r="L1189" s="45" t="n"/>
      <c r="M1189" s="45" t="n"/>
      <c r="N1189" s="45" t="n"/>
      <c r="O1189" s="45" t="n"/>
    </row>
    <row r="1190" ht="16.5" customHeight="1" s="85">
      <c r="A1190" s="46" t="inlineStr">
        <is>
          <t>Rajkumar</t>
        </is>
      </c>
      <c r="B1190" s="46" t="n">
        <v>9838645778</v>
      </c>
      <c r="C1190" s="46" t="inlineStr">
        <is>
          <t>Customer</t>
        </is>
      </c>
      <c r="D1190" s="46" t="inlineStr">
        <is>
          <t>₹ 0</t>
        </is>
      </c>
      <c r="E1190" s="45" t="n"/>
      <c r="F1190" s="45" t="n"/>
      <c r="G1190" s="45" t="n"/>
      <c r="H1190" s="45" t="n"/>
      <c r="I1190" s="45" t="n"/>
      <c r="J1190" s="45" t="n"/>
      <c r="K1190" s="45" t="n"/>
      <c r="L1190" s="45" t="n"/>
      <c r="M1190" s="45" t="n"/>
      <c r="N1190" s="45" t="n"/>
      <c r="O1190" s="45" t="n"/>
    </row>
    <row r="1191" ht="16.5" customHeight="1" s="85">
      <c r="A1191" s="46" t="inlineStr">
        <is>
          <t>anwar</t>
        </is>
      </c>
      <c r="B1191" s="46" t="n">
        <v>9838716134</v>
      </c>
      <c r="C1191" s="46" t="inlineStr">
        <is>
          <t>Customer</t>
        </is>
      </c>
      <c r="D1191" s="46" t="inlineStr">
        <is>
          <t>₹ 0</t>
        </is>
      </c>
      <c r="E1191" s="45" t="n"/>
      <c r="F1191" s="45" t="n"/>
      <c r="G1191" s="45" t="n"/>
      <c r="H1191" s="45" t="n"/>
      <c r="I1191" s="45" t="n"/>
      <c r="J1191" s="45" t="n"/>
      <c r="K1191" s="45" t="n"/>
      <c r="L1191" s="45" t="n"/>
      <c r="M1191" s="45" t="n"/>
      <c r="N1191" s="45" t="n"/>
      <c r="O1191" s="45" t="n"/>
    </row>
    <row r="1192" ht="16.5" customHeight="1" s="85">
      <c r="A1192" s="46" t="inlineStr">
        <is>
          <t>Anubhav Sharma</t>
        </is>
      </c>
      <c r="B1192" s="46" t="n">
        <v>9838839349</v>
      </c>
      <c r="C1192" s="46" t="inlineStr">
        <is>
          <t>Customer</t>
        </is>
      </c>
      <c r="D1192" s="46" t="inlineStr">
        <is>
          <t>₹ 0</t>
        </is>
      </c>
      <c r="E1192" s="45" t="n"/>
      <c r="F1192" s="45" t="n"/>
      <c r="G1192" s="45" t="n"/>
      <c r="H1192" s="45" t="n"/>
      <c r="I1192" s="45" t="n"/>
      <c r="J1192" s="45" t="n"/>
      <c r="K1192" s="45" t="n"/>
      <c r="L1192" s="45" t="n"/>
      <c r="M1192" s="45" t="n"/>
      <c r="N1192" s="45" t="n"/>
      <c r="O1192" s="45" t="n"/>
    </row>
    <row r="1193" ht="16.5" customHeight="1" s="85">
      <c r="A1193" s="46" t="inlineStr">
        <is>
          <t>A.K Vishwash</t>
        </is>
      </c>
      <c r="B1193" s="46" t="n">
        <v>9838925325</v>
      </c>
      <c r="C1193" s="46" t="inlineStr">
        <is>
          <t>Customer</t>
        </is>
      </c>
      <c r="D1193" s="46" t="inlineStr">
        <is>
          <t>₹ 0</t>
        </is>
      </c>
      <c r="E1193" s="45">
        <f>MATCH("Anna Cafe Maharajganj", A:A, 0)</f>
        <v/>
      </c>
      <c r="F1193" s="45" t="n"/>
      <c r="G1193" s="45" t="n"/>
      <c r="H1193" s="45" t="n"/>
      <c r="I1193" s="45" t="n"/>
      <c r="J1193" s="45" t="n"/>
      <c r="K1193" s="45" t="n"/>
      <c r="L1193" s="45" t="n"/>
      <c r="M1193" s="45" t="n"/>
      <c r="N1193" s="45" t="n"/>
      <c r="O1193" s="45" t="n"/>
    </row>
    <row r="1194" ht="16.5" customHeight="1" s="85">
      <c r="A1194" s="46" t="inlineStr">
        <is>
          <t>Kanhaya Lal Gupta</t>
        </is>
      </c>
      <c r="B1194" s="46" t="n">
        <v>9838948813</v>
      </c>
      <c r="C1194" s="46" t="inlineStr">
        <is>
          <t>Customer</t>
        </is>
      </c>
      <c r="D1194" s="46" t="inlineStr">
        <is>
          <t>₹ 0</t>
        </is>
      </c>
      <c r="E1194" s="45" t="n"/>
      <c r="F1194" s="45" t="n"/>
      <c r="G1194" s="45" t="n"/>
      <c r="H1194" s="45" t="n"/>
      <c r="I1194" s="45" t="n"/>
      <c r="J1194" s="45" t="n"/>
      <c r="K1194" s="45" t="n"/>
      <c r="L1194" s="45" t="n"/>
      <c r="M1194" s="45" t="n"/>
      <c r="N1194" s="45" t="n"/>
      <c r="O1194" s="45" t="n"/>
    </row>
    <row r="1195" ht="16.5" customHeight="1" s="85">
      <c r="A1195" s="46" t="inlineStr">
        <is>
          <t>Nasiruddin</t>
        </is>
      </c>
      <c r="B1195" s="46" t="n">
        <v>9839100359</v>
      </c>
      <c r="C1195" s="46" t="inlineStr">
        <is>
          <t>Customer</t>
        </is>
      </c>
      <c r="D1195" s="46" t="inlineStr">
        <is>
          <t>₹ 0</t>
        </is>
      </c>
      <c r="E1195" s="45" t="n"/>
      <c r="F1195" s="45" t="n"/>
      <c r="G1195" s="45" t="n"/>
      <c r="H1195" s="45" t="n"/>
      <c r="I1195" s="45" t="n"/>
      <c r="J1195" s="45" t="n"/>
      <c r="K1195" s="45" t="n"/>
      <c r="L1195" s="45" t="n"/>
      <c r="M1195" s="45" t="n"/>
      <c r="N1195" s="45" t="n"/>
      <c r="O1195" s="45" t="n"/>
    </row>
    <row r="1196" ht="16.5" customHeight="1" s="85">
      <c r="A1196" s="46" t="inlineStr">
        <is>
          <t>Williamhazkeal</t>
        </is>
      </c>
      <c r="B1196" s="46" t="n">
        <v>9839173043</v>
      </c>
      <c r="C1196" s="46" t="inlineStr">
        <is>
          <t>Customer</t>
        </is>
      </c>
      <c r="D1196" s="46" t="inlineStr">
        <is>
          <t>₹ 0</t>
        </is>
      </c>
      <c r="E1196" s="45" t="n"/>
      <c r="F1196" s="45" t="n"/>
      <c r="G1196" s="45" t="n"/>
      <c r="H1196" s="45" t="n"/>
      <c r="I1196" s="45" t="n"/>
      <c r="J1196" s="45" t="n"/>
      <c r="K1196" s="45" t="n"/>
      <c r="L1196" s="45" t="n"/>
      <c r="M1196" s="45" t="n"/>
      <c r="N1196" s="45" t="n"/>
      <c r="O1196" s="45" t="n"/>
    </row>
    <row r="1197" ht="16.5" customHeight="1" s="85">
      <c r="A1197" s="46" t="inlineStr">
        <is>
          <t>Robin</t>
        </is>
      </c>
      <c r="B1197" s="46" t="n">
        <v>9839245783</v>
      </c>
      <c r="C1197" s="46" t="inlineStr">
        <is>
          <t>Customer</t>
        </is>
      </c>
      <c r="D1197" s="46" t="inlineStr">
        <is>
          <t>₹ 0</t>
        </is>
      </c>
      <c r="E1197" s="45" t="n"/>
      <c r="F1197" s="45" t="n"/>
      <c r="G1197" s="45" t="n"/>
      <c r="H1197" s="45" t="n"/>
      <c r="I1197" s="45" t="n"/>
      <c r="J1197" s="45" t="n"/>
      <c r="K1197" s="45" t="n"/>
      <c r="L1197" s="45" t="n"/>
      <c r="M1197" s="45" t="n"/>
      <c r="N1197" s="45" t="n"/>
      <c r="O1197" s="45" t="n"/>
    </row>
    <row r="1198" ht="16.5" customHeight="1" s="85">
      <c r="A1198" s="46" t="inlineStr">
        <is>
          <t>Pr. Ani George Nanda Nagar</t>
        </is>
      </c>
      <c r="B1198" s="46" t="n">
        <v>9839280922</v>
      </c>
      <c r="C1198" s="46" t="inlineStr">
        <is>
          <t>Customer</t>
        </is>
      </c>
      <c r="D1198" s="46" t="inlineStr">
        <is>
          <t>₹ 0</t>
        </is>
      </c>
      <c r="E1198" s="45" t="n"/>
      <c r="F1198" s="45" t="n"/>
      <c r="G1198" s="45" t="n"/>
      <c r="H1198" s="45" t="n"/>
      <c r="I1198" s="45" t="n"/>
      <c r="J1198" s="45" t="n"/>
      <c r="K1198" s="45" t="n"/>
      <c r="L1198" s="45" t="n"/>
      <c r="M1198" s="45" t="n"/>
      <c r="N1198" s="45" t="n"/>
      <c r="O1198" s="45" t="n"/>
    </row>
    <row r="1199" ht="16.5" customHeight="1" s="85">
      <c r="A1199" s="46" t="inlineStr">
        <is>
          <t>Lst Convent Khorabar</t>
        </is>
      </c>
      <c r="B1199" s="46" t="n">
        <v>9839693949</v>
      </c>
      <c r="C1199" s="46" t="inlineStr">
        <is>
          <t>Customer</t>
        </is>
      </c>
      <c r="D1199" s="46" t="inlineStr">
        <is>
          <t>₹ 0</t>
        </is>
      </c>
      <c r="E1199" s="45" t="n"/>
      <c r="F1199" s="45" t="n"/>
      <c r="G1199" s="45" t="n"/>
      <c r="H1199" s="45" t="n"/>
      <c r="I1199" s="45" t="n"/>
      <c r="J1199" s="45" t="n"/>
      <c r="K1199" s="45" t="n"/>
      <c r="L1199" s="45" t="n"/>
      <c r="M1199" s="45" t="n"/>
      <c r="N1199" s="45" t="n"/>
      <c r="O1199" s="45" t="n"/>
    </row>
    <row r="1200" ht="16.5" customHeight="1" s="85">
      <c r="A1200" s="46" t="inlineStr">
        <is>
          <t>Narendra Tirpathi</t>
        </is>
      </c>
      <c r="B1200" s="46" t="n">
        <v>9839777784</v>
      </c>
      <c r="C1200" s="46" t="inlineStr">
        <is>
          <t>Customer</t>
        </is>
      </c>
      <c r="D1200" s="46" t="inlineStr">
        <is>
          <t>₹ 0</t>
        </is>
      </c>
      <c r="E1200" s="45" t="n"/>
      <c r="F1200" s="45" t="n"/>
      <c r="G1200" s="45" t="n"/>
      <c r="H1200" s="45" t="n"/>
      <c r="I1200" s="45" t="n"/>
      <c r="J1200" s="45" t="n"/>
      <c r="K1200" s="45" t="n"/>
      <c r="L1200" s="45" t="n"/>
      <c r="M1200" s="45" t="n"/>
      <c r="N1200" s="45" t="n"/>
      <c r="O1200" s="45" t="n"/>
    </row>
    <row r="1201" ht="16.5" customHeight="1" s="85">
      <c r="A1201" s="46" t="inlineStr">
        <is>
          <t>Depali</t>
        </is>
      </c>
      <c r="B1201" s="46" t="n">
        <v>9839937388</v>
      </c>
      <c r="C1201" s="46" t="inlineStr">
        <is>
          <t>Customer</t>
        </is>
      </c>
      <c r="D1201" s="46" t="inlineStr">
        <is>
          <t>₹ 0</t>
        </is>
      </c>
      <c r="E1201" s="45" t="n"/>
      <c r="F1201" s="45" t="n"/>
      <c r="G1201" s="45" t="n"/>
      <c r="H1201" s="45" t="n"/>
      <c r="I1201" s="45" t="n"/>
      <c r="J1201" s="45" t="n"/>
      <c r="K1201" s="45" t="n"/>
      <c r="L1201" s="45" t="n"/>
      <c r="M1201" s="45" t="n"/>
      <c r="N1201" s="45" t="n"/>
      <c r="O1201" s="45" t="n"/>
    </row>
    <row r="1202" ht="16.5" customHeight="1" s="85">
      <c r="A1202" s="46" t="inlineStr">
        <is>
          <t>Nargis</t>
        </is>
      </c>
      <c r="B1202" s="46" t="n">
        <v>9839946515</v>
      </c>
      <c r="C1202" s="46" t="inlineStr">
        <is>
          <t>Customer</t>
        </is>
      </c>
      <c r="D1202" s="46" t="inlineStr">
        <is>
          <t>₹ 0</t>
        </is>
      </c>
      <c r="E1202" s="45" t="n"/>
      <c r="F1202" s="45" t="n"/>
      <c r="G1202" s="45" t="n"/>
      <c r="H1202" s="45" t="n"/>
      <c r="I1202" s="45" t="n"/>
      <c r="J1202" s="45" t="n"/>
      <c r="K1202" s="45" t="n"/>
      <c r="L1202" s="45" t="n"/>
      <c r="M1202" s="45" t="n"/>
      <c r="N1202" s="45" t="n"/>
      <c r="O1202" s="45" t="n"/>
    </row>
    <row r="1203" ht="16.5" customHeight="1" s="85">
      <c r="A1203" s="46" t="inlineStr">
        <is>
          <t>Dilip Malayali</t>
        </is>
      </c>
      <c r="B1203" s="46" t="n">
        <v>9843399222</v>
      </c>
      <c r="C1203" s="46" t="inlineStr">
        <is>
          <t>Customer</t>
        </is>
      </c>
      <c r="D1203" s="46" t="inlineStr">
        <is>
          <t>₹ 0</t>
        </is>
      </c>
      <c r="E1203" s="45" t="n"/>
      <c r="F1203" s="45" t="n"/>
      <c r="G1203" s="45" t="n"/>
      <c r="H1203" s="45" t="n"/>
      <c r="I1203" s="45" t="n"/>
      <c r="J1203" s="45" t="n"/>
      <c r="K1203" s="45" t="n"/>
      <c r="L1203" s="45" t="n"/>
      <c r="M1203" s="45" t="n"/>
      <c r="N1203" s="45" t="n"/>
      <c r="O1203" s="45" t="n"/>
    </row>
    <row r="1204" ht="16.5" customHeight="1" s="85">
      <c r="A1204" s="46" t="inlineStr">
        <is>
          <t>Afeel</t>
        </is>
      </c>
      <c r="B1204" s="46" t="n">
        <v>9846587947</v>
      </c>
      <c r="C1204" s="46" t="inlineStr">
        <is>
          <t>Customer</t>
        </is>
      </c>
      <c r="D1204" s="46" t="inlineStr">
        <is>
          <t>₹ 0</t>
        </is>
      </c>
      <c r="E1204" s="45" t="n"/>
      <c r="F1204" s="45" t="n"/>
      <c r="G1204" s="45" t="n"/>
      <c r="H1204" s="45" t="n"/>
      <c r="I1204" s="45" t="n"/>
      <c r="J1204" s="45" t="n"/>
      <c r="K1204" s="45" t="n"/>
      <c r="L1204" s="45" t="n"/>
      <c r="M1204" s="45" t="n"/>
      <c r="N1204" s="45" t="n"/>
      <c r="O1204" s="45" t="n"/>
    </row>
    <row r="1205" ht="16.5" customHeight="1" s="85">
      <c r="A1205" s="46" t="inlineStr">
        <is>
          <t>Ratish</t>
        </is>
      </c>
      <c r="B1205" s="46" t="n">
        <v>9846628675</v>
      </c>
      <c r="C1205" s="46" t="inlineStr">
        <is>
          <t>Customer</t>
        </is>
      </c>
      <c r="D1205" s="46" t="inlineStr">
        <is>
          <t>₹ 0</t>
        </is>
      </c>
      <c r="E1205" s="45" t="n"/>
      <c r="F1205" s="45" t="n"/>
      <c r="G1205" s="45" t="n"/>
      <c r="H1205" s="45" t="n"/>
      <c r="I1205" s="45" t="n"/>
      <c r="J1205" s="45" t="n"/>
      <c r="K1205" s="45" t="n"/>
      <c r="L1205" s="45" t="n"/>
      <c r="M1205" s="45" t="n"/>
      <c r="N1205" s="45" t="n"/>
      <c r="O1205" s="45" t="n"/>
    </row>
    <row r="1206" ht="16.5" customHeight="1" s="85">
      <c r="A1206" s="46" t="inlineStr">
        <is>
          <t>manoj kumar For Kerala Store</t>
        </is>
      </c>
      <c r="B1206" s="46" t="n">
        <v>9847115582</v>
      </c>
      <c r="C1206" s="46" t="inlineStr">
        <is>
          <t>Customer</t>
        </is>
      </c>
      <c r="D1206" s="46" t="inlineStr">
        <is>
          <t>₹ 0</t>
        </is>
      </c>
      <c r="E1206" s="45" t="n"/>
      <c r="F1206" s="45" t="n"/>
      <c r="G1206" s="45" t="n"/>
      <c r="H1206" s="45" t="n"/>
      <c r="I1206" s="45" t="n"/>
      <c r="J1206" s="45" t="n"/>
      <c r="K1206" s="45" t="n"/>
      <c r="L1206" s="45" t="n"/>
      <c r="M1206" s="45" t="n"/>
      <c r="N1206" s="45" t="n"/>
      <c r="O1206" s="45" t="n"/>
    </row>
    <row r="1207" ht="16.5" customHeight="1" s="85">
      <c r="A1207" s="46" t="inlineStr">
        <is>
          <t>Jeffin</t>
        </is>
      </c>
      <c r="B1207" s="46" t="n">
        <v>9847580191</v>
      </c>
      <c r="C1207" s="46" t="inlineStr">
        <is>
          <t>Customer</t>
        </is>
      </c>
      <c r="D1207" s="46" t="inlineStr">
        <is>
          <t>₹ 0</t>
        </is>
      </c>
      <c r="E1207" s="45" t="n"/>
      <c r="F1207" s="45" t="n"/>
      <c r="G1207" s="45" t="n"/>
      <c r="H1207" s="45" t="n"/>
      <c r="I1207" s="45" t="n"/>
      <c r="J1207" s="45" t="n"/>
      <c r="K1207" s="45" t="n"/>
      <c r="L1207" s="45" t="n"/>
      <c r="M1207" s="45" t="n"/>
      <c r="N1207" s="45" t="n"/>
      <c r="O1207" s="45" t="n"/>
    </row>
    <row r="1208" ht="16.5" customHeight="1" s="85">
      <c r="A1208" s="46" t="inlineStr">
        <is>
          <t>Akhilesh Malayali</t>
        </is>
      </c>
      <c r="B1208" s="46" t="n">
        <v>9847614989</v>
      </c>
      <c r="C1208" s="46" t="inlineStr">
        <is>
          <t>Customer</t>
        </is>
      </c>
      <c r="D1208" s="46" t="inlineStr">
        <is>
          <t>₹ 0</t>
        </is>
      </c>
      <c r="E1208" s="45" t="n"/>
      <c r="F1208" s="45" t="n"/>
      <c r="G1208" s="45" t="n"/>
      <c r="H1208" s="45" t="n"/>
      <c r="I1208" s="45" t="n"/>
      <c r="J1208" s="45" t="n"/>
      <c r="K1208" s="45" t="n"/>
      <c r="L1208" s="45" t="n"/>
      <c r="M1208" s="45" t="n"/>
      <c r="N1208" s="45" t="n"/>
      <c r="O1208" s="45" t="n"/>
    </row>
    <row r="1209" ht="16.5" customHeight="1" s="85">
      <c r="A1209" s="46" t="inlineStr">
        <is>
          <t>Ram Prasad</t>
        </is>
      </c>
      <c r="B1209" s="46" t="n">
        <v>9867321880</v>
      </c>
      <c r="C1209" s="46" t="inlineStr">
        <is>
          <t>Customer</t>
        </is>
      </c>
      <c r="D1209" s="46" t="inlineStr">
        <is>
          <t>₹ 0</t>
        </is>
      </c>
      <c r="E1209" s="45" t="n"/>
      <c r="F1209" s="45" t="n"/>
      <c r="G1209" s="45" t="n"/>
      <c r="H1209" s="45" t="n"/>
      <c r="I1209" s="45" t="n"/>
      <c r="J1209" s="45" t="n"/>
      <c r="K1209" s="45" t="n"/>
      <c r="L1209" s="45" t="n"/>
      <c r="M1209" s="45" t="n"/>
      <c r="N1209" s="45" t="n"/>
      <c r="O1209" s="45" t="n"/>
    </row>
    <row r="1210" ht="16.5" customHeight="1" s="85">
      <c r="A1210" s="46" t="inlineStr">
        <is>
          <t>Dipankar Mishra</t>
        </is>
      </c>
      <c r="B1210" s="46" t="n">
        <v>9868325053</v>
      </c>
      <c r="C1210" s="46" t="inlineStr">
        <is>
          <t>Customer</t>
        </is>
      </c>
      <c r="D1210" s="46" t="inlineStr">
        <is>
          <t>₹ 0</t>
        </is>
      </c>
      <c r="E1210" s="45" t="n"/>
      <c r="F1210" s="45" t="n"/>
      <c r="G1210" s="45" t="n"/>
      <c r="H1210" s="45" t="n"/>
      <c r="I1210" s="45" t="n"/>
      <c r="J1210" s="45" t="n"/>
      <c r="K1210" s="45" t="n"/>
      <c r="L1210" s="45" t="n"/>
      <c r="M1210" s="45" t="n"/>
      <c r="N1210" s="45" t="n"/>
      <c r="O1210" s="45" t="n"/>
    </row>
    <row r="1211" ht="16.5" customHeight="1" s="85">
      <c r="A1211" s="46" t="inlineStr">
        <is>
          <t>Muthu</t>
        </is>
      </c>
      <c r="B1211" s="46" t="n">
        <v>9871063867</v>
      </c>
      <c r="C1211" s="46" t="inlineStr">
        <is>
          <t>Customer</t>
        </is>
      </c>
      <c r="D1211" s="46" t="inlineStr">
        <is>
          <t>₹ 0</t>
        </is>
      </c>
      <c r="E1211" s="45" t="n"/>
      <c r="F1211" s="45" t="n"/>
      <c r="G1211" s="45" t="n"/>
      <c r="H1211" s="45" t="n"/>
      <c r="I1211" s="45" t="n"/>
      <c r="J1211" s="45" t="n"/>
      <c r="K1211" s="45" t="n"/>
      <c r="L1211" s="45" t="n"/>
      <c r="M1211" s="45" t="n"/>
      <c r="N1211" s="45" t="n"/>
      <c r="O1211" s="45" t="n"/>
    </row>
    <row r="1212" ht="16.5" customHeight="1" s="85">
      <c r="A1212" s="46" t="inlineStr">
        <is>
          <t>Rajiv Das</t>
        </is>
      </c>
      <c r="B1212" s="46" t="n">
        <v>9871928435</v>
      </c>
      <c r="C1212" s="46" t="inlineStr">
        <is>
          <t>Customer</t>
        </is>
      </c>
      <c r="D1212" s="46" t="inlineStr">
        <is>
          <t>₹ 0</t>
        </is>
      </c>
      <c r="E1212" s="45" t="n"/>
      <c r="F1212" s="45" t="n"/>
      <c r="G1212" s="45" t="n"/>
      <c r="H1212" s="45" t="n"/>
      <c r="I1212" s="45" t="n"/>
      <c r="J1212" s="45" t="n"/>
      <c r="K1212" s="45" t="n"/>
      <c r="L1212" s="45" t="n"/>
      <c r="M1212" s="45" t="n"/>
      <c r="N1212" s="45" t="n"/>
      <c r="O1212" s="45" t="n"/>
    </row>
    <row r="1213" ht="16.5" customHeight="1" s="85">
      <c r="A1213" s="46" t="inlineStr">
        <is>
          <t>Banjamin</t>
        </is>
      </c>
      <c r="B1213" s="46" t="n">
        <v>9872002548</v>
      </c>
      <c r="C1213" s="46" t="inlineStr">
        <is>
          <t>Customer</t>
        </is>
      </c>
      <c r="D1213" s="46" t="inlineStr">
        <is>
          <t>₹ 0</t>
        </is>
      </c>
      <c r="E1213" s="45" t="n"/>
      <c r="F1213" s="45" t="n"/>
      <c r="G1213" s="45" t="n"/>
      <c r="H1213" s="45" t="n"/>
      <c r="I1213" s="45" t="n"/>
      <c r="J1213" s="45" t="n"/>
      <c r="K1213" s="45" t="n"/>
      <c r="L1213" s="45" t="n"/>
      <c r="M1213" s="45" t="n"/>
      <c r="N1213" s="45" t="n"/>
      <c r="O1213" s="45" t="n"/>
    </row>
    <row r="1214" ht="16.5" customHeight="1" s="85">
      <c r="A1214" s="46" t="inlineStr">
        <is>
          <t>Anutosh</t>
        </is>
      </c>
      <c r="B1214" s="46" t="n">
        <v>9873242382</v>
      </c>
      <c r="C1214" s="46" t="inlineStr">
        <is>
          <t>Customer</t>
        </is>
      </c>
      <c r="D1214" s="46" t="inlineStr">
        <is>
          <t>₹ 0</t>
        </is>
      </c>
      <c r="E1214" s="45" t="n"/>
      <c r="F1214" s="45" t="n"/>
      <c r="G1214" s="45" t="n"/>
      <c r="H1214" s="45" t="n"/>
      <c r="I1214" s="45" t="n"/>
      <c r="J1214" s="45" t="n"/>
      <c r="K1214" s="45" t="n"/>
      <c r="L1214" s="45" t="n"/>
      <c r="M1214" s="45" t="n"/>
      <c r="N1214" s="45" t="n"/>
      <c r="O1214" s="45" t="n"/>
    </row>
    <row r="1215" ht="16.5" customHeight="1" s="85">
      <c r="A1215" s="46" t="inlineStr">
        <is>
          <t>Sagar</t>
        </is>
      </c>
      <c r="B1215" s="46" t="n">
        <v>9880722413</v>
      </c>
      <c r="C1215" s="46" t="inlineStr">
        <is>
          <t>Customer</t>
        </is>
      </c>
      <c r="D1215" s="46" t="inlineStr">
        <is>
          <t>₹ 0</t>
        </is>
      </c>
      <c r="E1215" s="45" t="n"/>
      <c r="F1215" s="45" t="n"/>
      <c r="G1215" s="45" t="n"/>
      <c r="H1215" s="45" t="n"/>
      <c r="I1215" s="45" t="n"/>
      <c r="J1215" s="45" t="n"/>
      <c r="K1215" s="45" t="n"/>
      <c r="L1215" s="45" t="n"/>
      <c r="M1215" s="45" t="n"/>
      <c r="N1215" s="45" t="n"/>
      <c r="O1215" s="45" t="n"/>
    </row>
    <row r="1216" ht="16.5" customHeight="1" s="85">
      <c r="A1216" s="46" t="inlineStr">
        <is>
          <t>Shamili Mam Navjeevan</t>
        </is>
      </c>
      <c r="B1216" s="46" t="n">
        <v>9886203250</v>
      </c>
      <c r="C1216" s="46" t="inlineStr">
        <is>
          <t>Customer</t>
        </is>
      </c>
      <c r="D1216" s="46" t="inlineStr">
        <is>
          <t>₹ 0</t>
        </is>
      </c>
      <c r="E1216" s="45" t="n"/>
      <c r="F1216" s="45" t="n"/>
      <c r="G1216" s="45" t="n"/>
      <c r="H1216" s="45" t="n"/>
      <c r="I1216" s="45" t="n"/>
      <c r="J1216" s="45" t="n"/>
      <c r="K1216" s="45" t="n"/>
      <c r="L1216" s="45" t="n"/>
      <c r="M1216" s="45" t="n"/>
      <c r="N1216" s="45" t="n"/>
      <c r="O1216" s="45" t="n"/>
    </row>
    <row r="1217" ht="16.5" customHeight="1" s="85">
      <c r="A1217" s="46" t="inlineStr">
        <is>
          <t>Joshi</t>
        </is>
      </c>
      <c r="B1217" s="46" t="n">
        <v>9889411335</v>
      </c>
      <c r="C1217" s="46" t="inlineStr">
        <is>
          <t>Customer</t>
        </is>
      </c>
      <c r="D1217" s="46" t="inlineStr">
        <is>
          <t>₹ 0</t>
        </is>
      </c>
      <c r="E1217" s="45" t="n"/>
      <c r="F1217" s="45" t="n"/>
      <c r="G1217" s="45" t="n"/>
      <c r="H1217" s="45" t="n"/>
      <c r="I1217" s="45" t="n"/>
      <c r="J1217" s="45" t="n"/>
      <c r="K1217" s="45" t="n"/>
      <c r="L1217" s="45" t="n"/>
      <c r="M1217" s="45" t="n"/>
      <c r="N1217" s="45" t="n"/>
      <c r="O1217" s="45" t="n"/>
    </row>
    <row r="1218" ht="16.5" customHeight="1" s="85">
      <c r="A1218" s="46" t="inlineStr">
        <is>
          <t>Awdhesh</t>
        </is>
      </c>
      <c r="B1218" s="46" t="n">
        <v>9889693064</v>
      </c>
      <c r="C1218" s="46" t="inlineStr">
        <is>
          <t>Customer</t>
        </is>
      </c>
      <c r="D1218" s="46" t="inlineStr">
        <is>
          <t>₹ 0</t>
        </is>
      </c>
      <c r="E1218" s="45" t="n"/>
      <c r="F1218" s="45" t="n"/>
      <c r="G1218" s="45" t="n"/>
      <c r="H1218" s="45" t="n"/>
      <c r="I1218" s="45" t="n"/>
      <c r="J1218" s="45" t="n"/>
      <c r="K1218" s="45" t="n"/>
      <c r="L1218" s="45" t="n"/>
      <c r="M1218" s="45" t="n"/>
      <c r="N1218" s="45" t="n"/>
      <c r="O1218" s="45" t="n"/>
    </row>
    <row r="1219" ht="16.5" customHeight="1" s="85">
      <c r="A1219" s="46" t="inlineStr">
        <is>
          <t>Baiju Malayalee Joseph</t>
        </is>
      </c>
      <c r="B1219" s="46" t="n">
        <v>9889728482</v>
      </c>
      <c r="C1219" s="46" t="inlineStr">
        <is>
          <t>Customer</t>
        </is>
      </c>
      <c r="D1219" s="46" t="inlineStr">
        <is>
          <t>₹ 0</t>
        </is>
      </c>
      <c r="E1219" s="45" t="n"/>
      <c r="F1219" s="45" t="n"/>
      <c r="G1219" s="45" t="n"/>
      <c r="H1219" s="45" t="n"/>
      <c r="I1219" s="45" t="n"/>
      <c r="J1219" s="45" t="n"/>
      <c r="K1219" s="45" t="n"/>
      <c r="L1219" s="45" t="n"/>
      <c r="M1219" s="45" t="n"/>
      <c r="N1219" s="45" t="n"/>
      <c r="O1219" s="45" t="n"/>
    </row>
    <row r="1220" ht="16.5" customHeight="1" s="85">
      <c r="A1220" s="46" t="inlineStr">
        <is>
          <t>Durgesh Kumar</t>
        </is>
      </c>
      <c r="B1220" s="46" t="n">
        <v>9889728990</v>
      </c>
      <c r="C1220" s="46" t="inlineStr">
        <is>
          <t>Customer</t>
        </is>
      </c>
      <c r="D1220" s="46" t="inlineStr">
        <is>
          <t>₹ 0</t>
        </is>
      </c>
      <c r="E1220" s="45" t="n"/>
      <c r="F1220" s="45" t="n"/>
      <c r="G1220" s="45" t="n"/>
      <c r="H1220" s="45" t="n"/>
      <c r="I1220" s="45" t="n"/>
      <c r="J1220" s="45" t="n"/>
      <c r="K1220" s="45" t="n"/>
      <c r="L1220" s="45" t="n"/>
      <c r="M1220" s="45" t="n"/>
      <c r="N1220" s="45" t="n"/>
      <c r="O1220" s="45" t="n"/>
    </row>
    <row r="1221" ht="16.5" customHeight="1" s="85">
      <c r="A1221" s="46" t="inlineStr">
        <is>
          <t>Nitesh Yadav</t>
        </is>
      </c>
      <c r="B1221" s="46" t="n">
        <v>9889732138</v>
      </c>
      <c r="C1221" s="46" t="inlineStr">
        <is>
          <t>Customer</t>
        </is>
      </c>
      <c r="D1221" s="46" t="inlineStr">
        <is>
          <t>₹ 0</t>
        </is>
      </c>
      <c r="E1221" s="45" t="n"/>
      <c r="F1221" s="45" t="n"/>
      <c r="G1221" s="45" t="n"/>
      <c r="H1221" s="45" t="n"/>
      <c r="I1221" s="45" t="n"/>
      <c r="J1221" s="45" t="n"/>
      <c r="K1221" s="45" t="n"/>
      <c r="L1221" s="45" t="n"/>
      <c r="M1221" s="45" t="n"/>
      <c r="N1221" s="45" t="n"/>
      <c r="O1221" s="45" t="n"/>
    </row>
    <row r="1222" ht="16.5" customHeight="1" s="85">
      <c r="A1222" s="46" t="inlineStr">
        <is>
          <t>Suresh Kumar</t>
        </is>
      </c>
      <c r="B1222" s="46" t="n">
        <v>9889784781</v>
      </c>
      <c r="C1222" s="46" t="inlineStr">
        <is>
          <t>Customer</t>
        </is>
      </c>
      <c r="D1222" s="46" t="inlineStr">
        <is>
          <t>₹ 0</t>
        </is>
      </c>
      <c r="E1222" s="45" t="n"/>
      <c r="F1222" s="45" t="n"/>
      <c r="G1222" s="45" t="n"/>
      <c r="H1222" s="45" t="n"/>
      <c r="I1222" s="45" t="n"/>
      <c r="J1222" s="45" t="n"/>
      <c r="K1222" s="45" t="n"/>
      <c r="L1222" s="45" t="n"/>
      <c r="M1222" s="45" t="n"/>
      <c r="N1222" s="45" t="n"/>
      <c r="O1222" s="45" t="n"/>
    </row>
    <row r="1223" ht="16.5" customHeight="1" s="85">
      <c r="A1223" s="46" t="inlineStr">
        <is>
          <t>Abin Mathew</t>
        </is>
      </c>
      <c r="B1223" s="46" t="n">
        <v>9889810908</v>
      </c>
      <c r="C1223" s="46" t="inlineStr">
        <is>
          <t>Customer</t>
        </is>
      </c>
      <c r="D1223" s="46" t="inlineStr">
        <is>
          <t>₹ 0</t>
        </is>
      </c>
      <c r="E1223" s="45" t="n"/>
      <c r="F1223" s="45" t="n"/>
      <c r="G1223" s="45" t="n"/>
      <c r="H1223" s="45" t="n"/>
      <c r="I1223" s="45" t="n"/>
      <c r="J1223" s="45" t="n"/>
      <c r="K1223" s="45" t="n"/>
      <c r="L1223" s="45" t="n"/>
      <c r="M1223" s="45" t="n"/>
      <c r="N1223" s="45" t="n"/>
      <c r="O1223" s="45" t="n"/>
    </row>
    <row r="1224" ht="16.5" customHeight="1" s="85">
      <c r="A1224" s="46" t="inlineStr">
        <is>
          <t>George</t>
        </is>
      </c>
      <c r="B1224" s="46" t="n">
        <v>9889887203</v>
      </c>
      <c r="C1224" s="46" t="inlineStr">
        <is>
          <t>Customer</t>
        </is>
      </c>
      <c r="D1224" s="46" t="inlineStr">
        <is>
          <t>₹ 0</t>
        </is>
      </c>
      <c r="E1224" s="45" t="n"/>
      <c r="F1224" s="45" t="n"/>
      <c r="G1224" s="45" t="n"/>
      <c r="H1224" s="45" t="n"/>
      <c r="I1224" s="45" t="n"/>
      <c r="J1224" s="45" t="n"/>
      <c r="K1224" s="45" t="n"/>
      <c r="L1224" s="45" t="n"/>
      <c r="M1224" s="45" t="n"/>
      <c r="N1224" s="45" t="n"/>
      <c r="O1224" s="45" t="n"/>
    </row>
    <row r="1225" ht="16.5" customHeight="1" s="85">
      <c r="A1225" s="46" t="inlineStr">
        <is>
          <t>Biju VC, Grace Kerala Academy</t>
        </is>
      </c>
      <c r="B1225" s="46" t="n">
        <v>9889900701</v>
      </c>
      <c r="C1225" s="46" t="inlineStr">
        <is>
          <t>Customer</t>
        </is>
      </c>
      <c r="D1225" s="46" t="inlineStr">
        <is>
          <t>₹ 0</t>
        </is>
      </c>
      <c r="E1225" s="45" t="n"/>
      <c r="F1225" s="45" t="n"/>
      <c r="G1225" s="45" t="n"/>
      <c r="H1225" s="45" t="n"/>
      <c r="I1225" s="45" t="n"/>
      <c r="J1225" s="45" t="n"/>
      <c r="K1225" s="45" t="n"/>
      <c r="L1225" s="45" t="n"/>
      <c r="M1225" s="45" t="n"/>
      <c r="N1225" s="45" t="n"/>
      <c r="O1225" s="45" t="n"/>
    </row>
    <row r="1226" ht="16.5" customHeight="1" s="85">
      <c r="A1226" s="46" t="inlineStr">
        <is>
          <t>BSI ALD</t>
        </is>
      </c>
      <c r="B1226" s="46" t="n">
        <v>9889922213</v>
      </c>
      <c r="C1226" s="46" t="inlineStr">
        <is>
          <t>Supplier</t>
        </is>
      </c>
      <c r="D1226" s="46" t="inlineStr">
        <is>
          <t>₹ 0</t>
        </is>
      </c>
      <c r="E1226" s="45" t="n"/>
      <c r="F1226" s="45" t="n"/>
      <c r="G1226" s="45" t="n"/>
      <c r="H1226" s="45" t="n"/>
      <c r="I1226" s="45" t="n"/>
      <c r="J1226" s="45" t="n"/>
      <c r="K1226" s="45" t="n"/>
      <c r="L1226" s="45" t="n"/>
      <c r="M1226" s="45" t="n"/>
      <c r="N1226" s="45" t="n"/>
      <c r="O1226" s="45" t="n"/>
    </row>
    <row r="1227" ht="16.5" customHeight="1" s="85">
      <c r="A1227" s="46" t="inlineStr">
        <is>
          <t>Fishwala Delhi</t>
        </is>
      </c>
      <c r="B1227" s="46" t="n">
        <v>9891985633</v>
      </c>
      <c r="C1227" s="46" t="inlineStr">
        <is>
          <t>Supplier</t>
        </is>
      </c>
      <c r="D1227" s="46" t="inlineStr">
        <is>
          <t>₹ 30,930</t>
        </is>
      </c>
      <c r="E1227" s="45" t="n"/>
      <c r="F1227" s="45" t="n"/>
      <c r="G1227" s="45" t="n"/>
      <c r="H1227" s="45" t="n"/>
      <c r="I1227" s="45" t="n"/>
      <c r="J1227" s="45" t="n"/>
      <c r="K1227" s="45" t="n"/>
      <c r="L1227" s="45" t="n"/>
      <c r="M1227" s="45" t="n"/>
      <c r="N1227" s="45" t="n"/>
      <c r="O1227" s="45" t="n"/>
    </row>
    <row r="1228" ht="16.5" customHeight="1" s="85">
      <c r="A1228" s="46" t="inlineStr">
        <is>
          <t>Arjun Gaud</t>
        </is>
      </c>
      <c r="B1228" s="46" t="n">
        <v>9892151374</v>
      </c>
      <c r="C1228" s="46" t="inlineStr">
        <is>
          <t>Customer</t>
        </is>
      </c>
      <c r="D1228" s="46" t="inlineStr">
        <is>
          <t>₹ 0</t>
        </is>
      </c>
      <c r="E1228" s="45" t="n"/>
      <c r="F1228" s="45" t="n"/>
      <c r="G1228" s="45" t="n"/>
      <c r="H1228" s="45" t="n"/>
      <c r="I1228" s="45" t="n"/>
      <c r="J1228" s="45" t="n"/>
      <c r="K1228" s="45" t="n"/>
      <c r="L1228" s="45" t="n"/>
      <c r="M1228" s="45" t="n"/>
      <c r="N1228" s="45" t="n"/>
      <c r="O1228" s="45" t="n"/>
    </row>
    <row r="1229" ht="16.5" customHeight="1" s="85">
      <c r="A1229" s="46" t="inlineStr">
        <is>
          <t>Akhil</t>
        </is>
      </c>
      <c r="B1229" s="46" t="n">
        <v>9895065658</v>
      </c>
      <c r="C1229" s="46" t="inlineStr">
        <is>
          <t>Customer</t>
        </is>
      </c>
      <c r="D1229" s="46" t="inlineStr">
        <is>
          <t>₹ 0</t>
        </is>
      </c>
      <c r="E1229" s="45" t="n"/>
      <c r="F1229" s="45" t="n"/>
      <c r="G1229" s="45" t="n"/>
      <c r="H1229" s="45" t="n"/>
      <c r="I1229" s="45" t="n"/>
      <c r="J1229" s="45" t="n"/>
      <c r="K1229" s="45" t="n"/>
      <c r="L1229" s="45" t="n"/>
      <c r="M1229" s="45" t="n"/>
      <c r="N1229" s="45" t="n"/>
      <c r="O1229" s="45" t="n"/>
    </row>
    <row r="1230" ht="16.5" customHeight="1" s="85">
      <c r="A1230" s="46" t="inlineStr">
        <is>
          <t>Akhil</t>
        </is>
      </c>
      <c r="B1230" s="46" t="n">
        <v>9895663204</v>
      </c>
      <c r="C1230" s="46" t="inlineStr">
        <is>
          <t>Customer</t>
        </is>
      </c>
      <c r="D1230" s="46" t="inlineStr">
        <is>
          <t>₹ 0</t>
        </is>
      </c>
      <c r="E1230" s="45" t="n"/>
      <c r="F1230" s="45" t="n"/>
      <c r="G1230" s="45" t="n"/>
      <c r="H1230" s="45" t="n"/>
      <c r="I1230" s="45" t="n"/>
      <c r="J1230" s="45" t="n"/>
      <c r="K1230" s="45" t="n"/>
      <c r="L1230" s="45" t="n"/>
      <c r="M1230" s="45" t="n"/>
      <c r="N1230" s="45" t="n"/>
      <c r="O1230" s="45" t="n"/>
    </row>
    <row r="1231" ht="16.5" customHeight="1" s="85">
      <c r="A1231" s="46" t="inlineStr">
        <is>
          <t>Arun</t>
        </is>
      </c>
      <c r="B1231" s="46" t="n">
        <v>9895814529</v>
      </c>
      <c r="C1231" s="46" t="inlineStr">
        <is>
          <t>Customer</t>
        </is>
      </c>
      <c r="D1231" s="46" t="inlineStr">
        <is>
          <t>₹ 0</t>
        </is>
      </c>
      <c r="E1231" s="45" t="n"/>
      <c r="F1231" s="45" t="n"/>
      <c r="G1231" s="45" t="n"/>
      <c r="H1231" s="45" t="n"/>
      <c r="I1231" s="45" t="n"/>
      <c r="J1231" s="45" t="n"/>
      <c r="K1231" s="45" t="n"/>
      <c r="L1231" s="45" t="n"/>
      <c r="M1231" s="45" t="n"/>
      <c r="N1231" s="45" t="n"/>
      <c r="O1231" s="45" t="n"/>
    </row>
    <row r="1232" ht="16.5" customHeight="1" s="85">
      <c r="A1232" s="46" t="inlineStr">
        <is>
          <t>Shibili</t>
        </is>
      </c>
      <c r="B1232" s="46" t="n">
        <v>9895876370</v>
      </c>
      <c r="C1232" s="46" t="inlineStr">
        <is>
          <t>Customer</t>
        </is>
      </c>
      <c r="D1232" s="46" t="inlineStr">
        <is>
          <t>₹ 0</t>
        </is>
      </c>
      <c r="E1232" s="45" t="n"/>
      <c r="F1232" s="45" t="n"/>
      <c r="G1232" s="45" t="n"/>
      <c r="H1232" s="45" t="n"/>
      <c r="I1232" s="45" t="n"/>
      <c r="J1232" s="45" t="n"/>
      <c r="K1232" s="45" t="n"/>
      <c r="L1232" s="45" t="n"/>
      <c r="M1232" s="45" t="n"/>
      <c r="N1232" s="45" t="n"/>
      <c r="O1232" s="45" t="n"/>
    </row>
    <row r="1233" ht="16.5" customHeight="1" s="85">
      <c r="A1233" s="46" t="inlineStr">
        <is>
          <t>Sis Sina</t>
        </is>
      </c>
      <c r="B1233" s="46" t="n">
        <v>9897402979</v>
      </c>
      <c r="C1233" s="46" t="inlineStr">
        <is>
          <t>Customer</t>
        </is>
      </c>
      <c r="D1233" s="46" t="inlineStr">
        <is>
          <t>₹ 0</t>
        </is>
      </c>
      <c r="E1233" s="45" t="n"/>
      <c r="F1233" s="45" t="n"/>
      <c r="G1233" s="45" t="n"/>
      <c r="H1233" s="45" t="n"/>
      <c r="I1233" s="45" t="n"/>
      <c r="J1233" s="45" t="n"/>
      <c r="K1233" s="45" t="n"/>
      <c r="L1233" s="45" t="n"/>
      <c r="M1233" s="45" t="n"/>
      <c r="N1233" s="45" t="n"/>
      <c r="O1233" s="45" t="n"/>
    </row>
    <row r="1234" ht="16.5" customHeight="1" s="85">
      <c r="A1234" s="46" t="inlineStr">
        <is>
          <t>S K.James</t>
        </is>
      </c>
      <c r="B1234" s="46" t="n">
        <v>9897440991</v>
      </c>
      <c r="C1234" s="46" t="inlineStr">
        <is>
          <t>Customer</t>
        </is>
      </c>
      <c r="D1234" s="46" t="inlineStr">
        <is>
          <t>₹ 0</t>
        </is>
      </c>
      <c r="E1234" s="45" t="n"/>
      <c r="F1234" s="45" t="n"/>
      <c r="G1234" s="45" t="n"/>
      <c r="H1234" s="45" t="n"/>
      <c r="I1234" s="45" t="n"/>
      <c r="J1234" s="45" t="n"/>
      <c r="K1234" s="45" t="n"/>
      <c r="L1234" s="45" t="n"/>
      <c r="M1234" s="45" t="n"/>
      <c r="N1234" s="45" t="n"/>
      <c r="O1234" s="45" t="n"/>
    </row>
    <row r="1235" ht="16.5" customHeight="1" s="85">
      <c r="A1235" s="46" t="inlineStr">
        <is>
          <t>Alfence</t>
        </is>
      </c>
      <c r="B1235" s="46" t="n">
        <v>9898206012</v>
      </c>
      <c r="C1235" s="46" t="inlineStr">
        <is>
          <t>Customer</t>
        </is>
      </c>
      <c r="D1235" s="46" t="inlineStr">
        <is>
          <t>₹ 0</t>
        </is>
      </c>
      <c r="E1235" s="45" t="n"/>
      <c r="F1235" s="45" t="n"/>
      <c r="G1235" s="45" t="n"/>
      <c r="H1235" s="45" t="n"/>
      <c r="I1235" s="45" t="n"/>
      <c r="J1235" s="45" t="n"/>
      <c r="K1235" s="45" t="n"/>
      <c r="L1235" s="45" t="n"/>
      <c r="M1235" s="45" t="n"/>
      <c r="N1235" s="45" t="n"/>
      <c r="O1235" s="45" t="n"/>
    </row>
    <row r="1236" ht="16.5" customHeight="1" s="85">
      <c r="A1236" s="46" t="inlineStr">
        <is>
          <t>Santosh Thomas</t>
        </is>
      </c>
      <c r="B1236" s="46" t="n">
        <v>9906903311</v>
      </c>
      <c r="C1236" s="46" t="inlineStr">
        <is>
          <t>Customer</t>
        </is>
      </c>
      <c r="D1236" s="46" t="inlineStr">
        <is>
          <t>₹ 0</t>
        </is>
      </c>
      <c r="E1236" s="45" t="n"/>
      <c r="F1236" s="45" t="n"/>
      <c r="G1236" s="45" t="n"/>
      <c r="H1236" s="45" t="n"/>
      <c r="I1236" s="45" t="n"/>
      <c r="J1236" s="45" t="n"/>
      <c r="K1236" s="45" t="n"/>
      <c r="L1236" s="45" t="n"/>
      <c r="M1236" s="45" t="n"/>
      <c r="N1236" s="45" t="n"/>
      <c r="O1236" s="45" t="n"/>
    </row>
    <row r="1237" ht="16.5" customHeight="1" s="85">
      <c r="A1237" s="46" t="inlineStr">
        <is>
          <t>Gagan Arora</t>
        </is>
      </c>
      <c r="B1237" s="46" t="n">
        <v>9910215691</v>
      </c>
      <c r="C1237" s="46" t="inlineStr">
        <is>
          <t>Customer</t>
        </is>
      </c>
      <c r="D1237" s="46" t="inlineStr">
        <is>
          <t>₹ 0</t>
        </is>
      </c>
      <c r="E1237" s="45" t="n"/>
      <c r="F1237" s="45" t="n"/>
      <c r="G1237" s="45" t="n"/>
      <c r="H1237" s="45" t="n"/>
      <c r="I1237" s="45" t="n"/>
      <c r="J1237" s="45" t="n"/>
      <c r="K1237" s="45" t="n"/>
      <c r="L1237" s="45" t="n"/>
      <c r="M1237" s="45" t="n"/>
      <c r="N1237" s="45" t="n"/>
      <c r="O1237" s="45" t="n"/>
    </row>
    <row r="1238" ht="16.5" customHeight="1" s="85">
      <c r="A1238" s="46" t="inlineStr">
        <is>
          <t>Harender ICT 2022</t>
        </is>
      </c>
      <c r="B1238" s="46" t="n">
        <v>9910437110</v>
      </c>
      <c r="C1238" s="46" t="inlineStr">
        <is>
          <t>Customer</t>
        </is>
      </c>
      <c r="D1238" s="46" t="inlineStr">
        <is>
          <t>₹ 0</t>
        </is>
      </c>
      <c r="E1238" s="45" t="n"/>
      <c r="F1238" s="45" t="n"/>
      <c r="G1238" s="45" t="n"/>
      <c r="H1238" s="45" t="n"/>
      <c r="I1238" s="45" t="n"/>
      <c r="J1238" s="45" t="n"/>
      <c r="K1238" s="45" t="n"/>
      <c r="L1238" s="45" t="n"/>
      <c r="M1238" s="45" t="n"/>
      <c r="N1238" s="45" t="n"/>
      <c r="O1238" s="45" t="n"/>
    </row>
    <row r="1239" ht="16.5" customHeight="1" s="85">
      <c r="A1239" s="46" t="inlineStr">
        <is>
          <t>Amitesh</t>
        </is>
      </c>
      <c r="B1239" s="46" t="n">
        <v>9916940049</v>
      </c>
      <c r="C1239" s="46" t="inlineStr">
        <is>
          <t>Customer</t>
        </is>
      </c>
      <c r="D1239" s="46" t="inlineStr">
        <is>
          <t>₹ 0</t>
        </is>
      </c>
      <c r="E1239" s="45" t="n"/>
      <c r="F1239" s="45" t="n"/>
      <c r="G1239" s="45" t="n"/>
      <c r="H1239" s="45" t="n"/>
      <c r="I1239" s="45" t="n"/>
      <c r="J1239" s="45" t="n"/>
      <c r="K1239" s="45" t="n"/>
      <c r="L1239" s="45" t="n"/>
      <c r="M1239" s="45" t="n"/>
      <c r="N1239" s="45" t="n"/>
      <c r="O1239" s="45" t="n"/>
    </row>
    <row r="1240" ht="16.5" customHeight="1" s="85">
      <c r="A1240" s="46" t="inlineStr">
        <is>
          <t>Sunil Kumar, Gola</t>
        </is>
      </c>
      <c r="B1240" s="46" t="n">
        <v>9918182145</v>
      </c>
      <c r="C1240" s="46" t="inlineStr">
        <is>
          <t>Customer</t>
        </is>
      </c>
      <c r="D1240" s="46" t="inlineStr">
        <is>
          <t>₹ 0</t>
        </is>
      </c>
      <c r="E1240" s="45" t="n"/>
      <c r="F1240" s="45" t="n"/>
      <c r="G1240" s="45" t="n"/>
      <c r="H1240" s="45" t="n"/>
      <c r="I1240" s="45" t="n"/>
      <c r="J1240" s="45" t="n"/>
      <c r="K1240" s="45" t="n"/>
      <c r="L1240" s="45" t="n"/>
      <c r="M1240" s="45" t="n"/>
      <c r="N1240" s="45" t="n"/>
      <c r="O1240" s="45" t="n"/>
    </row>
    <row r="1241" ht="16.5" customHeight="1" s="85">
      <c r="A1241" s="46" t="inlineStr">
        <is>
          <t>Arun</t>
        </is>
      </c>
      <c r="B1241" s="46" t="n">
        <v>9918255783</v>
      </c>
      <c r="C1241" s="46" t="inlineStr">
        <is>
          <t>Customer</t>
        </is>
      </c>
      <c r="D1241" s="46" t="inlineStr">
        <is>
          <t>₹ 0</t>
        </is>
      </c>
      <c r="E1241" s="45" t="n"/>
      <c r="F1241" s="45" t="n"/>
      <c r="G1241" s="45" t="n"/>
      <c r="H1241" s="45" t="n"/>
      <c r="I1241" s="45" t="n"/>
      <c r="J1241" s="45" t="n"/>
      <c r="K1241" s="45" t="n"/>
      <c r="L1241" s="45" t="n"/>
      <c r="M1241" s="45" t="n"/>
      <c r="N1241" s="45" t="n"/>
      <c r="O1241" s="45" t="n"/>
    </row>
    <row r="1242" ht="16.5" customHeight="1" s="85">
      <c r="A1242" s="46" t="inlineStr">
        <is>
          <t>Sunil Ganesh</t>
        </is>
      </c>
      <c r="B1242" s="46" t="n">
        <v>9918256497</v>
      </c>
      <c r="C1242" s="46" t="inlineStr">
        <is>
          <t>Customer</t>
        </is>
      </c>
      <c r="D1242" s="46" t="inlineStr">
        <is>
          <t>₹ 0</t>
        </is>
      </c>
      <c r="E1242" s="45" t="n"/>
      <c r="F1242" s="45" t="n"/>
      <c r="G1242" s="45" t="n"/>
      <c r="H1242" s="45" t="n"/>
      <c r="I1242" s="45" t="n"/>
      <c r="J1242" s="45" t="n"/>
      <c r="K1242" s="45" t="n"/>
      <c r="L1242" s="45" t="n"/>
      <c r="M1242" s="45" t="n"/>
      <c r="N1242" s="45" t="n"/>
      <c r="O1242" s="45" t="n"/>
    </row>
    <row r="1243" ht="16.5" customHeight="1" s="85">
      <c r="A1243" s="46" t="inlineStr">
        <is>
          <t>Shyam Sunder</t>
        </is>
      </c>
      <c r="B1243" s="46" t="n">
        <v>9918386898</v>
      </c>
      <c r="C1243" s="46" t="inlineStr">
        <is>
          <t>Customer</t>
        </is>
      </c>
      <c r="D1243" s="46" t="inlineStr">
        <is>
          <t>₹ 0</t>
        </is>
      </c>
      <c r="E1243" s="45" t="n"/>
      <c r="F1243" s="45" t="n"/>
      <c r="G1243" s="45" t="n"/>
      <c r="H1243" s="45" t="n"/>
      <c r="I1243" s="45" t="n"/>
      <c r="J1243" s="45" t="n"/>
      <c r="K1243" s="45" t="n"/>
      <c r="L1243" s="45" t="n"/>
      <c r="M1243" s="45" t="n"/>
      <c r="N1243" s="45" t="n"/>
      <c r="O1243" s="45" t="n"/>
    </row>
    <row r="1244" ht="16.5" customHeight="1" s="85">
      <c r="A1244" s="46" t="inlineStr">
        <is>
          <t>Ravi Chaurasiya</t>
        </is>
      </c>
      <c r="B1244" s="46" t="n">
        <v>9918624858</v>
      </c>
      <c r="C1244" s="46" t="inlineStr">
        <is>
          <t>Customer</t>
        </is>
      </c>
      <c r="D1244" s="46" t="inlineStr">
        <is>
          <t>₹ 0</t>
        </is>
      </c>
      <c r="E1244" s="45" t="n"/>
      <c r="F1244" s="45" t="n"/>
      <c r="G1244" s="45" t="n"/>
      <c r="H1244" s="45" t="n"/>
      <c r="I1244" s="45" t="n"/>
      <c r="J1244" s="45" t="n"/>
      <c r="K1244" s="45" t="n"/>
      <c r="L1244" s="45" t="n"/>
      <c r="M1244" s="45" t="n"/>
      <c r="N1244" s="45" t="n"/>
      <c r="O1244" s="45" t="n"/>
    </row>
    <row r="1245" ht="16.5" customHeight="1" s="85">
      <c r="A1245" s="46" t="inlineStr">
        <is>
          <t>Anil Joseph</t>
        </is>
      </c>
      <c r="B1245" s="46" t="n">
        <v>9918636055</v>
      </c>
      <c r="C1245" s="46" t="inlineStr">
        <is>
          <t>Customer</t>
        </is>
      </c>
      <c r="D1245" s="46" t="inlineStr">
        <is>
          <t>₹ 0</t>
        </is>
      </c>
      <c r="E1245" s="45" t="n"/>
      <c r="F1245" s="45" t="n"/>
      <c r="G1245" s="45" t="n"/>
      <c r="H1245" s="45" t="n"/>
      <c r="I1245" s="45" t="n"/>
      <c r="J1245" s="45" t="n"/>
      <c r="K1245" s="45" t="n"/>
      <c r="L1245" s="45" t="n"/>
      <c r="M1245" s="45" t="n"/>
      <c r="N1245" s="45" t="n"/>
      <c r="O1245" s="45" t="n"/>
    </row>
    <row r="1246" ht="16.5" customHeight="1" s="85">
      <c r="A1246" s="46" t="inlineStr">
        <is>
          <t>Ketiring Gangoli</t>
        </is>
      </c>
      <c r="B1246" s="46" t="n">
        <v>9918833004</v>
      </c>
      <c r="C1246" s="46" t="inlineStr">
        <is>
          <t>Customer</t>
        </is>
      </c>
      <c r="D1246" s="46" t="inlineStr">
        <is>
          <t>₹ 0</t>
        </is>
      </c>
      <c r="E1246" s="45" t="n"/>
      <c r="F1246" s="45" t="n"/>
      <c r="G1246" s="45" t="n"/>
      <c r="H1246" s="45" t="n"/>
      <c r="I1246" s="45" t="n"/>
      <c r="J1246" s="45" t="n"/>
      <c r="K1246" s="45" t="n"/>
      <c r="L1246" s="45" t="n"/>
      <c r="M1246" s="45" t="n"/>
      <c r="N1246" s="45" t="n"/>
      <c r="O1246" s="45" t="n"/>
    </row>
    <row r="1247" ht="16.5" customHeight="1" s="85">
      <c r="A1247" s="46" t="inlineStr">
        <is>
          <t>Pr.Balbeer</t>
        </is>
      </c>
      <c r="B1247" s="46" t="n">
        <v>9919175461</v>
      </c>
      <c r="C1247" s="46" t="inlineStr">
        <is>
          <t>Customer</t>
        </is>
      </c>
      <c r="D1247" s="46" t="inlineStr">
        <is>
          <t>₹ 0</t>
        </is>
      </c>
      <c r="E1247" s="45" t="n"/>
      <c r="F1247" s="45" t="n"/>
      <c r="G1247" s="45" t="n"/>
      <c r="H1247" s="45" t="n"/>
      <c r="I1247" s="45" t="n"/>
      <c r="J1247" s="45" t="n"/>
      <c r="K1247" s="45" t="n"/>
      <c r="L1247" s="45" t="n"/>
      <c r="M1247" s="45" t="n"/>
      <c r="N1247" s="45" t="n"/>
      <c r="O1247" s="45" t="n"/>
    </row>
    <row r="1248" ht="16.5" customHeight="1" s="85">
      <c r="A1248" s="46" t="inlineStr">
        <is>
          <t>Girish</t>
        </is>
      </c>
      <c r="B1248" s="46" t="n">
        <v>9919250400</v>
      </c>
      <c r="C1248" s="46" t="inlineStr">
        <is>
          <t>Customer</t>
        </is>
      </c>
      <c r="D1248" s="46" t="inlineStr">
        <is>
          <t>₹ 0</t>
        </is>
      </c>
      <c r="E1248" s="45" t="n"/>
      <c r="F1248" s="45" t="n"/>
      <c r="G1248" s="45" t="n"/>
      <c r="H1248" s="45" t="n"/>
      <c r="I1248" s="45" t="n"/>
      <c r="J1248" s="45" t="n"/>
      <c r="K1248" s="45" t="n"/>
      <c r="L1248" s="45" t="n"/>
      <c r="M1248" s="45" t="n"/>
      <c r="N1248" s="45" t="n"/>
      <c r="O1248" s="45" t="n"/>
    </row>
    <row r="1249" ht="16.5" customHeight="1" s="85">
      <c r="A1249" s="46" t="inlineStr">
        <is>
          <t>Pragathi Kiran Malayalee Kiran</t>
        </is>
      </c>
      <c r="B1249" s="46" t="n">
        <v>9919763762</v>
      </c>
      <c r="C1249" s="46" t="inlineStr">
        <is>
          <t>Customer</t>
        </is>
      </c>
      <c r="D1249" s="46" t="inlineStr">
        <is>
          <t>₹ 0</t>
        </is>
      </c>
      <c r="E1249" s="45" t="n"/>
      <c r="F1249" s="45" t="n"/>
      <c r="G1249" s="45" t="n"/>
      <c r="H1249" s="45" t="n"/>
      <c r="I1249" s="45" t="n"/>
      <c r="J1249" s="45" t="n"/>
      <c r="K1249" s="45" t="n"/>
      <c r="L1249" s="45" t="n"/>
      <c r="M1249" s="45" t="n"/>
      <c r="N1249" s="45" t="n"/>
      <c r="O1249" s="45" t="n"/>
    </row>
    <row r="1250" ht="16.5" customHeight="1" s="85">
      <c r="A1250" s="46" t="inlineStr">
        <is>
          <t>Vishesh</t>
        </is>
      </c>
      <c r="B1250" s="46" t="n">
        <v>9919791235</v>
      </c>
      <c r="C1250" s="46" t="inlineStr">
        <is>
          <t>Customer</t>
        </is>
      </c>
      <c r="D1250" s="46" t="inlineStr">
        <is>
          <t>₹ 0</t>
        </is>
      </c>
      <c r="E1250" s="45" t="n"/>
      <c r="F1250" s="45" t="n"/>
      <c r="G1250" s="45" t="n"/>
      <c r="H1250" s="45" t="n"/>
      <c r="I1250" s="45" t="n"/>
      <c r="J1250" s="45" t="n"/>
      <c r="K1250" s="45" t="n"/>
      <c r="L1250" s="45" t="n"/>
      <c r="M1250" s="45" t="n"/>
      <c r="N1250" s="45" t="n"/>
      <c r="O1250" s="45" t="n"/>
    </row>
    <row r="1251" ht="16.5" customHeight="1" s="85">
      <c r="A1251" s="46" t="inlineStr">
        <is>
          <t>L.s.T Bhavan Khorabar</t>
        </is>
      </c>
      <c r="B1251" s="46" t="n">
        <v>9919971296</v>
      </c>
      <c r="C1251" s="46" t="inlineStr">
        <is>
          <t>Customer</t>
        </is>
      </c>
      <c r="D1251" s="46" t="inlineStr">
        <is>
          <t>₹ 0</t>
        </is>
      </c>
      <c r="E1251" s="45" t="n"/>
      <c r="F1251" s="45" t="n"/>
      <c r="G1251" s="45" t="n"/>
      <c r="H1251" s="45" t="n"/>
      <c r="I1251" s="45" t="n"/>
      <c r="J1251" s="45" t="n"/>
      <c r="K1251" s="45" t="n"/>
      <c r="L1251" s="45" t="n"/>
      <c r="M1251" s="45" t="n"/>
      <c r="N1251" s="45" t="n"/>
      <c r="O1251" s="45" t="n"/>
    </row>
    <row r="1252" ht="16.5" customHeight="1" s="85">
      <c r="A1252" s="46" t="inlineStr">
        <is>
          <t>DOUBLE HORSE, UNNAO</t>
        </is>
      </c>
      <c r="B1252" s="46" t="n">
        <v>9922890789</v>
      </c>
      <c r="C1252" s="46" t="inlineStr">
        <is>
          <t>Supplier</t>
        </is>
      </c>
      <c r="D1252" s="46" t="inlineStr">
        <is>
          <t>₹ 0</t>
        </is>
      </c>
      <c r="E1252" s="45" t="n"/>
      <c r="F1252" s="45" t="n"/>
      <c r="G1252" s="45" t="n"/>
      <c r="H1252" s="45" t="n"/>
      <c r="I1252" s="45" t="n"/>
      <c r="J1252" s="45" t="n"/>
      <c r="K1252" s="45" t="n"/>
      <c r="L1252" s="45" t="n"/>
      <c r="M1252" s="45" t="n"/>
      <c r="N1252" s="45" t="n"/>
      <c r="O1252" s="45" t="n"/>
    </row>
    <row r="1253" ht="16.5" customHeight="1" s="85">
      <c r="A1253" s="46" t="inlineStr">
        <is>
          <t>Jonah Khawas</t>
        </is>
      </c>
      <c r="B1253" s="46" t="n">
        <v>9932274152</v>
      </c>
      <c r="C1253" s="46" t="inlineStr">
        <is>
          <t>Customer</t>
        </is>
      </c>
      <c r="D1253" s="46" t="inlineStr">
        <is>
          <t>₹ 0</t>
        </is>
      </c>
      <c r="E1253" s="45" t="n"/>
      <c r="F1253" s="45" t="n"/>
      <c r="G1253" s="45" t="n"/>
      <c r="H1253" s="45" t="n"/>
      <c r="I1253" s="45" t="n"/>
      <c r="J1253" s="45" t="n"/>
      <c r="K1253" s="45" t="n"/>
      <c r="L1253" s="45" t="n"/>
      <c r="M1253" s="45" t="n"/>
      <c r="N1253" s="45" t="n"/>
      <c r="O1253" s="45" t="n"/>
    </row>
    <row r="1254" ht="16.5" customHeight="1" s="85">
      <c r="A1254" s="46" t="inlineStr">
        <is>
          <t>Habib</t>
        </is>
      </c>
      <c r="B1254" s="46" t="n">
        <v>9935110707</v>
      </c>
      <c r="C1254" s="46" t="inlineStr">
        <is>
          <t>Customer</t>
        </is>
      </c>
      <c r="D1254" s="46" t="inlineStr">
        <is>
          <t>₹ 0</t>
        </is>
      </c>
      <c r="E1254" s="45" t="n"/>
      <c r="F1254" s="45" t="n"/>
      <c r="G1254" s="45" t="n"/>
      <c r="H1254" s="45" t="n"/>
      <c r="I1254" s="45" t="n"/>
      <c r="J1254" s="45" t="n"/>
      <c r="K1254" s="45" t="n"/>
      <c r="L1254" s="45" t="n"/>
      <c r="M1254" s="45" t="n"/>
      <c r="N1254" s="45" t="n"/>
      <c r="O1254" s="45" t="n"/>
    </row>
    <row r="1255" ht="16.5" customHeight="1" s="85">
      <c r="A1255" s="46" t="inlineStr">
        <is>
          <t>Paulina</t>
        </is>
      </c>
      <c r="B1255" s="46" t="n">
        <v>9935180319</v>
      </c>
      <c r="C1255" s="46" t="inlineStr">
        <is>
          <t>Customer</t>
        </is>
      </c>
      <c r="D1255" s="46" t="inlineStr">
        <is>
          <t>₹ 0</t>
        </is>
      </c>
      <c r="E1255" s="45" t="n"/>
      <c r="F1255" s="45" t="n"/>
      <c r="G1255" s="45" t="n"/>
      <c r="H1255" s="45" t="n"/>
      <c r="I1255" s="45" t="n"/>
      <c r="J1255" s="45" t="n"/>
      <c r="K1255" s="45" t="n"/>
      <c r="L1255" s="45" t="n"/>
      <c r="M1255" s="45" t="n"/>
      <c r="N1255" s="45" t="n"/>
      <c r="O1255" s="45" t="n"/>
    </row>
    <row r="1256" ht="16.5" customHeight="1" s="85">
      <c r="A1256" s="46" t="inlineStr">
        <is>
          <t>UNKNOWN 7</t>
        </is>
      </c>
      <c r="B1256" s="46" t="n">
        <v>9935186532</v>
      </c>
      <c r="C1256" s="46" t="inlineStr">
        <is>
          <t>Customer</t>
        </is>
      </c>
      <c r="D1256" s="46" t="inlineStr">
        <is>
          <t>₹ 0</t>
        </is>
      </c>
      <c r="E1256" s="45" t="n"/>
      <c r="F1256" s="45" t="n"/>
      <c r="G1256" s="45" t="n"/>
      <c r="H1256" s="45" t="n"/>
      <c r="I1256" s="45" t="n"/>
      <c r="J1256" s="45" t="n"/>
      <c r="K1256" s="45" t="n"/>
      <c r="L1256" s="45" t="n"/>
      <c r="M1256" s="45" t="n"/>
      <c r="N1256" s="45" t="n"/>
      <c r="O1256" s="45" t="n"/>
    </row>
    <row r="1257" ht="16.5" customHeight="1" s="85">
      <c r="A1257" s="46" t="inlineStr">
        <is>
          <t>Arbind</t>
        </is>
      </c>
      <c r="B1257" s="46" t="n">
        <v>9935227022</v>
      </c>
      <c r="C1257" s="46" t="inlineStr">
        <is>
          <t>Customer</t>
        </is>
      </c>
      <c r="D1257" s="46" t="inlineStr">
        <is>
          <t>₹ 0</t>
        </is>
      </c>
      <c r="E1257" s="45" t="n"/>
      <c r="F1257" s="45" t="n"/>
      <c r="G1257" s="45" t="n"/>
      <c r="H1257" s="45" t="n"/>
      <c r="I1257" s="45" t="n"/>
      <c r="J1257" s="45" t="n"/>
      <c r="K1257" s="45" t="n"/>
      <c r="L1257" s="45" t="n"/>
      <c r="M1257" s="45" t="n"/>
      <c r="N1257" s="45" t="n"/>
      <c r="O1257" s="45" t="n"/>
    </row>
    <row r="1258" ht="16.5" customHeight="1" s="85">
      <c r="A1258" s="46" t="inlineStr">
        <is>
          <t>Satish Kumar</t>
        </is>
      </c>
      <c r="B1258" s="46" t="n">
        <v>9935243676</v>
      </c>
      <c r="C1258" s="46" t="inlineStr">
        <is>
          <t>Customer</t>
        </is>
      </c>
      <c r="D1258" s="46" t="inlineStr">
        <is>
          <t>₹ 0</t>
        </is>
      </c>
      <c r="E1258" s="45" t="n"/>
      <c r="F1258" s="45" t="n"/>
      <c r="G1258" s="45" t="n"/>
      <c r="H1258" s="45" t="n"/>
      <c r="I1258" s="45" t="n"/>
      <c r="J1258" s="45" t="n"/>
      <c r="K1258" s="45" t="n"/>
      <c r="L1258" s="45" t="n"/>
      <c r="M1258" s="45" t="n"/>
      <c r="N1258" s="45" t="n"/>
      <c r="O1258" s="45" t="n"/>
    </row>
    <row r="1259" ht="16.5" customHeight="1" s="85">
      <c r="A1259" s="46" t="inlineStr">
        <is>
          <t>Mukesh</t>
        </is>
      </c>
      <c r="B1259" s="46" t="n">
        <v>9935302155</v>
      </c>
      <c r="C1259" s="46" t="inlineStr">
        <is>
          <t>Customer</t>
        </is>
      </c>
      <c r="D1259" s="46" t="inlineStr">
        <is>
          <t>₹ 0</t>
        </is>
      </c>
      <c r="E1259" s="45" t="n"/>
      <c r="F1259" s="45" t="n"/>
      <c r="G1259" s="45" t="n"/>
      <c r="H1259" s="45" t="n"/>
      <c r="I1259" s="45" t="n"/>
      <c r="J1259" s="45" t="n"/>
      <c r="K1259" s="45" t="n"/>
      <c r="L1259" s="45" t="n"/>
      <c r="M1259" s="45" t="n"/>
      <c r="N1259" s="45" t="n"/>
      <c r="O1259" s="45" t="n"/>
    </row>
    <row r="1260" ht="16.5" customHeight="1" s="85">
      <c r="A1260" s="46" t="inlineStr">
        <is>
          <t>Benny George</t>
        </is>
      </c>
      <c r="B1260" s="46" t="n">
        <v>9935312234</v>
      </c>
      <c r="C1260" s="46" t="inlineStr">
        <is>
          <t>Customer</t>
        </is>
      </c>
      <c r="D1260" s="46" t="inlineStr">
        <is>
          <t>₹ 0</t>
        </is>
      </c>
      <c r="E1260" s="45" t="n"/>
      <c r="F1260" s="45" t="n"/>
      <c r="G1260" s="45" t="n"/>
      <c r="H1260" s="45" t="n"/>
      <c r="I1260" s="45" t="n"/>
      <c r="J1260" s="45" t="n"/>
      <c r="K1260" s="45" t="n"/>
      <c r="L1260" s="45" t="n"/>
      <c r="M1260" s="45" t="n"/>
      <c r="N1260" s="45" t="n"/>
      <c r="O1260" s="45" t="n"/>
    </row>
    <row r="1261" ht="16.5" customHeight="1" s="85">
      <c r="A1261" s="46" t="inlineStr">
        <is>
          <t>Father Jason Gida</t>
        </is>
      </c>
      <c r="B1261" s="46" t="n">
        <v>9935456869</v>
      </c>
      <c r="C1261" s="46" t="inlineStr">
        <is>
          <t>Customer</t>
        </is>
      </c>
      <c r="D1261" s="46" t="inlineStr">
        <is>
          <t>₹ 0</t>
        </is>
      </c>
      <c r="E1261" s="45" t="n"/>
      <c r="F1261" s="45" t="n"/>
      <c r="G1261" s="45" t="n"/>
      <c r="H1261" s="45" t="n"/>
      <c r="I1261" s="45" t="n"/>
      <c r="J1261" s="45" t="n"/>
      <c r="K1261" s="45" t="n"/>
      <c r="L1261" s="45" t="n"/>
      <c r="M1261" s="45" t="n"/>
      <c r="N1261" s="45" t="n"/>
      <c r="O1261" s="45" t="n"/>
    </row>
    <row r="1262" ht="16.5" customHeight="1" s="85">
      <c r="A1262" s="46" t="inlineStr">
        <is>
          <t>Biju Mohan</t>
        </is>
      </c>
      <c r="B1262" s="46" t="n">
        <v>9935758372</v>
      </c>
      <c r="C1262" s="46" t="inlineStr">
        <is>
          <t>Customer</t>
        </is>
      </c>
      <c r="D1262" s="46" t="inlineStr">
        <is>
          <t>₹ 0</t>
        </is>
      </c>
      <c r="E1262" s="45" t="n"/>
      <c r="F1262" s="45" t="n"/>
      <c r="G1262" s="45" t="n"/>
      <c r="H1262" s="45" t="n"/>
      <c r="I1262" s="45" t="n"/>
      <c r="J1262" s="45" t="n"/>
      <c r="K1262" s="45" t="n"/>
      <c r="L1262" s="45" t="n"/>
      <c r="M1262" s="45" t="n"/>
      <c r="N1262" s="45" t="n"/>
      <c r="O1262" s="45" t="n"/>
    </row>
    <row r="1263" ht="16.5" customHeight="1" s="85">
      <c r="A1263" s="46" t="inlineStr">
        <is>
          <t>Noreen Henry</t>
        </is>
      </c>
      <c r="B1263" s="46" t="n">
        <v>9935786064</v>
      </c>
      <c r="C1263" s="46" t="inlineStr">
        <is>
          <t>Customer</t>
        </is>
      </c>
      <c r="D1263" s="46" t="inlineStr">
        <is>
          <t>₹ 0</t>
        </is>
      </c>
      <c r="E1263" s="45" t="n"/>
      <c r="F1263" s="45" t="n"/>
      <c r="G1263" s="45" t="n"/>
      <c r="H1263" s="45" t="n"/>
      <c r="I1263" s="45" t="n"/>
      <c r="J1263" s="45" t="n"/>
      <c r="K1263" s="45" t="n"/>
      <c r="L1263" s="45" t="n"/>
      <c r="M1263" s="45" t="n"/>
      <c r="N1263" s="45" t="n"/>
      <c r="O1263" s="45" t="n"/>
    </row>
    <row r="1264" ht="16.5" customHeight="1" s="85">
      <c r="A1264" s="46" t="inlineStr">
        <is>
          <t>Vivek</t>
        </is>
      </c>
      <c r="B1264" s="46" t="n">
        <v>9935812867</v>
      </c>
      <c r="C1264" s="46" t="inlineStr">
        <is>
          <t>Customer</t>
        </is>
      </c>
      <c r="D1264" s="46" t="inlineStr">
        <is>
          <t>₹ 0</t>
        </is>
      </c>
      <c r="E1264" s="45" t="n"/>
      <c r="F1264" s="45" t="n"/>
      <c r="G1264" s="45" t="n"/>
      <c r="H1264" s="45" t="n"/>
      <c r="I1264" s="45" t="n"/>
      <c r="J1264" s="45" t="n"/>
      <c r="K1264" s="45" t="n"/>
      <c r="L1264" s="45" t="n"/>
      <c r="M1264" s="45" t="n"/>
      <c r="N1264" s="45" t="n"/>
      <c r="O1264" s="45" t="n"/>
    </row>
    <row r="1265" ht="16.5" customHeight="1" s="85">
      <c r="A1265" s="46" t="inlineStr">
        <is>
          <t>Neha</t>
        </is>
      </c>
      <c r="B1265" s="46" t="n">
        <v>9935942812</v>
      </c>
      <c r="C1265" s="46" t="inlineStr">
        <is>
          <t>Customer</t>
        </is>
      </c>
      <c r="D1265" s="46" t="inlineStr">
        <is>
          <t>₹ 0</t>
        </is>
      </c>
      <c r="E1265" s="45" t="n"/>
      <c r="F1265" s="45" t="n"/>
      <c r="G1265" s="45" t="n"/>
      <c r="H1265" s="45" t="n"/>
      <c r="I1265" s="45" t="n"/>
      <c r="J1265" s="45" t="n"/>
      <c r="K1265" s="45" t="n"/>
      <c r="L1265" s="45" t="n"/>
      <c r="M1265" s="45" t="n"/>
      <c r="N1265" s="45" t="n"/>
      <c r="O1265" s="45" t="n"/>
    </row>
    <row r="1266" ht="16.5" customHeight="1" s="85">
      <c r="A1266" s="46" t="inlineStr">
        <is>
          <t>Tobin</t>
        </is>
      </c>
      <c r="B1266" s="46" t="n">
        <v>9935986849</v>
      </c>
      <c r="C1266" s="46" t="inlineStr">
        <is>
          <t>Customer</t>
        </is>
      </c>
      <c r="D1266" s="46" t="inlineStr">
        <is>
          <t>₹ 0</t>
        </is>
      </c>
      <c r="E1266" s="45" t="n"/>
      <c r="F1266" s="45" t="n"/>
      <c r="G1266" s="45" t="n"/>
      <c r="H1266" s="45" t="n"/>
      <c r="I1266" s="45" t="n"/>
      <c r="J1266" s="45" t="n"/>
      <c r="K1266" s="45" t="n"/>
      <c r="L1266" s="45" t="n"/>
      <c r="M1266" s="45" t="n"/>
      <c r="N1266" s="45" t="n"/>
      <c r="O1266" s="45" t="n"/>
    </row>
    <row r="1267" ht="16.5" customHeight="1" s="85">
      <c r="A1267" s="46" t="inlineStr">
        <is>
          <t>Abhishek</t>
        </is>
      </c>
      <c r="B1267" s="46" t="n">
        <v>9936057269</v>
      </c>
      <c r="C1267" s="46" t="inlineStr">
        <is>
          <t>Customer</t>
        </is>
      </c>
      <c r="D1267" s="46" t="inlineStr">
        <is>
          <t>₹ 0</t>
        </is>
      </c>
      <c r="E1267" s="45" t="n"/>
      <c r="F1267" s="45" t="n"/>
      <c r="G1267" s="45" t="n"/>
      <c r="H1267" s="45" t="n"/>
      <c r="I1267" s="45" t="n"/>
      <c r="J1267" s="45" t="n"/>
      <c r="K1267" s="45" t="n"/>
      <c r="L1267" s="45" t="n"/>
      <c r="M1267" s="45" t="n"/>
      <c r="N1267" s="45" t="n"/>
      <c r="O1267" s="45" t="n"/>
    </row>
    <row r="1268" ht="16.5" customHeight="1" s="85">
      <c r="A1268" s="46" t="inlineStr">
        <is>
          <t>Ruchi</t>
        </is>
      </c>
      <c r="B1268" s="46" t="n">
        <v>9936069020</v>
      </c>
      <c r="C1268" s="46" t="inlineStr">
        <is>
          <t>Customer</t>
        </is>
      </c>
      <c r="D1268" s="46" t="inlineStr">
        <is>
          <t>₹ 0</t>
        </is>
      </c>
      <c r="E1268" s="45" t="n"/>
      <c r="F1268" s="45" t="n"/>
      <c r="G1268" s="45" t="n"/>
      <c r="H1268" s="45" t="n"/>
      <c r="I1268" s="45" t="n"/>
      <c r="J1268" s="45" t="n"/>
      <c r="K1268" s="45" t="n"/>
      <c r="L1268" s="45" t="n"/>
      <c r="M1268" s="45" t="n"/>
      <c r="N1268" s="45" t="n"/>
      <c r="O1268" s="45" t="n"/>
    </row>
    <row r="1269" ht="16.5" customHeight="1" s="85">
      <c r="A1269" s="46" t="inlineStr">
        <is>
          <t>Ruchi</t>
        </is>
      </c>
      <c r="B1269" s="46" t="n">
        <v>9936099020</v>
      </c>
      <c r="C1269" s="46" t="inlineStr">
        <is>
          <t>Customer</t>
        </is>
      </c>
      <c r="D1269" s="46" t="inlineStr">
        <is>
          <t>₹ 0</t>
        </is>
      </c>
      <c r="E1269" s="45" t="n"/>
      <c r="F1269" s="45" t="n"/>
      <c r="G1269" s="45" t="n"/>
      <c r="H1269" s="45" t="n"/>
      <c r="I1269" s="45" t="n"/>
      <c r="J1269" s="45" t="n"/>
      <c r="K1269" s="45" t="n"/>
      <c r="L1269" s="45" t="n"/>
      <c r="M1269" s="45" t="n"/>
      <c r="N1269" s="45" t="n"/>
      <c r="O1269" s="45" t="n"/>
    </row>
    <row r="1270" ht="16.5" customHeight="1" s="85">
      <c r="A1270" s="46" t="inlineStr">
        <is>
          <t>St.Joseph School Khorabar</t>
        </is>
      </c>
      <c r="B1270" s="46" t="n">
        <v>9936159696</v>
      </c>
      <c r="C1270" s="46" t="inlineStr">
        <is>
          <t>Customer</t>
        </is>
      </c>
      <c r="D1270" s="46" t="inlineStr">
        <is>
          <t>₹ 0</t>
        </is>
      </c>
      <c r="E1270" s="45" t="n"/>
      <c r="F1270" s="45" t="n"/>
      <c r="G1270" s="45" t="n"/>
      <c r="H1270" s="45" t="n"/>
      <c r="I1270" s="45" t="n"/>
      <c r="J1270" s="45" t="n"/>
      <c r="K1270" s="45" t="n"/>
      <c r="L1270" s="45" t="n"/>
      <c r="M1270" s="45" t="n"/>
      <c r="N1270" s="45" t="n"/>
      <c r="O1270" s="45" t="n"/>
    </row>
    <row r="1271" ht="16.5" customHeight="1" s="85">
      <c r="A1271" s="46" t="inlineStr">
        <is>
          <t>Manish</t>
        </is>
      </c>
      <c r="B1271" s="46" t="n">
        <v>9936208020</v>
      </c>
      <c r="C1271" s="46" t="inlineStr">
        <is>
          <t>Customer</t>
        </is>
      </c>
      <c r="D1271" s="46" t="inlineStr">
        <is>
          <t>₹ 0</t>
        </is>
      </c>
      <c r="E1271" s="45" t="n"/>
      <c r="F1271" s="45" t="n"/>
      <c r="G1271" s="45" t="n"/>
      <c r="H1271" s="45" t="n"/>
      <c r="I1271" s="45" t="n"/>
      <c r="J1271" s="45" t="n"/>
      <c r="K1271" s="45" t="n"/>
      <c r="L1271" s="45" t="n"/>
      <c r="M1271" s="45" t="n"/>
      <c r="N1271" s="45" t="n"/>
      <c r="O1271" s="45" t="n"/>
    </row>
    <row r="1272" ht="16.5" customHeight="1" s="85">
      <c r="A1272" s="46" t="inlineStr">
        <is>
          <t>Farukh</t>
        </is>
      </c>
      <c r="B1272" s="46" t="n">
        <v>9936275045</v>
      </c>
      <c r="C1272" s="46" t="inlineStr">
        <is>
          <t>Customer</t>
        </is>
      </c>
      <c r="D1272" s="46" t="inlineStr">
        <is>
          <t>₹ 0</t>
        </is>
      </c>
      <c r="E1272" s="45" t="n"/>
      <c r="F1272" s="45" t="n"/>
      <c r="G1272" s="45" t="n"/>
      <c r="H1272" s="45" t="n"/>
      <c r="I1272" s="45" t="n"/>
      <c r="J1272" s="45" t="n"/>
      <c r="K1272" s="45" t="n"/>
      <c r="L1272" s="45" t="n"/>
      <c r="M1272" s="45" t="n"/>
      <c r="N1272" s="45" t="n"/>
      <c r="O1272" s="45" t="n"/>
    </row>
    <row r="1273" ht="16.5" customHeight="1" s="85">
      <c r="A1273" s="46" t="inlineStr">
        <is>
          <t>Saji</t>
        </is>
      </c>
      <c r="B1273" s="46" t="n">
        <v>9936585171</v>
      </c>
      <c r="C1273" s="46" t="inlineStr">
        <is>
          <t>Customer</t>
        </is>
      </c>
      <c r="D1273" s="46" t="inlineStr">
        <is>
          <t>₹ 0</t>
        </is>
      </c>
      <c r="E1273" s="45" t="n"/>
      <c r="F1273" s="45" t="n"/>
      <c r="G1273" s="45" t="n"/>
      <c r="H1273" s="45" t="n"/>
      <c r="I1273" s="45" t="n"/>
      <c r="J1273" s="45" t="n"/>
      <c r="K1273" s="45" t="n"/>
      <c r="L1273" s="45" t="n"/>
      <c r="M1273" s="45" t="n"/>
      <c r="N1273" s="45" t="n"/>
      <c r="O1273" s="45" t="n"/>
    </row>
    <row r="1274" ht="16.5" customHeight="1" s="85">
      <c r="A1274" s="46" t="inlineStr">
        <is>
          <t>Reji Kushinagar</t>
        </is>
      </c>
      <c r="B1274" s="46" t="n">
        <v>9936764043</v>
      </c>
      <c r="C1274" s="46" t="inlineStr">
        <is>
          <t>Customer</t>
        </is>
      </c>
      <c r="D1274" s="46" t="inlineStr">
        <is>
          <t>₹ 0</t>
        </is>
      </c>
      <c r="E1274" s="45" t="n"/>
      <c r="F1274" s="45" t="n"/>
      <c r="G1274" s="45" t="n"/>
      <c r="H1274" s="45" t="n"/>
      <c r="I1274" s="45" t="n"/>
      <c r="J1274" s="45" t="n"/>
      <c r="K1274" s="45" t="n"/>
      <c r="L1274" s="45" t="n"/>
      <c r="M1274" s="45" t="n"/>
      <c r="N1274" s="45" t="n"/>
      <c r="O1274" s="45" t="n"/>
    </row>
    <row r="1275" ht="16.5" customHeight="1" s="85">
      <c r="A1275" s="46" t="inlineStr">
        <is>
          <t>Sangita</t>
        </is>
      </c>
      <c r="B1275" s="46" t="n">
        <v>9936823978</v>
      </c>
      <c r="C1275" s="46" t="inlineStr">
        <is>
          <t>Customer</t>
        </is>
      </c>
      <c r="D1275" s="46" t="inlineStr">
        <is>
          <t>₹ 0</t>
        </is>
      </c>
      <c r="E1275" s="45" t="n"/>
      <c r="F1275" s="45" t="n"/>
      <c r="G1275" s="45" t="n"/>
      <c r="H1275" s="45" t="n"/>
      <c r="I1275" s="45" t="n"/>
      <c r="J1275" s="45" t="n"/>
      <c r="K1275" s="45" t="n"/>
      <c r="L1275" s="45" t="n"/>
      <c r="M1275" s="45" t="n"/>
      <c r="N1275" s="45" t="n"/>
      <c r="O1275" s="45" t="n"/>
    </row>
    <row r="1276" ht="16.5" customHeight="1" s="85">
      <c r="A1276" s="46" t="inlineStr">
        <is>
          <t>Satyen Biswakarma</t>
        </is>
      </c>
      <c r="B1276" s="46" t="n">
        <v>9936899336</v>
      </c>
      <c r="C1276" s="46" t="inlineStr">
        <is>
          <t>Customer</t>
        </is>
      </c>
      <c r="D1276" s="46" t="inlineStr">
        <is>
          <t>₹ 0</t>
        </is>
      </c>
      <c r="E1276" s="45" t="n"/>
      <c r="F1276" s="45" t="n"/>
      <c r="G1276" s="45" t="n"/>
      <c r="H1276" s="45" t="n"/>
      <c r="I1276" s="45" t="n"/>
      <c r="J1276" s="45" t="n"/>
      <c r="K1276" s="45" t="n"/>
      <c r="L1276" s="45" t="n"/>
      <c r="M1276" s="45" t="n"/>
      <c r="N1276" s="45" t="n"/>
      <c r="O1276" s="45" t="n"/>
    </row>
    <row r="1277" ht="16.5" customHeight="1" s="85">
      <c r="A1277" s="46" t="inlineStr">
        <is>
          <t>Samkutty Sir</t>
        </is>
      </c>
      <c r="B1277" s="46" t="n">
        <v>9936919123</v>
      </c>
      <c r="C1277" s="46" t="inlineStr">
        <is>
          <t>Customer</t>
        </is>
      </c>
      <c r="D1277" s="46" t="inlineStr">
        <is>
          <t>₹ 0</t>
        </is>
      </c>
      <c r="E1277" s="45" t="n"/>
      <c r="F1277" s="45" t="n"/>
      <c r="G1277" s="45" t="n"/>
      <c r="H1277" s="45" t="n"/>
      <c r="I1277" s="45" t="n"/>
      <c r="J1277" s="45" t="n"/>
      <c r="K1277" s="45" t="n"/>
      <c r="L1277" s="45" t="n"/>
      <c r="M1277" s="45" t="n"/>
      <c r="N1277" s="45" t="n"/>
      <c r="O1277" s="45" t="n"/>
    </row>
    <row r="1278" ht="16.5" customHeight="1" s="85">
      <c r="A1278" s="46" t="inlineStr">
        <is>
          <t>Vikrant</t>
        </is>
      </c>
      <c r="B1278" s="46" t="n">
        <v>9938095219</v>
      </c>
      <c r="C1278" s="46" t="inlineStr">
        <is>
          <t>Customer</t>
        </is>
      </c>
      <c r="D1278" s="46" t="inlineStr">
        <is>
          <t>₹ 0</t>
        </is>
      </c>
      <c r="E1278" s="45" t="n"/>
      <c r="F1278" s="45" t="n"/>
      <c r="G1278" s="45" t="n"/>
      <c r="H1278" s="45" t="n"/>
      <c r="I1278" s="45" t="n"/>
      <c r="J1278" s="45" t="n"/>
      <c r="K1278" s="45" t="n"/>
      <c r="L1278" s="45" t="n"/>
      <c r="M1278" s="45" t="n"/>
      <c r="N1278" s="45" t="n"/>
      <c r="O1278" s="45" t="n"/>
    </row>
    <row r="1279" ht="16.5" customHeight="1" s="85">
      <c r="A1279" s="46" t="inlineStr">
        <is>
          <t>Wilson Bihar</t>
        </is>
      </c>
      <c r="B1279" s="46" t="n">
        <v>9939738921</v>
      </c>
      <c r="C1279" s="46" t="inlineStr">
        <is>
          <t>Customer</t>
        </is>
      </c>
      <c r="D1279" s="46" t="inlineStr">
        <is>
          <t>₹ 0</t>
        </is>
      </c>
      <c r="E1279" s="45" t="n"/>
      <c r="F1279" s="45" t="n"/>
      <c r="G1279" s="45" t="n"/>
      <c r="H1279" s="45" t="n"/>
      <c r="I1279" s="45" t="n"/>
      <c r="J1279" s="45" t="n"/>
      <c r="K1279" s="45" t="n"/>
      <c r="L1279" s="45" t="n"/>
      <c r="M1279" s="45" t="n"/>
      <c r="N1279" s="45" t="n"/>
      <c r="O1279" s="45" t="n"/>
    </row>
    <row r="1280" ht="16.5" customHeight="1" s="85">
      <c r="A1280" s="46" t="inlineStr">
        <is>
          <t>Sister Poshapa Content</t>
        </is>
      </c>
      <c r="B1280" s="46" t="n">
        <v>9940400312</v>
      </c>
      <c r="C1280" s="46" t="inlineStr">
        <is>
          <t>Customer</t>
        </is>
      </c>
      <c r="D1280" s="46" t="inlineStr">
        <is>
          <t>₹ 0</t>
        </is>
      </c>
      <c r="E1280" s="45" t="n"/>
      <c r="F1280" s="45" t="n"/>
      <c r="G1280" s="45" t="n"/>
      <c r="H1280" s="45" t="n"/>
      <c r="I1280" s="45" t="n"/>
      <c r="J1280" s="45" t="n"/>
      <c r="K1280" s="45" t="n"/>
      <c r="L1280" s="45" t="n"/>
      <c r="M1280" s="45" t="n"/>
      <c r="N1280" s="45" t="n"/>
      <c r="O1280" s="45" t="n"/>
    </row>
    <row r="1281" ht="16.5" customHeight="1" s="85">
      <c r="A1281" s="46" t="inlineStr">
        <is>
          <t>Dilip</t>
        </is>
      </c>
      <c r="B1281" s="46" t="n">
        <v>9941611152</v>
      </c>
      <c r="C1281" s="46" t="inlineStr">
        <is>
          <t>Customer</t>
        </is>
      </c>
      <c r="D1281" s="46" t="inlineStr">
        <is>
          <t>₹ 0</t>
        </is>
      </c>
      <c r="E1281" s="45" t="n"/>
      <c r="F1281" s="45" t="n"/>
      <c r="G1281" s="45" t="n"/>
      <c r="H1281" s="45" t="n"/>
      <c r="I1281" s="45" t="n"/>
      <c r="J1281" s="45" t="n"/>
      <c r="K1281" s="45" t="n"/>
      <c r="L1281" s="45" t="n"/>
      <c r="M1281" s="45" t="n"/>
      <c r="N1281" s="45" t="n"/>
      <c r="O1281" s="45" t="n"/>
    </row>
    <row r="1282" ht="16.5" customHeight="1" s="85">
      <c r="A1282" s="46" t="inlineStr">
        <is>
          <t>Pradeep Ramala</t>
        </is>
      </c>
      <c r="B1282" s="46" t="n">
        <v>9945954067</v>
      </c>
      <c r="C1282" s="46" t="inlineStr">
        <is>
          <t>Customer</t>
        </is>
      </c>
      <c r="D1282" s="46" t="inlineStr">
        <is>
          <t>₹ 0</t>
        </is>
      </c>
      <c r="E1282" s="45" t="n"/>
      <c r="F1282" s="45" t="n"/>
      <c r="G1282" s="45" t="n"/>
      <c r="H1282" s="45" t="n"/>
      <c r="I1282" s="45" t="n"/>
      <c r="J1282" s="45" t="n"/>
      <c r="K1282" s="45" t="n"/>
      <c r="L1282" s="45" t="n"/>
      <c r="M1282" s="45" t="n"/>
      <c r="N1282" s="45" t="n"/>
      <c r="O1282" s="45" t="n"/>
    </row>
    <row r="1283" ht="16.5" customHeight="1" s="85">
      <c r="A1283" s="46" t="inlineStr">
        <is>
          <t>Fr.jestin</t>
        </is>
      </c>
      <c r="B1283" s="46" t="n">
        <v>9946607967</v>
      </c>
      <c r="C1283" s="46" t="inlineStr">
        <is>
          <t>Customer</t>
        </is>
      </c>
      <c r="D1283" s="46" t="inlineStr">
        <is>
          <t>₹ 0</t>
        </is>
      </c>
      <c r="E1283" s="45" t="n"/>
      <c r="F1283" s="45" t="n"/>
      <c r="G1283" s="45" t="n"/>
      <c r="H1283" s="45" t="n"/>
      <c r="I1283" s="45" t="n"/>
      <c r="J1283" s="45" t="n"/>
      <c r="K1283" s="45" t="n"/>
      <c r="L1283" s="45" t="n"/>
      <c r="M1283" s="45" t="n"/>
      <c r="N1283" s="45" t="n"/>
      <c r="O1283" s="45" t="n"/>
    </row>
    <row r="1284" ht="16.5" customHeight="1" s="85">
      <c r="A1284" s="46" t="inlineStr">
        <is>
          <t>Arun</t>
        </is>
      </c>
      <c r="B1284" s="46" t="n">
        <v>9946621558</v>
      </c>
      <c r="C1284" s="46" t="inlineStr">
        <is>
          <t>Customer</t>
        </is>
      </c>
      <c r="D1284" s="46" t="inlineStr">
        <is>
          <t>₹ 0</t>
        </is>
      </c>
      <c r="E1284" s="45" t="n"/>
      <c r="F1284" s="45" t="n"/>
      <c r="G1284" s="45" t="n"/>
      <c r="H1284" s="45" t="n"/>
      <c r="I1284" s="45" t="n"/>
      <c r="J1284" s="45" t="n"/>
      <c r="K1284" s="45" t="n"/>
      <c r="L1284" s="45" t="n"/>
      <c r="M1284" s="45" t="n"/>
      <c r="N1284" s="45" t="n"/>
      <c r="O1284" s="45" t="n"/>
    </row>
    <row r="1285" ht="16.5" customHeight="1" s="85">
      <c r="A1285" s="46" t="inlineStr">
        <is>
          <t>Sqn LDR Krishnan Unni</t>
        </is>
      </c>
      <c r="B1285" s="46" t="n">
        <v>9946994548</v>
      </c>
      <c r="C1285" s="46" t="inlineStr">
        <is>
          <t>Customer</t>
        </is>
      </c>
      <c r="D1285" s="46" t="inlineStr">
        <is>
          <t>₹ 0</t>
        </is>
      </c>
      <c r="E1285" s="45" t="n"/>
      <c r="F1285" s="45" t="n"/>
      <c r="G1285" s="45" t="n"/>
      <c r="H1285" s="45" t="n"/>
      <c r="I1285" s="45" t="n"/>
      <c r="J1285" s="45" t="n"/>
      <c r="K1285" s="45" t="n"/>
      <c r="L1285" s="45" t="n"/>
      <c r="M1285" s="45" t="n"/>
      <c r="N1285" s="45" t="n"/>
      <c r="O1285" s="45" t="n"/>
    </row>
    <row r="1286" ht="16.5" customHeight="1" s="85">
      <c r="A1286" s="46" t="inlineStr">
        <is>
          <t>Arvind</t>
        </is>
      </c>
      <c r="B1286" s="46" t="n">
        <v>9947160053</v>
      </c>
      <c r="C1286" s="46" t="inlineStr">
        <is>
          <t>Customer</t>
        </is>
      </c>
      <c r="D1286" s="46" t="inlineStr">
        <is>
          <t>₹ 0</t>
        </is>
      </c>
      <c r="E1286" s="45" t="n"/>
      <c r="F1286" s="45" t="n"/>
      <c r="G1286" s="45" t="n"/>
      <c r="H1286" s="45" t="n"/>
      <c r="I1286" s="45" t="n"/>
      <c r="J1286" s="45" t="n"/>
      <c r="K1286" s="45" t="n"/>
      <c r="L1286" s="45" t="n"/>
      <c r="M1286" s="45" t="n"/>
      <c r="N1286" s="45" t="n"/>
      <c r="O1286" s="45" t="n"/>
    </row>
    <row r="1287" ht="16.5" customHeight="1" s="85">
      <c r="A1287" s="46" t="inlineStr">
        <is>
          <t>Siril G.n</t>
        </is>
      </c>
      <c r="B1287" s="46" t="n">
        <v>9947398731</v>
      </c>
      <c r="C1287" s="46" t="inlineStr">
        <is>
          <t>Customer</t>
        </is>
      </c>
      <c r="D1287" s="46" t="inlineStr">
        <is>
          <t>₹ 0</t>
        </is>
      </c>
      <c r="E1287" s="45" t="n"/>
      <c r="F1287" s="45" t="n"/>
      <c r="G1287" s="45" t="n"/>
      <c r="H1287" s="45" t="n"/>
      <c r="I1287" s="45" t="n"/>
      <c r="J1287" s="45" t="n"/>
      <c r="K1287" s="45" t="n"/>
      <c r="L1287" s="45" t="n"/>
      <c r="M1287" s="45" t="n"/>
      <c r="N1287" s="45" t="n"/>
      <c r="O1287" s="45" t="n"/>
    </row>
    <row r="1288" ht="16.5" customHeight="1" s="85">
      <c r="A1288" s="46" t="inlineStr">
        <is>
          <t>Sujith</t>
        </is>
      </c>
      <c r="B1288" s="46" t="n">
        <v>9947697892</v>
      </c>
      <c r="C1288" s="46" t="inlineStr">
        <is>
          <t>Customer</t>
        </is>
      </c>
      <c r="D1288" s="46" t="inlineStr">
        <is>
          <t>₹ 0</t>
        </is>
      </c>
      <c r="E1288" s="45" t="n"/>
      <c r="F1288" s="45" t="n"/>
      <c r="G1288" s="45" t="n"/>
      <c r="H1288" s="45" t="n"/>
      <c r="I1288" s="45" t="n"/>
      <c r="J1288" s="45" t="n"/>
      <c r="K1288" s="45" t="n"/>
      <c r="L1288" s="45" t="n"/>
      <c r="M1288" s="45" t="n"/>
      <c r="N1288" s="45" t="n"/>
      <c r="O1288" s="45" t="n"/>
    </row>
    <row r="1289" ht="16.5" customHeight="1" s="85">
      <c r="A1289" s="46" t="inlineStr">
        <is>
          <t>Abin</t>
        </is>
      </c>
      <c r="B1289" s="46" t="n">
        <v>9947896337</v>
      </c>
      <c r="C1289" s="46" t="inlineStr">
        <is>
          <t>Customer</t>
        </is>
      </c>
      <c r="D1289" s="46" t="inlineStr">
        <is>
          <t>₹ 0</t>
        </is>
      </c>
      <c r="E1289" s="45" t="n"/>
      <c r="F1289" s="45" t="n"/>
      <c r="G1289" s="45" t="n"/>
      <c r="H1289" s="45" t="n"/>
      <c r="I1289" s="45" t="n"/>
      <c r="J1289" s="45" t="n"/>
      <c r="K1289" s="45" t="n"/>
      <c r="L1289" s="45" t="n"/>
      <c r="M1289" s="45" t="n"/>
      <c r="N1289" s="45" t="n"/>
      <c r="O1289" s="45" t="n"/>
    </row>
    <row r="1290" ht="16.5" customHeight="1" s="85">
      <c r="A1290" s="46" t="inlineStr">
        <is>
          <t>Dipak</t>
        </is>
      </c>
      <c r="B1290" s="46" t="n">
        <v>9948815420</v>
      </c>
      <c r="C1290" s="46" t="inlineStr">
        <is>
          <t>Customer</t>
        </is>
      </c>
      <c r="D1290" s="46" t="inlineStr">
        <is>
          <t>₹ 0</t>
        </is>
      </c>
      <c r="E1290" s="45" t="n"/>
      <c r="F1290" s="45" t="n"/>
      <c r="G1290" s="45" t="n"/>
      <c r="H1290" s="45" t="n"/>
      <c r="I1290" s="45" t="n"/>
      <c r="J1290" s="45" t="n"/>
      <c r="K1290" s="45" t="n"/>
      <c r="L1290" s="45" t="n"/>
      <c r="M1290" s="45" t="n"/>
      <c r="N1290" s="45" t="n"/>
      <c r="O1290" s="45" t="n"/>
    </row>
    <row r="1291" ht="16.5" customHeight="1" s="85">
      <c r="A1291" s="46" t="inlineStr">
        <is>
          <t>Dinesh Prasad</t>
        </is>
      </c>
      <c r="B1291" s="46" t="n">
        <v>9950918418</v>
      </c>
      <c r="C1291" s="46" t="inlineStr">
        <is>
          <t>Customer</t>
        </is>
      </c>
      <c r="D1291" s="46" t="inlineStr">
        <is>
          <t>₹ 0</t>
        </is>
      </c>
      <c r="E1291" s="45" t="n"/>
      <c r="F1291" s="45" t="n"/>
      <c r="G1291" s="45" t="n"/>
      <c r="H1291" s="45" t="n"/>
      <c r="I1291" s="45" t="n"/>
      <c r="J1291" s="45" t="n"/>
      <c r="K1291" s="45" t="n"/>
      <c r="L1291" s="45" t="n"/>
      <c r="M1291" s="45" t="n"/>
      <c r="N1291" s="45" t="n"/>
      <c r="O1291" s="45" t="n"/>
    </row>
    <row r="1292" ht="16.5" customHeight="1" s="85">
      <c r="A1292" s="46" t="inlineStr">
        <is>
          <t>Anuja</t>
        </is>
      </c>
      <c r="B1292" s="46" t="n">
        <v>9952150876</v>
      </c>
      <c r="C1292" s="46" t="inlineStr">
        <is>
          <t>Customer</t>
        </is>
      </c>
      <c r="D1292" s="46" t="inlineStr">
        <is>
          <t>₹ 0</t>
        </is>
      </c>
      <c r="E1292" s="45" t="n"/>
      <c r="F1292" s="45" t="n"/>
      <c r="G1292" s="45" t="n"/>
      <c r="H1292" s="45" t="n"/>
      <c r="I1292" s="45" t="n"/>
      <c r="J1292" s="45" t="n"/>
      <c r="K1292" s="45" t="n"/>
      <c r="L1292" s="45" t="n"/>
      <c r="M1292" s="45" t="n"/>
      <c r="N1292" s="45" t="n"/>
      <c r="O1292" s="45" t="n"/>
    </row>
    <row r="1293" ht="16.5" customHeight="1" s="85">
      <c r="A1293" s="46" t="inlineStr">
        <is>
          <t>Siby</t>
        </is>
      </c>
      <c r="B1293" s="46" t="n">
        <v>9955356056</v>
      </c>
      <c r="C1293" s="46" t="inlineStr">
        <is>
          <t>Customer</t>
        </is>
      </c>
      <c r="D1293" s="46" t="inlineStr">
        <is>
          <t>₹ 0</t>
        </is>
      </c>
      <c r="E1293" s="45" t="n"/>
      <c r="F1293" s="45" t="n"/>
      <c r="G1293" s="45" t="n"/>
      <c r="H1293" s="45" t="n"/>
      <c r="I1293" s="45" t="n"/>
      <c r="J1293" s="45" t="n"/>
      <c r="K1293" s="45" t="n"/>
      <c r="L1293" s="45" t="n"/>
      <c r="M1293" s="45" t="n"/>
      <c r="N1293" s="45" t="n"/>
      <c r="O1293" s="45" t="n"/>
    </row>
    <row r="1294" ht="16.5" customHeight="1" s="85">
      <c r="A1294" s="46" t="inlineStr">
        <is>
          <t>Rohit Emmanuel</t>
        </is>
      </c>
      <c r="B1294" s="46" t="n">
        <v>9956117314</v>
      </c>
      <c r="C1294" s="46" t="inlineStr">
        <is>
          <t>Customer</t>
        </is>
      </c>
      <c r="D1294" s="46" t="inlineStr">
        <is>
          <t>₹ 0</t>
        </is>
      </c>
      <c r="E1294" s="45" t="n"/>
      <c r="F1294" s="45" t="n"/>
      <c r="G1294" s="45" t="n"/>
      <c r="H1294" s="45" t="n"/>
      <c r="I1294" s="45" t="n"/>
      <c r="J1294" s="45" t="n"/>
      <c r="K1294" s="45" t="n"/>
      <c r="L1294" s="45" t="n"/>
      <c r="M1294" s="45" t="n"/>
      <c r="N1294" s="45" t="n"/>
      <c r="O1294" s="45" t="n"/>
    </row>
    <row r="1295" ht="16.5" customHeight="1" s="85">
      <c r="A1295" s="46" t="inlineStr">
        <is>
          <t>Anjesh</t>
        </is>
      </c>
      <c r="B1295" s="46" t="n">
        <v>9956187249</v>
      </c>
      <c r="C1295" s="46" t="inlineStr">
        <is>
          <t>Customer</t>
        </is>
      </c>
      <c r="D1295" s="46" t="inlineStr">
        <is>
          <t>₹ 0</t>
        </is>
      </c>
      <c r="E1295" s="45" t="n"/>
      <c r="F1295" s="45" t="n"/>
      <c r="G1295" s="45" t="n"/>
      <c r="H1295" s="45" t="n"/>
      <c r="I1295" s="45" t="n"/>
      <c r="J1295" s="45" t="n"/>
      <c r="K1295" s="45" t="n"/>
      <c r="L1295" s="45" t="n"/>
      <c r="M1295" s="45" t="n"/>
      <c r="N1295" s="45" t="n"/>
      <c r="O1295" s="45" t="n"/>
    </row>
    <row r="1296" ht="16.5" customHeight="1" s="85">
      <c r="A1296" s="46" t="inlineStr">
        <is>
          <t>Fr.Sibi Joseph</t>
        </is>
      </c>
      <c r="B1296" s="46" t="n">
        <v>9956413041</v>
      </c>
      <c r="C1296" s="46" t="inlineStr">
        <is>
          <t>Customer</t>
        </is>
      </c>
      <c r="D1296" s="46" t="inlineStr">
        <is>
          <t>₹ 0</t>
        </is>
      </c>
      <c r="E1296" s="45" t="n"/>
      <c r="F1296" s="45" t="n"/>
      <c r="G1296" s="45" t="n"/>
      <c r="H1296" s="45" t="n"/>
      <c r="I1296" s="45" t="n"/>
      <c r="J1296" s="45" t="n"/>
      <c r="K1296" s="45" t="n"/>
      <c r="L1296" s="45" t="n"/>
      <c r="M1296" s="45" t="n"/>
      <c r="N1296" s="45" t="n"/>
      <c r="O1296" s="45" t="n"/>
    </row>
    <row r="1297" ht="16.5" customHeight="1" s="85">
      <c r="A1297" s="46" t="inlineStr">
        <is>
          <t>Kamlawati Saraiah uc</t>
        </is>
      </c>
      <c r="B1297" s="46" t="n">
        <v>9956422811</v>
      </c>
      <c r="C1297" s="46" t="inlineStr">
        <is>
          <t>Customer</t>
        </is>
      </c>
      <c r="D1297" s="46" t="inlineStr">
        <is>
          <t>₹ 0</t>
        </is>
      </c>
      <c r="E1297" s="45" t="n"/>
      <c r="F1297" s="45" t="n"/>
      <c r="G1297" s="45" t="n"/>
      <c r="H1297" s="45" t="n"/>
      <c r="I1297" s="45" t="n"/>
      <c r="J1297" s="45" t="n"/>
      <c r="K1297" s="45" t="n"/>
      <c r="L1297" s="45" t="n"/>
      <c r="M1297" s="45" t="n"/>
      <c r="N1297" s="45" t="n"/>
      <c r="O1297" s="45" t="n"/>
    </row>
    <row r="1298" ht="16.5" customHeight="1" s="85">
      <c r="A1298" s="46" t="inlineStr">
        <is>
          <t>Bilji</t>
        </is>
      </c>
      <c r="B1298" s="46" t="n">
        <v>9956546305</v>
      </c>
      <c r="C1298" s="46" t="inlineStr">
        <is>
          <t>Customer</t>
        </is>
      </c>
      <c r="D1298" s="46" t="inlineStr">
        <is>
          <t>₹ 0</t>
        </is>
      </c>
      <c r="E1298" s="45" t="n"/>
      <c r="F1298" s="45" t="n"/>
      <c r="G1298" s="45" t="n"/>
      <c r="H1298" s="45" t="n"/>
      <c r="I1298" s="45" t="n"/>
      <c r="J1298" s="45" t="n"/>
      <c r="K1298" s="45" t="n"/>
      <c r="L1298" s="45" t="n"/>
      <c r="M1298" s="45" t="n"/>
      <c r="N1298" s="45" t="n"/>
      <c r="O1298" s="45" t="n"/>
    </row>
    <row r="1299" ht="16.5" customHeight="1" s="85">
      <c r="A1299" s="46" t="inlineStr">
        <is>
          <t>Shibu</t>
        </is>
      </c>
      <c r="B1299" s="46" t="n">
        <v>9956556362</v>
      </c>
      <c r="C1299" s="46" t="inlineStr">
        <is>
          <t>Customer</t>
        </is>
      </c>
      <c r="D1299" s="46" t="inlineStr">
        <is>
          <t>₹ 0</t>
        </is>
      </c>
      <c r="E1299" s="45" t="n"/>
      <c r="F1299" s="45" t="n"/>
      <c r="G1299" s="45" t="n"/>
      <c r="H1299" s="45" t="n"/>
      <c r="I1299" s="45" t="n"/>
      <c r="J1299" s="45" t="n"/>
      <c r="K1299" s="45" t="n"/>
      <c r="L1299" s="45" t="n"/>
      <c r="M1299" s="45" t="n"/>
      <c r="N1299" s="45" t="n"/>
      <c r="O1299" s="45" t="n"/>
    </row>
    <row r="1300" ht="16.5" customHeight="1" s="85">
      <c r="A1300" s="46" t="inlineStr">
        <is>
          <t>UNKNOWN 8</t>
        </is>
      </c>
      <c r="B1300" s="46" t="n">
        <v>9956615229</v>
      </c>
      <c r="C1300" s="46" t="inlineStr">
        <is>
          <t>Customer</t>
        </is>
      </c>
      <c r="D1300" s="46" t="inlineStr">
        <is>
          <t>₹ 0</t>
        </is>
      </c>
      <c r="E1300" s="45" t="n"/>
      <c r="F1300" s="45" t="n"/>
      <c r="G1300" s="45" t="n"/>
      <c r="H1300" s="45" t="n"/>
      <c r="I1300" s="45" t="n"/>
      <c r="J1300" s="45" t="n"/>
      <c r="K1300" s="45" t="n"/>
      <c r="L1300" s="45" t="n"/>
      <c r="M1300" s="45" t="n"/>
      <c r="N1300" s="45" t="n"/>
      <c r="O1300" s="45" t="n"/>
    </row>
    <row r="1301" ht="16.5" customHeight="1" s="85">
      <c r="A1301" s="46" t="inlineStr">
        <is>
          <t>Sidhiki</t>
        </is>
      </c>
      <c r="B1301" s="46" t="n">
        <v>9956655040</v>
      </c>
      <c r="C1301" s="46" t="inlineStr">
        <is>
          <t>Customer</t>
        </is>
      </c>
      <c r="D1301" s="46" t="inlineStr">
        <is>
          <t>₹ 0</t>
        </is>
      </c>
      <c r="E1301" s="45" t="n"/>
      <c r="F1301" s="45" t="n"/>
      <c r="G1301" s="45" t="n"/>
      <c r="H1301" s="45" t="n"/>
      <c r="I1301" s="45" t="n"/>
      <c r="J1301" s="45" t="n"/>
      <c r="K1301" s="45" t="n"/>
      <c r="L1301" s="45" t="n"/>
      <c r="M1301" s="45" t="n"/>
      <c r="N1301" s="45" t="n"/>
      <c r="O1301" s="45" t="n"/>
    </row>
    <row r="1302" ht="16.5" customHeight="1" s="85">
      <c r="A1302" s="46" t="inlineStr">
        <is>
          <t>Narbadakumar</t>
        </is>
      </c>
      <c r="B1302" s="46" t="n">
        <v>9956685672</v>
      </c>
      <c r="C1302" s="46" t="inlineStr">
        <is>
          <t>Customer</t>
        </is>
      </c>
      <c r="D1302" s="46" t="inlineStr">
        <is>
          <t>₹ 0</t>
        </is>
      </c>
      <c r="E1302" s="45" t="n"/>
      <c r="F1302" s="45" t="n"/>
      <c r="G1302" s="45" t="n"/>
      <c r="H1302" s="45" t="n"/>
      <c r="I1302" s="45" t="n"/>
      <c r="J1302" s="45" t="n"/>
      <c r="K1302" s="45" t="n"/>
      <c r="L1302" s="45" t="n"/>
      <c r="M1302" s="45" t="n"/>
      <c r="N1302" s="45" t="n"/>
      <c r="O1302" s="45" t="n"/>
    </row>
    <row r="1303" ht="16.5" customHeight="1" s="85">
      <c r="A1303" s="46" t="inlineStr">
        <is>
          <t>Sukesh Visun</t>
        </is>
      </c>
      <c r="B1303" s="46" t="n">
        <v>9956999278</v>
      </c>
      <c r="C1303" s="46" t="inlineStr">
        <is>
          <t>Customer</t>
        </is>
      </c>
      <c r="D1303" s="46" t="inlineStr">
        <is>
          <t>₹ 0</t>
        </is>
      </c>
      <c r="E1303" s="45" t="n"/>
      <c r="F1303" s="45" t="n"/>
      <c r="G1303" s="45" t="n"/>
      <c r="H1303" s="45" t="n"/>
      <c r="I1303" s="45" t="n"/>
      <c r="J1303" s="45" t="n"/>
      <c r="K1303" s="45" t="n"/>
      <c r="L1303" s="45" t="n"/>
      <c r="M1303" s="45" t="n"/>
      <c r="N1303" s="45" t="n"/>
      <c r="O1303" s="45" t="n"/>
    </row>
    <row r="1304" ht="16.5" customHeight="1" s="85">
      <c r="A1304" s="46" t="inlineStr">
        <is>
          <t>Himanshu</t>
        </is>
      </c>
      <c r="B1304" s="46" t="n">
        <v>9958180547</v>
      </c>
      <c r="C1304" s="46" t="inlineStr">
        <is>
          <t>Customer</t>
        </is>
      </c>
      <c r="D1304" s="46" t="inlineStr">
        <is>
          <t>₹ 0</t>
        </is>
      </c>
      <c r="E1304" s="45" t="n"/>
      <c r="F1304" s="45" t="n"/>
      <c r="G1304" s="45" t="n"/>
      <c r="H1304" s="45" t="n"/>
      <c r="I1304" s="45" t="n"/>
      <c r="J1304" s="45" t="n"/>
      <c r="K1304" s="45" t="n"/>
      <c r="L1304" s="45" t="n"/>
      <c r="M1304" s="45" t="n"/>
      <c r="N1304" s="45" t="n"/>
      <c r="O1304" s="45" t="n"/>
    </row>
    <row r="1305" ht="16.5" customHeight="1" s="85">
      <c r="A1305" s="46" t="inlineStr">
        <is>
          <t>Sudheesh</t>
        </is>
      </c>
      <c r="B1305" s="46" t="n">
        <v>9958196968</v>
      </c>
      <c r="C1305" s="46" t="inlineStr">
        <is>
          <t>Customer</t>
        </is>
      </c>
      <c r="D1305" s="46" t="inlineStr">
        <is>
          <t>₹ 0</t>
        </is>
      </c>
      <c r="E1305" s="45" t="n"/>
      <c r="F1305" s="45" t="n"/>
      <c r="G1305" s="45" t="n"/>
      <c r="H1305" s="45" t="n"/>
      <c r="I1305" s="45" t="n"/>
      <c r="J1305" s="45" t="n"/>
      <c r="K1305" s="45" t="n"/>
      <c r="L1305" s="45" t="n"/>
      <c r="M1305" s="45" t="n"/>
      <c r="N1305" s="45" t="n"/>
      <c r="O1305" s="45" t="n"/>
    </row>
    <row r="1306" ht="16.5" customHeight="1" s="85">
      <c r="A1306" s="46" t="inlineStr">
        <is>
          <t>Jiji Nichlol</t>
        </is>
      </c>
      <c r="B1306" s="46" t="n">
        <v>9958561536</v>
      </c>
      <c r="C1306" s="46" t="inlineStr">
        <is>
          <t>Customer</t>
        </is>
      </c>
      <c r="D1306" s="46" t="inlineStr">
        <is>
          <t>₹ 0</t>
        </is>
      </c>
      <c r="E1306" s="45" t="n"/>
      <c r="F1306" s="45" t="n"/>
      <c r="G1306" s="45" t="n"/>
      <c r="H1306" s="45" t="n"/>
      <c r="I1306" s="45" t="n"/>
      <c r="J1306" s="45" t="n"/>
      <c r="K1306" s="45" t="n"/>
      <c r="L1306" s="45" t="n"/>
      <c r="M1306" s="45" t="n"/>
      <c r="N1306" s="45" t="n"/>
      <c r="O1306" s="45" t="n"/>
    </row>
    <row r="1307" ht="16.5" customHeight="1" s="85">
      <c r="A1307" s="46" t="inlineStr">
        <is>
          <t>Girish</t>
        </is>
      </c>
      <c r="B1307" s="46" t="n">
        <v>9958871731</v>
      </c>
      <c r="C1307" s="46" t="inlineStr">
        <is>
          <t>Customer</t>
        </is>
      </c>
      <c r="D1307" s="46" t="inlineStr">
        <is>
          <t>₹ 0</t>
        </is>
      </c>
      <c r="E1307" s="45" t="n"/>
      <c r="F1307" s="45" t="n"/>
      <c r="G1307" s="45" t="n"/>
      <c r="H1307" s="45" t="n"/>
      <c r="I1307" s="45" t="n"/>
      <c r="J1307" s="45" t="n"/>
      <c r="K1307" s="45" t="n"/>
      <c r="L1307" s="45" t="n"/>
      <c r="M1307" s="45" t="n"/>
      <c r="N1307" s="45" t="n"/>
      <c r="O1307" s="45" t="n"/>
    </row>
    <row r="1308" ht="16.5" customHeight="1" s="85">
      <c r="A1308" s="46" t="inlineStr">
        <is>
          <t>Anil</t>
        </is>
      </c>
      <c r="B1308" s="46" t="n">
        <v>9961003504</v>
      </c>
      <c r="C1308" s="46" t="inlineStr">
        <is>
          <t>Customer</t>
        </is>
      </c>
      <c r="D1308" s="46" t="inlineStr">
        <is>
          <t>₹ 0</t>
        </is>
      </c>
      <c r="E1308" s="45" t="n"/>
      <c r="F1308" s="45" t="n"/>
      <c r="G1308" s="45" t="n"/>
      <c r="H1308" s="45" t="n"/>
      <c r="I1308" s="45" t="n"/>
      <c r="J1308" s="45" t="n"/>
      <c r="K1308" s="45" t="n"/>
      <c r="L1308" s="45" t="n"/>
      <c r="M1308" s="45" t="n"/>
      <c r="N1308" s="45" t="n"/>
      <c r="O1308" s="45" t="n"/>
    </row>
    <row r="1309" ht="16.5" customHeight="1" s="85">
      <c r="A1309" s="46" t="inlineStr">
        <is>
          <t>Baby Thomas</t>
        </is>
      </c>
      <c r="B1309" s="46" t="n">
        <v>9961592253</v>
      </c>
      <c r="C1309" s="46" t="inlineStr">
        <is>
          <t>Customer</t>
        </is>
      </c>
      <c r="D1309" s="46" t="inlineStr">
        <is>
          <t>₹ 0</t>
        </is>
      </c>
      <c r="E1309" s="45" t="n"/>
      <c r="F1309" s="45" t="n"/>
      <c r="G1309" s="45" t="n"/>
      <c r="H1309" s="45" t="n"/>
      <c r="I1309" s="45" t="n"/>
      <c r="J1309" s="45" t="n"/>
      <c r="K1309" s="45" t="n"/>
      <c r="L1309" s="45" t="n"/>
      <c r="M1309" s="45" t="n"/>
      <c r="N1309" s="45" t="n"/>
      <c r="O1309" s="45" t="n"/>
    </row>
    <row r="1310" ht="16.5" customHeight="1" s="85">
      <c r="A1310" s="46" t="inlineStr">
        <is>
          <t>Pravesh Kumar</t>
        </is>
      </c>
      <c r="B1310" s="46" t="n">
        <v>9961705832</v>
      </c>
      <c r="C1310" s="46" t="inlineStr">
        <is>
          <t>Customer</t>
        </is>
      </c>
      <c r="D1310" s="46" t="inlineStr">
        <is>
          <t>₹ 0</t>
        </is>
      </c>
      <c r="E1310" s="45" t="n"/>
      <c r="F1310" s="45" t="n"/>
      <c r="G1310" s="45" t="n"/>
      <c r="H1310" s="45" t="n"/>
      <c r="I1310" s="45" t="n"/>
      <c r="J1310" s="45" t="n"/>
      <c r="K1310" s="45" t="n"/>
      <c r="L1310" s="45" t="n"/>
      <c r="M1310" s="45" t="n"/>
      <c r="N1310" s="45" t="n"/>
      <c r="O1310" s="45" t="n"/>
    </row>
    <row r="1311" ht="16.5" customHeight="1" s="85">
      <c r="A1311" s="46" t="inlineStr">
        <is>
          <t>Thomas John Sijo Sir</t>
        </is>
      </c>
      <c r="B1311" s="46" t="n">
        <v>9961894205</v>
      </c>
      <c r="C1311" s="46" t="inlineStr">
        <is>
          <t>Supplier</t>
        </is>
      </c>
      <c r="D1311" s="46" t="inlineStr">
        <is>
          <t>₹ 0</t>
        </is>
      </c>
      <c r="E1311" s="45" t="n"/>
      <c r="F1311" s="45" t="n"/>
      <c r="G1311" s="45" t="n"/>
      <c r="H1311" s="45" t="n"/>
      <c r="I1311" s="45" t="n"/>
      <c r="J1311" s="45" t="n"/>
      <c r="K1311" s="45" t="n"/>
      <c r="L1311" s="45" t="n"/>
      <c r="M1311" s="45" t="n"/>
      <c r="N1311" s="45" t="n"/>
      <c r="O1311" s="45" t="n"/>
    </row>
    <row r="1312" ht="16.5" customHeight="1" s="85">
      <c r="A1312" s="46" t="inlineStr">
        <is>
          <t>Mahes Kumar</t>
        </is>
      </c>
      <c r="B1312" s="46" t="n">
        <v>9962355479</v>
      </c>
      <c r="C1312" s="46" t="inlineStr">
        <is>
          <t>Customer</t>
        </is>
      </c>
      <c r="D1312" s="46" t="inlineStr">
        <is>
          <t>₹ 0</t>
        </is>
      </c>
      <c r="E1312" s="45" t="n"/>
      <c r="F1312" s="45" t="n"/>
      <c r="G1312" s="45" t="n"/>
      <c r="H1312" s="45" t="n"/>
      <c r="I1312" s="45" t="n"/>
      <c r="J1312" s="45" t="n"/>
      <c r="K1312" s="45" t="n"/>
      <c r="L1312" s="45" t="n"/>
      <c r="M1312" s="45" t="n"/>
      <c r="N1312" s="45" t="n"/>
      <c r="O1312" s="45" t="n"/>
    </row>
    <row r="1313" ht="16.5" customHeight="1" s="85">
      <c r="A1313" s="46" t="inlineStr">
        <is>
          <t>Kundan</t>
        </is>
      </c>
      <c r="B1313" s="46" t="n">
        <v>9967024128</v>
      </c>
      <c r="C1313" s="46" t="inlineStr">
        <is>
          <t>Customer</t>
        </is>
      </c>
      <c r="D1313" s="46" t="inlineStr">
        <is>
          <t>₹ 0</t>
        </is>
      </c>
      <c r="E1313" s="45" t="n"/>
      <c r="F1313" s="45" t="n"/>
      <c r="G1313" s="45" t="n"/>
      <c r="H1313" s="45" t="n"/>
      <c r="I1313" s="45" t="n"/>
      <c r="J1313" s="45" t="n"/>
      <c r="K1313" s="45" t="n"/>
      <c r="L1313" s="45" t="n"/>
      <c r="M1313" s="45" t="n"/>
      <c r="N1313" s="45" t="n"/>
      <c r="O1313" s="45" t="n"/>
    </row>
    <row r="1314" ht="16.5" customHeight="1" s="85">
      <c r="A1314" s="46" t="inlineStr">
        <is>
          <t>Rishi</t>
        </is>
      </c>
      <c r="B1314" s="46" t="n">
        <v>9967481108</v>
      </c>
      <c r="C1314" s="46" t="inlineStr">
        <is>
          <t>Customer</t>
        </is>
      </c>
      <c r="D1314" s="46" t="inlineStr">
        <is>
          <t>₹ 0</t>
        </is>
      </c>
      <c r="E1314" s="45" t="n"/>
      <c r="F1314" s="45" t="n"/>
      <c r="G1314" s="45" t="n"/>
      <c r="H1314" s="45" t="n"/>
      <c r="I1314" s="45" t="n"/>
      <c r="J1314" s="45" t="n"/>
      <c r="K1314" s="45" t="n"/>
      <c r="L1314" s="45" t="n"/>
      <c r="M1314" s="45" t="n"/>
      <c r="N1314" s="45" t="n"/>
      <c r="O1314" s="45" t="n"/>
    </row>
    <row r="1315" ht="16.5" customHeight="1" s="85">
      <c r="A1315" s="46" t="inlineStr">
        <is>
          <t>Sali</t>
        </is>
      </c>
      <c r="B1315" s="46" t="n">
        <v>9971238723</v>
      </c>
      <c r="C1315" s="46" t="inlineStr">
        <is>
          <t>Customer</t>
        </is>
      </c>
      <c r="D1315" s="46" t="inlineStr">
        <is>
          <t>₹ 0</t>
        </is>
      </c>
      <c r="E1315" s="45" t="n"/>
      <c r="F1315" s="45" t="n"/>
      <c r="G1315" s="45" t="n"/>
      <c r="H1315" s="45" t="n"/>
      <c r="I1315" s="45" t="n"/>
      <c r="J1315" s="45" t="n"/>
      <c r="K1315" s="45" t="n"/>
      <c r="L1315" s="45" t="n"/>
      <c r="M1315" s="45" t="n"/>
      <c r="N1315" s="45" t="n"/>
      <c r="O1315" s="45" t="n"/>
    </row>
    <row r="1316" ht="16.5" customHeight="1" s="85">
      <c r="A1316" s="46" t="inlineStr">
        <is>
          <t>Deepa</t>
        </is>
      </c>
      <c r="B1316" s="46" t="n">
        <v>9971713933</v>
      </c>
      <c r="C1316" s="46" t="inlineStr">
        <is>
          <t>Customer</t>
        </is>
      </c>
      <c r="D1316" s="46" t="inlineStr">
        <is>
          <t>₹ 0</t>
        </is>
      </c>
      <c r="E1316" s="45" t="n"/>
      <c r="F1316" s="45" t="n"/>
      <c r="G1316" s="45" t="n"/>
      <c r="H1316" s="45" t="n"/>
      <c r="I1316" s="45" t="n"/>
      <c r="J1316" s="45" t="n"/>
      <c r="K1316" s="45" t="n"/>
      <c r="L1316" s="45" t="n"/>
      <c r="M1316" s="45" t="n"/>
      <c r="N1316" s="45" t="n"/>
      <c r="O1316" s="45" t="n"/>
    </row>
    <row r="1317" ht="16.5" customHeight="1" s="85">
      <c r="A1317" s="46" t="inlineStr">
        <is>
          <t>Thankamma</t>
        </is>
      </c>
      <c r="B1317" s="46" t="n">
        <v>9973203215</v>
      </c>
      <c r="C1317" s="46" t="inlineStr">
        <is>
          <t>Customer</t>
        </is>
      </c>
      <c r="D1317" s="46" t="inlineStr">
        <is>
          <t>₹ 0</t>
        </is>
      </c>
      <c r="E1317" s="45" t="n"/>
      <c r="F1317" s="45" t="n"/>
      <c r="G1317" s="45" t="n"/>
      <c r="H1317" s="45" t="n"/>
      <c r="I1317" s="45" t="n"/>
      <c r="J1317" s="45" t="n"/>
      <c r="K1317" s="45" t="n"/>
      <c r="L1317" s="45" t="n"/>
      <c r="M1317" s="45" t="n"/>
      <c r="N1317" s="45" t="n"/>
      <c r="O1317" s="45" t="n"/>
    </row>
    <row r="1318" ht="16.5" customHeight="1" s="85">
      <c r="A1318" s="46" t="inlineStr">
        <is>
          <t>St.Joseph</t>
        </is>
      </c>
      <c r="B1318" s="46" t="n">
        <v>9984477778</v>
      </c>
      <c r="C1318" s="46" t="inlineStr">
        <is>
          <t>Customer</t>
        </is>
      </c>
      <c r="D1318" s="46" t="inlineStr">
        <is>
          <t>₹ 0</t>
        </is>
      </c>
      <c r="E1318" s="45" t="n"/>
      <c r="F1318" s="45" t="n"/>
      <c r="G1318" s="45" t="n"/>
      <c r="H1318" s="45" t="n"/>
      <c r="I1318" s="45" t="n"/>
      <c r="J1318" s="45" t="n"/>
      <c r="K1318" s="45" t="n"/>
      <c r="L1318" s="45" t="n"/>
      <c r="M1318" s="45" t="n"/>
      <c r="N1318" s="45" t="n"/>
      <c r="O1318" s="45" t="n"/>
    </row>
    <row r="1319" ht="16.5" customHeight="1" s="85">
      <c r="A1319" s="46" t="inlineStr">
        <is>
          <t>Raymond</t>
        </is>
      </c>
      <c r="B1319" s="46" t="n">
        <v>9984510601</v>
      </c>
      <c r="C1319" s="46" t="inlineStr">
        <is>
          <t>Customer</t>
        </is>
      </c>
      <c r="D1319" s="46" t="inlineStr">
        <is>
          <t>₹ 0</t>
        </is>
      </c>
      <c r="E1319" s="45" t="n"/>
      <c r="F1319" s="45" t="n"/>
      <c r="G1319" s="45" t="n"/>
      <c r="H1319" s="45" t="n"/>
      <c r="I1319" s="45" t="n"/>
      <c r="J1319" s="45" t="n"/>
      <c r="K1319" s="45" t="n"/>
      <c r="L1319" s="45" t="n"/>
      <c r="M1319" s="45" t="n"/>
      <c r="N1319" s="45" t="n"/>
      <c r="O1319" s="45" t="n"/>
    </row>
    <row r="1320" ht="16.5" customHeight="1" s="85">
      <c r="A1320" s="46" t="inlineStr">
        <is>
          <t>Sanjay</t>
        </is>
      </c>
      <c r="B1320" s="46" t="n">
        <v>9984593968</v>
      </c>
      <c r="C1320" s="46" t="inlineStr">
        <is>
          <t>Customer</t>
        </is>
      </c>
      <c r="D1320" s="46" t="inlineStr">
        <is>
          <t>₹ 0</t>
        </is>
      </c>
      <c r="E1320" s="45" t="n"/>
      <c r="F1320" s="45" t="n"/>
      <c r="G1320" s="45" t="n"/>
      <c r="H1320" s="45" t="n"/>
      <c r="I1320" s="45" t="n"/>
      <c r="J1320" s="45" t="n"/>
      <c r="K1320" s="45" t="n"/>
      <c r="L1320" s="45" t="n"/>
      <c r="M1320" s="45" t="n"/>
      <c r="N1320" s="45" t="n"/>
      <c r="O1320" s="45" t="n"/>
    </row>
    <row r="1321" ht="16.5" customHeight="1" s="85">
      <c r="A1321" s="46" t="inlineStr">
        <is>
          <t>Deepak</t>
        </is>
      </c>
      <c r="B1321" s="46" t="n">
        <v>9984815420</v>
      </c>
      <c r="C1321" s="46" t="inlineStr">
        <is>
          <t>Customer</t>
        </is>
      </c>
      <c r="D1321" s="46" t="inlineStr">
        <is>
          <t>₹ 0</t>
        </is>
      </c>
      <c r="E1321" s="45" t="n"/>
      <c r="F1321" s="45" t="n"/>
      <c r="G1321" s="45" t="n"/>
      <c r="H1321" s="45" t="n"/>
      <c r="I1321" s="45" t="n"/>
      <c r="J1321" s="45" t="n"/>
      <c r="K1321" s="45" t="n"/>
      <c r="L1321" s="45" t="n"/>
      <c r="M1321" s="45" t="n"/>
      <c r="N1321" s="45" t="n"/>
      <c r="O1321" s="45" t="n"/>
    </row>
    <row r="1322" ht="16.5" customHeight="1" s="85">
      <c r="A1322" s="46" t="inlineStr">
        <is>
          <t>Little Falwer</t>
        </is>
      </c>
      <c r="B1322" s="46" t="n">
        <v>9984895420</v>
      </c>
      <c r="C1322" s="46" t="inlineStr">
        <is>
          <t>Customer</t>
        </is>
      </c>
      <c r="D1322" s="46" t="inlineStr">
        <is>
          <t>₹ 0</t>
        </is>
      </c>
      <c r="E1322" s="45" t="n"/>
      <c r="F1322" s="45" t="n"/>
      <c r="G1322" s="45" t="n"/>
      <c r="H1322" s="45" t="n"/>
      <c r="I1322" s="45" t="n"/>
      <c r="J1322" s="45" t="n"/>
      <c r="K1322" s="45" t="n"/>
      <c r="L1322" s="45" t="n"/>
      <c r="M1322" s="45" t="n"/>
      <c r="N1322" s="45" t="n"/>
      <c r="O1322" s="45" t="n"/>
    </row>
    <row r="1323" ht="16.5" customHeight="1" s="85">
      <c r="A1323" s="46" t="inlineStr">
        <is>
          <t>Baiju</t>
        </is>
      </c>
      <c r="B1323" s="46" t="n">
        <v>9992803343</v>
      </c>
      <c r="C1323" s="46" t="inlineStr">
        <is>
          <t>Customer</t>
        </is>
      </c>
      <c r="D1323" s="46" t="inlineStr">
        <is>
          <t>₹ 0</t>
        </is>
      </c>
      <c r="E1323" s="45" t="n"/>
      <c r="F1323" s="45" t="n"/>
      <c r="G1323" s="45" t="n"/>
      <c r="H1323" s="45" t="n"/>
      <c r="I1323" s="45" t="n"/>
      <c r="J1323" s="45" t="n"/>
      <c r="K1323" s="45" t="n"/>
      <c r="L1323" s="45" t="n"/>
      <c r="M1323" s="45" t="n"/>
      <c r="N1323" s="45" t="n"/>
      <c r="O1323" s="45" t="n"/>
    </row>
    <row r="1324" ht="16.5" customHeight="1" s="85">
      <c r="A1324" s="46" t="inlineStr">
        <is>
          <t>Ajit</t>
        </is>
      </c>
      <c r="B1324" s="46" t="n">
        <v>9995095950</v>
      </c>
      <c r="C1324" s="46" t="inlineStr">
        <is>
          <t>Customer</t>
        </is>
      </c>
      <c r="D1324" s="46" t="inlineStr">
        <is>
          <t>₹ 0</t>
        </is>
      </c>
      <c r="E1324" s="45" t="n"/>
      <c r="F1324" s="45" t="n"/>
      <c r="G1324" s="45" t="n"/>
      <c r="H1324" s="45" t="n"/>
      <c r="I1324" s="45" t="n"/>
      <c r="J1324" s="45" t="n"/>
      <c r="K1324" s="45" t="n"/>
      <c r="L1324" s="45" t="n"/>
      <c r="M1324" s="45" t="n"/>
      <c r="N1324" s="45" t="n"/>
      <c r="O1324" s="45" t="n"/>
    </row>
    <row r="1325" ht="16.5" customHeight="1" s="85">
      <c r="A1325" s="46" t="inlineStr">
        <is>
          <t>Samim</t>
        </is>
      </c>
      <c r="B1325" s="46" t="n">
        <v>9995205983</v>
      </c>
      <c r="C1325" s="46" t="inlineStr">
        <is>
          <t>Customer</t>
        </is>
      </c>
      <c r="D1325" s="46" t="inlineStr">
        <is>
          <t>₹ 0</t>
        </is>
      </c>
      <c r="E1325" s="45" t="n"/>
      <c r="F1325" s="45" t="n"/>
      <c r="G1325" s="45" t="n"/>
      <c r="H1325" s="45" t="n"/>
      <c r="I1325" s="45" t="n"/>
      <c r="J1325" s="45" t="n"/>
      <c r="K1325" s="45" t="n"/>
      <c r="L1325" s="45" t="n"/>
      <c r="M1325" s="45" t="n"/>
      <c r="N1325" s="45" t="n"/>
      <c r="O1325" s="45" t="n"/>
    </row>
    <row r="1326" ht="16.5" customHeight="1" s="85">
      <c r="A1326" s="46" t="inlineStr">
        <is>
          <t>Binu Manoj</t>
        </is>
      </c>
      <c r="B1326" s="46" t="n">
        <v>9995611254</v>
      </c>
      <c r="C1326" s="46" t="inlineStr">
        <is>
          <t>Customer</t>
        </is>
      </c>
      <c r="D1326" s="46" t="inlineStr">
        <is>
          <t>₹ 0</t>
        </is>
      </c>
      <c r="E1326" s="45" t="n"/>
      <c r="F1326" s="45" t="n"/>
      <c r="G1326" s="45" t="n"/>
      <c r="H1326" s="45" t="n"/>
      <c r="I1326" s="45" t="n"/>
      <c r="J1326" s="45" t="n"/>
      <c r="K1326" s="45" t="n"/>
      <c r="L1326" s="45" t="n"/>
      <c r="M1326" s="45" t="n"/>
      <c r="N1326" s="45" t="n"/>
      <c r="O1326" s="45" t="n"/>
    </row>
    <row r="1327" ht="16.5" customHeight="1" s="85">
      <c r="A1327" s="46" t="inlineStr">
        <is>
          <t>Ramya</t>
        </is>
      </c>
      <c r="B1327" s="46" t="n">
        <v>9995615257</v>
      </c>
      <c r="C1327" s="46" t="inlineStr">
        <is>
          <t>Customer</t>
        </is>
      </c>
      <c r="D1327" s="46" t="inlineStr">
        <is>
          <t>₹ 0</t>
        </is>
      </c>
      <c r="E1327" s="45" t="n"/>
      <c r="F1327" s="45" t="n"/>
      <c r="G1327" s="45" t="n"/>
      <c r="H1327" s="45" t="n"/>
      <c r="I1327" s="45" t="n"/>
      <c r="J1327" s="45" t="n"/>
      <c r="K1327" s="45" t="n"/>
      <c r="L1327" s="45" t="n"/>
      <c r="M1327" s="45" t="n"/>
      <c r="N1327" s="45" t="n"/>
      <c r="O1327" s="45" t="n"/>
    </row>
    <row r="1328" ht="16.5" customHeight="1" s="85">
      <c r="A1328" s="46" t="inlineStr">
        <is>
          <t>Shumit</t>
        </is>
      </c>
      <c r="B1328" s="46" t="n">
        <v>9995635703</v>
      </c>
      <c r="C1328" s="46" t="inlineStr">
        <is>
          <t>Customer</t>
        </is>
      </c>
      <c r="D1328" s="46" t="inlineStr">
        <is>
          <t>₹ 0</t>
        </is>
      </c>
      <c r="E1328" s="45" t="n"/>
      <c r="F1328" s="45" t="n"/>
      <c r="G1328" s="45" t="n"/>
      <c r="H1328" s="45" t="n"/>
      <c r="I1328" s="45" t="n"/>
      <c r="J1328" s="45" t="n"/>
      <c r="K1328" s="45" t="n"/>
      <c r="L1328" s="45" t="n"/>
      <c r="M1328" s="45" t="n"/>
      <c r="N1328" s="45" t="n"/>
      <c r="O1328" s="45" t="n"/>
    </row>
    <row r="1329" ht="16.5" customHeight="1" s="85">
      <c r="A1329" s="46" t="inlineStr">
        <is>
          <t>Subeesh</t>
        </is>
      </c>
      <c r="B1329" s="46" t="n">
        <v>9995913386</v>
      </c>
      <c r="C1329" s="46" t="inlineStr">
        <is>
          <t>Customer</t>
        </is>
      </c>
      <c r="D1329" s="46" t="inlineStr">
        <is>
          <t>₹ 0</t>
        </is>
      </c>
      <c r="E1329" s="45" t="n"/>
      <c r="F1329" s="45" t="n"/>
      <c r="G1329" s="45" t="n"/>
      <c r="H1329" s="45" t="n"/>
      <c r="I1329" s="45" t="n"/>
      <c r="J1329" s="45" t="n"/>
      <c r="K1329" s="45" t="n"/>
      <c r="L1329" s="45" t="n"/>
      <c r="M1329" s="45" t="n"/>
      <c r="N1329" s="45" t="n"/>
      <c r="O1329" s="45" t="n"/>
    </row>
    <row r="1330" ht="16.5" customHeight="1" s="85">
      <c r="A1330" s="46" t="inlineStr">
        <is>
          <t>Abhilash Chargawa Malayalee Philip</t>
        </is>
      </c>
      <c r="B1330" s="46" t="n">
        <v>9995974291</v>
      </c>
      <c r="C1330" s="46" t="inlineStr">
        <is>
          <t>Customer</t>
        </is>
      </c>
      <c r="D1330" s="46" t="inlineStr">
        <is>
          <t>₹ 0</t>
        </is>
      </c>
      <c r="E1330" s="45" t="n"/>
      <c r="F1330" s="45" t="n"/>
      <c r="G1330" s="45" t="n"/>
      <c r="H1330" s="45" t="n"/>
      <c r="I1330" s="45" t="n"/>
      <c r="J1330" s="45" t="n"/>
      <c r="K1330" s="45" t="n"/>
      <c r="L1330" s="45" t="n"/>
      <c r="M1330" s="45" t="n"/>
      <c r="N1330" s="45" t="n"/>
      <c r="O1330" s="45" t="n"/>
    </row>
    <row r="1331" ht="16.5" customHeight="1" s="85">
      <c r="A1331" s="46" t="inlineStr">
        <is>
          <t>Danesh</t>
        </is>
      </c>
      <c r="B1331" s="46" t="n">
        <v>9996584037</v>
      </c>
      <c r="C1331" s="46" t="inlineStr">
        <is>
          <t>Customer</t>
        </is>
      </c>
      <c r="D1331" s="46" t="inlineStr">
        <is>
          <t>₹ 0</t>
        </is>
      </c>
      <c r="E1331" s="45" t="n"/>
      <c r="F1331" s="45" t="n"/>
      <c r="G1331" s="45" t="n"/>
      <c r="H1331" s="45" t="n"/>
      <c r="I1331" s="45" t="n"/>
      <c r="J1331" s="45" t="n"/>
      <c r="K1331" s="45" t="n"/>
      <c r="L1331" s="45" t="n"/>
      <c r="M1331" s="45" t="n"/>
      <c r="N1331" s="45" t="n"/>
      <c r="O1331" s="45" t="n"/>
    </row>
    <row r="1332" ht="16.5" customHeight="1" s="85">
      <c r="A1332" s="46" t="inlineStr">
        <is>
          <t>Mamta</t>
        </is>
      </c>
      <c r="B1332" s="46" t="n">
        <v>9997603706</v>
      </c>
      <c r="C1332" s="46" t="inlineStr">
        <is>
          <t>Customer</t>
        </is>
      </c>
      <c r="D1332" s="46" t="inlineStr">
        <is>
          <t>₹ 0</t>
        </is>
      </c>
      <c r="E1332" s="45" t="n"/>
      <c r="F1332" s="45" t="n"/>
      <c r="G1332" s="45" t="n"/>
      <c r="H1332" s="45" t="n"/>
      <c r="I1332" s="45" t="n"/>
      <c r="J1332" s="45" t="n"/>
      <c r="K1332" s="45" t="n"/>
      <c r="L1332" s="45" t="n"/>
      <c r="M1332" s="45" t="n"/>
      <c r="N1332" s="45" t="n"/>
      <c r="O1332" s="45" t="n"/>
    </row>
    <row r="1333" ht="16.5" customHeight="1" s="85">
      <c r="A1333" s="45" t="inlineStr">
        <is>
          <t>joy ktl</t>
        </is>
      </c>
      <c r="B1333" s="45" t="n"/>
      <c r="C1333" s="45" t="inlineStr">
        <is>
          <t>Customer</t>
        </is>
      </c>
      <c r="D1333" s="45" t="n">
        <v>0</v>
      </c>
      <c r="E1333" s="45" t="n"/>
      <c r="F1333" s="45" t="n"/>
      <c r="G1333" s="45" t="n"/>
      <c r="H1333" s="45" t="n"/>
      <c r="I1333" s="45" t="n"/>
      <c r="J1333" s="45" t="n"/>
      <c r="K1333" s="45" t="n"/>
      <c r="L1333" s="45" t="n"/>
      <c r="M1333" s="45" t="n"/>
      <c r="N1333" s="45" t="n"/>
      <c r="O1333" s="45" t="n"/>
    </row>
  </sheetData>
  <dataValidations count="1">
    <dataValidation sqref="B19 B71 B78 B95 B148 B169 B174 B180 B281 B298 B349 B389 B396 B410 B534 B576 B591 B624 B645 B656 B670 B771 B807 B811 B828 B922 B944 B946:B947 B954:B955 B981 B1006 B1019:B1020 B1029 B1031 B1080 B1127 B1129 B1133 B1188 B1193 B1204 B1223 B1267 B1289 B1324 B1330" showDropDown="0" showInputMessage="0" showErrorMessage="0" allowBlank="1" type="list">
      <formula1>"Customer,Vendor"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1:K16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28125" defaultRowHeight="15.75" customHeight="1"/>
  <cols>
    <col width="3.90625" customWidth="1" style="85" min="1" max="1"/>
    <col width="22.6328125" customWidth="1" style="85" min="2" max="2"/>
    <col width="13.90625" customWidth="1" style="85" min="3" max="3"/>
    <col width="27.6328125" customWidth="1" style="85" min="4" max="4"/>
    <col width="16.36328125" customWidth="1" style="85" min="5" max="6"/>
    <col width="13.90625" customWidth="1" style="85" min="7" max="7"/>
    <col width="17.6328125" customWidth="1" style="85" min="8" max="8"/>
    <col width="13.90625" customWidth="1" style="85" min="9" max="9"/>
    <col width="20.08984375" customWidth="1" style="85" min="10" max="10"/>
    <col width="28.90625" customWidth="1" style="85" min="11" max="11"/>
  </cols>
  <sheetData>
    <row r="1" ht="30" customHeight="1" s="85">
      <c r="B1" s="102" t="inlineStr">
        <is>
          <t>💳 SHALOM • PENDING PAYMENTS &amp; ACCOUNTS RECEIVABLE MANAGEMENT</t>
        </is>
      </c>
    </row>
    <row r="3" ht="12.5" customHeight="1" s="85">
      <c r="B3" s="103" t="inlineStr">
        <is>
          <t>TOTAL RECEIVABLE DUES</t>
        </is>
      </c>
      <c r="D3" s="103" t="inlineStr">
        <is>
          <t>UNPAID SALES INVOICES</t>
        </is>
      </c>
      <c r="F3" s="103" t="inlineStr">
        <is>
          <t>DIRECTORY CUSTOMER DUES</t>
        </is>
      </c>
      <c r="H3" s="103" t="inlineStr">
        <is>
          <t>OVERDUE DUES (&gt;30 DAYS)</t>
        </is>
      </c>
      <c r="J3" s="103" t="inlineStr">
        <is>
          <t>FOLLOW-UP READINESS</t>
        </is>
      </c>
    </row>
    <row r="4" ht="19" customHeight="1" s="85">
      <c r="B4" s="136">
        <f>H16</f>
        <v/>
      </c>
      <c r="D4" s="99">
        <f>COUNTIF(F8:F100, "Sales Invoice")</f>
        <v/>
      </c>
      <c r="F4" s="99">
        <f>COUNTIF(F8:F100, "Directory Ledger")</f>
        <v/>
      </c>
      <c r="H4" s="99">
        <f>COUNTIF(J8:J100, "*Overdue*")</f>
        <v/>
      </c>
      <c r="J4" s="99" t="inlineStr">
        <is>
          <t>100% READY</t>
        </is>
      </c>
    </row>
    <row r="5" ht="12.5" customHeight="1" s="85">
      <c r="B5" s="100" t="inlineStr">
        <is>
          <t>All unpaid invoices &amp; ledger balances</t>
        </is>
      </c>
      <c r="D5" s="100">
        <f>TEXT(SUMIF(F8:F100, "Sales Invoice", H8:H100), "₹#,##0.00") &amp; " from Invoicing"</f>
        <v/>
      </c>
      <c r="F5" s="100">
        <f>TEXT(SUMIF(F8:F100, "Directory Ledger", H8:H100), "₹#,##0.00") &amp; " Ledger Dues"</f>
        <v/>
      </c>
      <c r="H5" s="100" t="inlineStr">
        <is>
          <t>Priority collections required</t>
        </is>
      </c>
      <c r="J5" s="100" t="inlineStr">
        <is>
          <t>Direct WhatsApp Action Links</t>
        </is>
      </c>
    </row>
    <row r="7" ht="24" customHeight="1" s="85">
      <c r="B7" s="47" t="inlineStr">
        <is>
          <t>Invoice / Ref #</t>
        </is>
      </c>
      <c r="C7" s="47" t="inlineStr">
        <is>
          <t>Date</t>
        </is>
      </c>
      <c r="D7" s="47" t="inlineStr">
        <is>
          <t>Customer / Party Name</t>
        </is>
      </c>
      <c r="E7" s="47" t="inlineStr">
        <is>
          <t>Mobile Number</t>
        </is>
      </c>
      <c r="F7" s="47" t="inlineStr">
        <is>
          <t>Source Type</t>
        </is>
      </c>
      <c r="G7" s="47" t="inlineStr">
        <is>
          <t>Payment Status</t>
        </is>
      </c>
      <c r="H7" s="47" t="inlineStr">
        <is>
          <t>Pending Amount (₹)</t>
        </is>
      </c>
      <c r="I7" s="47" t="inlineStr">
        <is>
          <t>Days Overdue</t>
        </is>
      </c>
      <c r="J7" s="47" t="inlineStr">
        <is>
          <t>Aging Tier</t>
        </is>
      </c>
      <c r="K7" s="47" t="inlineStr">
        <is>
          <t>1-Click WhatsApp Reminder</t>
        </is>
      </c>
    </row>
    <row r="8" ht="21" customHeight="1" s="85">
      <c r="B8" s="48" t="inlineStr">
        <is>
          <t>INV-20261005-000442</t>
        </is>
      </c>
      <c r="C8" s="137" t="n">
        <v>46300</v>
      </c>
      <c r="D8" s="50" t="inlineStr">
        <is>
          <t>joy</t>
        </is>
      </c>
      <c r="E8" s="48">
        <f t="array" ref="E8">IFERROR(_xlfn.XLOOKUP(D8, Parties_Directory!A$2:A100, Parties_Directory!B$2:B100, _xlfn.XLOOKUP("*"&amp;D8&amp;"*", Parties_Directory!A$2:A100, Parties_Directory!B$2:B100, "Not Available", 2)), "Not Available")</f>
        <v/>
      </c>
      <c r="F8" s="48" t="inlineStr">
        <is>
          <t>Sales Invoice</t>
        </is>
      </c>
      <c r="G8" s="48" t="inlineStr">
        <is>
          <t>Unpaid</t>
        </is>
      </c>
      <c r="H8" s="138">
        <f>SUMIFS(Sales_Invoicing!L:L, Sales_Invoicing!A:A, B8, Sales_Invoicing!M:M, "Unpaid")</f>
        <v/>
      </c>
      <c r="I8" s="52">
        <f>IFERROR(__xludf.DUMMYFUNCTION("IF(C8="""", """", MAX(0, TODAY() - DATEVALUE(TO_TEXT(C8))))"),5)</f>
        <v/>
      </c>
      <c r="J8" s="48">
        <f>IF(I8="", "", IF(I8&lt;=15, "Current (0-15 Days)", IF(I8&lt;=30, "Due (16-30 Days)", "Overdue (&gt;30 Days)")))</f>
        <v/>
      </c>
      <c r="K8" s="53">
        <f>IFERROR(__xludf.DUMMYFUNCTION("IF(AND(E8&lt;&gt;""Not Available"", E8&lt;&gt;""""), HYPERLINK(""https://wa.me/91"" &amp; REGEXREPLACE(TO_TEXT(E8), ""[^0-9]"", """") &amp; ""?text="" &amp; ENCODEURL(""Hello "" &amp; D8 &amp; "", this is a friendly reminder from SHALOM regarding your pending balance of ₹"" &amp; TEXT(H8, "&amp;"""#,##0.00"") &amp; "" (Ref: "" &amp; B8 &amp; ""). Kindly arrange the payment at your earliest convenience. Thank you!""), ""💬 Send WhatsApp Reminder""), ""— (No Contact)"")"),"💬 Send WhatsApp Reminder")</f>
        <v/>
      </c>
    </row>
    <row r="9" ht="21" customHeight="1" s="85">
      <c r="B9" s="48" t="inlineStr">
        <is>
          <t>INV-20261005-004102</t>
        </is>
      </c>
      <c r="C9" s="137" t="n">
        <v>46300</v>
      </c>
      <c r="D9" s="50" t="inlineStr">
        <is>
          <t>Suja</t>
        </is>
      </c>
      <c r="E9" s="48">
        <f t="array" ref="E9">IFERROR(_xlfn.XLOOKUP(D9, Parties_Directory!A$2:A100, Parties_Directory!B$2:B100, _xlfn.XLOOKUP("*"&amp;D9&amp;"*", Parties_Directory!A$2:A100, Parties_Directory!B$2:B100, "Not Available", 2)), "Not Available")</f>
        <v/>
      </c>
      <c r="F9" s="48" t="inlineStr">
        <is>
          <t>Sales Invoice</t>
        </is>
      </c>
      <c r="G9" s="48" t="inlineStr">
        <is>
          <t>Unpaid</t>
        </is>
      </c>
      <c r="H9" s="138">
        <f>SUMIFS(Sales_Invoicing!L:L, Sales_Invoicing!A:A, B9, Sales_Invoicing!M:M, "Unpaid")</f>
        <v/>
      </c>
      <c r="I9" s="52">
        <f>IFERROR(__xludf.DUMMYFUNCTION("IF(C9="""", """", MAX(0, TODAY() - DATEVALUE(TO_TEXT(C9))))"),5)</f>
        <v/>
      </c>
      <c r="J9" s="48">
        <f>IF(I9="", "", IF(I9&lt;=15, "Current (0-15 Days)", IF(I9&lt;=30, "Due (16-30 Days)", "Overdue (&gt;30 Days)")))</f>
        <v/>
      </c>
      <c r="K9" s="48">
        <f>IFERROR(__xludf.DUMMYFUNCTION("IF(AND(E9&lt;&gt;""Not Available"", E9&lt;&gt;""""), HYPERLINK(""https://wa.me/91"" &amp; REGEXREPLACE(TO_TEXT(E9), ""[^0-9]"", """") &amp; ""?text="" &amp; ENCODEURL(""Hello "" &amp; D8 &amp; "", this is a friendly reminder from SHALOM regarding your pending balance of ₹"" &amp; TEXT(H9, "&amp;"""#,##0.00"") &amp; "" (Ref: "" &amp; B9 &amp; ""). Kindly arrange the payment at your earliest convenience. Thank you!""), ""💬 Send WhatsApp Reminder""), ""— (No Contact)"")"),"— (No Contact)")</f>
        <v/>
      </c>
    </row>
    <row r="10" ht="21" customHeight="1" s="85">
      <c r="B10" s="48" t="inlineStr">
        <is>
          <t>DIR-LEDGER-01</t>
        </is>
      </c>
      <c r="C10" s="137" t="n">
        <v>46280</v>
      </c>
      <c r="D10" s="50" t="inlineStr">
        <is>
          <t>Akhilesh Malayalee Air Force Gkp</t>
        </is>
      </c>
      <c r="E10" s="48">
        <f t="array" ref="E10">IFERROR(_xlfn.XLOOKUP(D10, Parties_Directory!A$2:A100, Parties_Directory!B$2:B100, "Not Available"), "Not Available")</f>
        <v/>
      </c>
      <c r="F10" s="48" t="inlineStr">
        <is>
          <t>Directory Ledger</t>
        </is>
      </c>
      <c r="G10" s="48" t="inlineStr">
        <is>
          <t>Overdue</t>
        </is>
      </c>
      <c r="H10" s="138" t="n">
        <v>58935.32</v>
      </c>
      <c r="I10" s="52">
        <f>IFERROR(__xludf.DUMMYFUNCTION("IF(C10="""", """", MAX(0, TODAY() - DATEVALUE(TO_TEXT(C10))))"),25)</f>
        <v/>
      </c>
      <c r="J10" s="48">
        <f>IF(I10="", "", IF(I10&lt;=15, "Current (0-15 Days)", IF(I10&lt;=30, "Due (16-30 Days)", "Overdue (&gt;30 Days)")))</f>
        <v/>
      </c>
      <c r="K10" s="53">
        <f>IFERROR(__xludf.DUMMYFUNCTION("IF(AND(E10&lt;&gt;""Not Available"", E10&lt;&gt;""""), HYPERLINK(""https://wa.me/91"" &amp; REGEXREPLACE(TO_TEXT(E10), ""[^0-9]"", """") &amp; ""?text="" &amp; ENCODEURL(""Hello "" &amp; D10 &amp; "", this is a friendly reminder from SHALOM STORES regarding your pending balance of ₹"" &amp;"&amp;" TEXT(H10, ""#,##0.00"") &amp; "" (Ref: "" &amp; B10 &amp; ""). Kindly arrange the payment at your earliest convenience. Thank you!""), ""💬 Send WhatsApp Reminder""), ""— (No Contact)"")"),"💬 Send WhatsApp Reminder")</f>
        <v/>
      </c>
    </row>
    <row r="11" ht="21" customHeight="1" s="85">
      <c r="B11" s="48" t="inlineStr">
        <is>
          <t>DIR-LEDGER-02</t>
        </is>
      </c>
      <c r="C11" s="137" t="n">
        <v>46285</v>
      </c>
      <c r="D11" s="50" t="inlineStr">
        <is>
          <t>Reeba Chechi 2022</t>
        </is>
      </c>
      <c r="E11" s="48">
        <f t="array" ref="E11">IFERROR(_xlfn.XLOOKUP(D11, Parties_Directory!A$2:A100, Parties_Directory!B$2:B100, "Not Available"), "Not Available")</f>
        <v/>
      </c>
      <c r="F11" s="48" t="inlineStr">
        <is>
          <t>Directory Ledger</t>
        </is>
      </c>
      <c r="G11" s="48" t="inlineStr">
        <is>
          <t>Overdue</t>
        </is>
      </c>
      <c r="H11" s="138" t="n">
        <v>24746.8</v>
      </c>
      <c r="I11" s="52">
        <f>IFERROR(__xludf.DUMMYFUNCTION("IF(C11="""", """", MAX(0, TODAY() - DATEVALUE(TO_TEXT(C11))))"),20)</f>
        <v/>
      </c>
      <c r="J11" s="48">
        <f>IF(I11="", "", IF(I11&lt;=15, "Current (0-15 Days)", IF(I11&lt;=30, "Due (16-30 Days)", "Overdue (&gt;30 Days)")))</f>
        <v/>
      </c>
      <c r="K11" s="53">
        <f>IFERROR(__xludf.DUMMYFUNCTION("IF(AND(E11&lt;&gt;""Not Available"", E11&lt;&gt;""""), HYPERLINK(""https://wa.me/91"" &amp; REGEXREPLACE(TO_TEXT(E11), ""[^0-9]"", """") &amp; ""?text="" &amp; ENCODEURL(""Hello "" &amp; D11 &amp; "", this is a friendly reminder from SHALOM regarding your pending balance of ₹"" &amp; TEXT(H"&amp;"11, ""#,##0.00"") &amp; "" (Ref: "" &amp; B11 &amp; ""). Kindly arrange the payment at your earliest convenience. Thank you!""), ""💬 Send WhatsApp Reminder""), ""— (No Contact)"")"),"💬 Send WhatsApp Reminder")</f>
        <v/>
      </c>
    </row>
    <row r="12" ht="21" customHeight="1" s="85">
      <c r="B12" s="48" t="inlineStr">
        <is>
          <t>DIR-LEDGER-03</t>
        </is>
      </c>
      <c r="C12" s="137" t="n">
        <v>46290</v>
      </c>
      <c r="D12" s="50" t="inlineStr">
        <is>
          <t>Shambhoo Chouhan</t>
        </is>
      </c>
      <c r="E12" s="48">
        <f t="array" ref="E12">IFERROR(_xlfn.XLOOKUP(D12, Parties_Directory!A$2:A100, Parties_Directory!B$2:B100, "Not Available"), "Not Available")</f>
        <v/>
      </c>
      <c r="F12" s="48" t="inlineStr">
        <is>
          <t>Directory Ledger</t>
        </is>
      </c>
      <c r="G12" s="48" t="inlineStr">
        <is>
          <t>Overdue</t>
        </is>
      </c>
      <c r="H12" s="138" t="n">
        <v>12653</v>
      </c>
      <c r="I12" s="52">
        <f>IFERROR(__xludf.DUMMYFUNCTION("IF(C12="""", """", MAX(0, TODAY() - DATEVALUE(TO_TEXT(C12))))"),15)</f>
        <v/>
      </c>
      <c r="J12" s="48">
        <f>IF(I12="", "", IF(I12&lt;=15, "Current (0-15 Days)", IF(I12&lt;=30, "Due (16-30 Days)", "Overdue (&gt;30 Days)")))</f>
        <v/>
      </c>
      <c r="K12" s="53">
        <f>IFERROR(__xludf.DUMMYFUNCTION("IF(AND(E12&lt;&gt;""Not Available"", E12&lt;&gt;""""), HYPERLINK(""https://wa.me/91"" &amp; REGEXREPLACE(TO_TEXT(E12), ""[^0-9]"", """") &amp; ""?text="" &amp; ENCODEURL(""Hello "" &amp; D12 &amp; "", this is a friendly reminder from SHALOM regarding your pending balance of ₹"" &amp; TEXT(H"&amp;"12, ""#,##0.00"") &amp; "" (Ref: "" &amp; B12 &amp; ""). Kindly arrange the payment at your earliest convenience. Thank you!""), ""💬 Send WhatsApp Reminder""), ""— (No Contact)"")"),"💬 Send WhatsApp Reminder")</f>
        <v/>
      </c>
    </row>
    <row r="13" ht="21" customHeight="1" s="85">
      <c r="B13" s="48" t="inlineStr">
        <is>
          <t>DIR-LEDGER-04</t>
        </is>
      </c>
      <c r="C13" s="137" t="n">
        <v>46293</v>
      </c>
      <c r="D13" s="50" t="inlineStr">
        <is>
          <t>Anna Cafe Maharajganj</t>
        </is>
      </c>
      <c r="E13" s="48">
        <f t="array" ref="E13">IFERROR(_xlfn.XLOOKUP(D13, Parties_Directory!A$2:A100, Parties_Directory!B$2:B100, "Not Available"), "Not Available")</f>
        <v/>
      </c>
      <c r="F13" s="48" t="inlineStr">
        <is>
          <t>Directory Ledger</t>
        </is>
      </c>
      <c r="G13" s="48" t="inlineStr">
        <is>
          <t>Overdue</t>
        </is>
      </c>
      <c r="H13" s="138" t="n">
        <v>9276.049999999999</v>
      </c>
      <c r="I13" s="52">
        <f>IFERROR(__xludf.DUMMYFUNCTION("IF(C13="""", """", MAX(0, TODAY() - DATEVALUE(TO_TEXT(C13))))"),12)</f>
        <v/>
      </c>
      <c r="J13" s="48">
        <f>IF(I13="", "", IF(I13&lt;=15, "Current (0-15 Days)", IF(I13&lt;=30, "Due (16-30 Days)", "Overdue (&gt;30 Days)")))</f>
        <v/>
      </c>
      <c r="K13" s="53">
        <f>IFERROR(__xludf.DUMMYFUNCTION("IF(AND(E13&lt;&gt;""Not Available"", E13&lt;&gt;""""), HYPERLINK(""https://wa.me/91"" &amp; REGEXREPLACE(TO_TEXT(E13), ""[^0-9]"", """") &amp; ""?text="" &amp; ENCODEURL(""Hello "" &amp; D13 &amp; "", this is a friendly reminder from SHALOM regarding your pending balance of ₹"" &amp; TEXT(H"&amp;"13, ""#,##0.00"") &amp; "" (Ref: "" &amp; B13 &amp; ""). Kindly arrange the payment at your earliest convenience. Thank you!""), ""💬 Send WhatsApp Reminder""), ""— (No Contact)"")"),"💬 Send WhatsApp Reminder")</f>
        <v/>
      </c>
    </row>
    <row r="14" ht="21" customHeight="1" s="85">
      <c r="B14" s="48" t="inlineStr">
        <is>
          <t>DIR-LEDGER-05</t>
        </is>
      </c>
      <c r="C14" s="137" t="n">
        <v>46296</v>
      </c>
      <c r="D14" s="50" t="inlineStr">
        <is>
          <t>Daniel LEF GKP</t>
        </is>
      </c>
      <c r="E14" s="48">
        <f t="array" ref="E14">IFERROR(_xlfn.XLOOKUP(D14, Parties_Directory!A$2:A100, Parties_Directory!B$2:B100, "Not Available"), "Not Available")</f>
        <v/>
      </c>
      <c r="F14" s="48" t="inlineStr">
        <is>
          <t>Directory Ledger</t>
        </is>
      </c>
      <c r="G14" s="48" t="inlineStr">
        <is>
          <t>Due</t>
        </is>
      </c>
      <c r="H14" s="138" t="n">
        <v>7000</v>
      </c>
      <c r="I14" s="52">
        <f>IFERROR(__xludf.DUMMYFUNCTION("IF(C14="""", """", MAX(0, TODAY() - DATEVALUE(TO_TEXT(C14))))"),9)</f>
        <v/>
      </c>
      <c r="J14" s="48">
        <f>IF(I14="", "", IF(I14&lt;=15, "Current (0-15 Days)", IF(I14&lt;=30, "Due (16-30 Days)", "Overdue (&gt;30 Days)")))</f>
        <v/>
      </c>
      <c r="K14" s="53">
        <f>IFERROR(__xludf.DUMMYFUNCTION("IF(AND(E14&lt;&gt;""Not Available"", E14&lt;&gt;""""), HYPERLINK(""https://wa.me/91"" &amp; REGEXREPLACE(TO_TEXT(E14), ""[^0-9]"", """") &amp; ""?text="" &amp; ENCODEURL(""Hello "" &amp; D14 &amp; "", this is a friendly reminder from SHALOM regarding your pending balance of ₹"" &amp; TEXT(H"&amp;"14, ""#,##0.00"") &amp; "" (Ref: "" &amp; B14 &amp; ""). Kindly arrange the payment at your earliest convenience. Thank you!""), ""💬 Send WhatsApp Reminder""), ""— (No Contact)"")"),"💬 Send WhatsApp Reminder")</f>
        <v/>
      </c>
    </row>
    <row r="15" ht="21" customHeight="1" s="85">
      <c r="B15" s="48" t="inlineStr">
        <is>
          <t>DIR-LEDGER-06</t>
        </is>
      </c>
      <c r="C15" s="137" t="n">
        <v>46297</v>
      </c>
      <c r="D15" s="50" t="inlineStr">
        <is>
          <t>Aneesh</t>
        </is>
      </c>
      <c r="E15" s="48">
        <f t="array" ref="E15">IFERROR(_xlfn.XLOOKUP(D15, Parties_Directory!A$2:A100, Parties_Directory!B$2:B100, "Not Available"), "Not Available")</f>
        <v/>
      </c>
      <c r="F15" s="48" t="inlineStr">
        <is>
          <t>Directory Ledger</t>
        </is>
      </c>
      <c r="G15" s="48" t="inlineStr">
        <is>
          <t>Due</t>
        </is>
      </c>
      <c r="H15" s="138" t="n">
        <v>1189</v>
      </c>
      <c r="I15" s="52">
        <f>IFERROR(__xludf.DUMMYFUNCTION("IF(C15="""", """", MAX(0, TODAY() - DATEVALUE(TO_TEXT(C15))))"),8)</f>
        <v/>
      </c>
      <c r="J15" s="48">
        <f>IF(I15="", "", IF(I15&lt;=15, "Current (0-15 Days)", IF(I15&lt;=30, "Due (16-30 Days)", "Overdue (&gt;30 Days)")))</f>
        <v/>
      </c>
      <c r="K15" s="53">
        <f>IFERROR(__xludf.DUMMYFUNCTION("IF(AND(E15&lt;&gt;""Not Available"", E15&lt;&gt;""""), HYPERLINK(""https://wa.me/91"" &amp; REGEXREPLACE(TO_TEXT(E15), ""[^0-9]"", """") &amp; ""?text="" &amp; ENCODEURL(""Hello "" &amp; D15 &amp; "", this is a friendly reminder from SHALOM regarding your pending balance of ₹"" &amp; TEXT(H"&amp;"15, ""#,##0.00"") &amp; "" (Ref: "" &amp; B15 &amp; ""). Kindly arrange the payment at your earliest convenience. Thank you!""), ""💬 Send WhatsApp Reminder""), ""— (No Contact)"")"),"💬 Send WhatsApp Reminder")</f>
        <v/>
      </c>
    </row>
    <row r="16" ht="24" customHeight="1" s="85">
      <c r="B16" s="101" t="inlineStr">
        <is>
          <t>TOTAL OUTSTANDING</t>
        </is>
      </c>
      <c r="H16" s="139">
        <f>SUM(H8:H15)</f>
        <v/>
      </c>
      <c r="I16" s="55" t="n"/>
      <c r="J16" s="55" t="n"/>
      <c r="K16" s="55" t="n"/>
    </row>
  </sheetData>
  <mergeCells count="17">
    <mergeCell ref="F3:G3"/>
    <mergeCell ref="B16:G16"/>
    <mergeCell ref="J3:K3"/>
    <mergeCell ref="J4:K4"/>
    <mergeCell ref="F4:G4"/>
    <mergeCell ref="B1:K1"/>
    <mergeCell ref="J5:K5"/>
    <mergeCell ref="B3:C3"/>
    <mergeCell ref="B5:C5"/>
    <mergeCell ref="F5:G5"/>
    <mergeCell ref="D5:E5"/>
    <mergeCell ref="H5:I5"/>
    <mergeCell ref="D4:E4"/>
    <mergeCell ref="H4:I4"/>
    <mergeCell ref="D3:E3"/>
    <mergeCell ref="B4:C4"/>
    <mergeCell ref="H3:I3"/>
  </mergeCells>
  <conditionalFormatting sqref="G8:G15">
    <cfRule type="cellIs" priority="1" operator="equal" dxfId="1" stopIfTrue="1">
      <formula>"Overdue"</formula>
    </cfRule>
    <cfRule type="cellIs" priority="2" operator="equal" dxfId="3" stopIfTrue="1">
      <formula>"Unpaid"</formula>
    </cfRule>
    <cfRule type="cellIs" priority="3" operator="equal" dxfId="2" stopIfTrue="1">
      <formula>"Due"</formula>
    </cfRule>
  </conditionalFormatting>
  <conditionalFormatting sqref="J8:J15">
    <cfRule type="containsText" priority="4" operator="containsText" dxfId="1" stopIfTrue="1" text="Overdue">
      <formula>NOT(ISERROR(SEARCH(("Overdue"),(J8))))</formula>
    </cfRule>
    <cfRule type="containsText" priority="5" operator="containsText" dxfId="0" stopIfTrue="1" text="Current">
      <formula>NOT(ISERROR(SEARCH(("Current"),(J8))))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O26"/>
  <sheetViews>
    <sheetView workbookViewId="0">
      <selection activeCell="A1" sqref="A1"/>
    </sheetView>
  </sheetViews>
  <sheetFormatPr baseColWidth="8" defaultColWidth="12.6328125" defaultRowHeight="15.75" customHeight="1"/>
  <cols>
    <col width="3.26953125" customWidth="1" style="85" min="1" max="1"/>
    <col width="27.6328125" customWidth="1" style="85" min="2" max="2"/>
    <col width="14.453125" customWidth="1" style="85" min="3" max="3"/>
    <col width="17" customWidth="1" style="85" min="4" max="6"/>
    <col width="13.90625" customWidth="1" style="85" min="7" max="7"/>
    <col width="18.90625" customWidth="1" style="85" min="8" max="8"/>
    <col width="12.6328125" customWidth="1" style="85" min="9" max="15"/>
  </cols>
  <sheetData>
    <row r="1" ht="11.25" customHeight="1" s="85"/>
    <row r="2" ht="21" customHeight="1" s="85">
      <c r="B2" s="105" t="inlineStr">
        <is>
          <t>📊 EXECUTIVE SALES &amp; PROFIT ANALYTICS</t>
        </is>
      </c>
      <c r="H2" s="140" t="inlineStr">
        <is>
          <t>🧾 BILL PAGE</t>
        </is>
      </c>
      <c r="I2" s="141" t="n"/>
      <c r="J2" s="142" t="inlineStr">
        <is>
          <t>✏️ EDIT PAGE</t>
        </is>
      </c>
      <c r="K2" s="141" t="n"/>
      <c r="L2" s="143" t="inlineStr">
        <is>
          <t>🛒 PURCHASE PAGE</t>
        </is>
      </c>
      <c r="M2" s="141" t="n"/>
      <c r="N2" s="144" t="inlineStr">
        <is>
          <t>🏠 DASHBOARD</t>
        </is>
      </c>
      <c r="O2" s="141" t="n"/>
    </row>
    <row r="3" ht="21" customHeight="1" s="85">
      <c r="H3" s="145" t="n"/>
      <c r="I3" s="146" t="n"/>
      <c r="J3" s="145" t="n"/>
      <c r="K3" s="146" t="n"/>
      <c r="L3" s="145" t="n"/>
      <c r="M3" s="146" t="n"/>
      <c r="N3" s="145" t="n"/>
      <c r="O3" s="146" t="n"/>
    </row>
    <row r="4" ht="9" customHeight="1" s="85"/>
    <row r="5" ht="24" customHeight="1" s="85">
      <c r="B5" s="147" t="inlineStr">
        <is>
          <t>⏳ Select Reporting Timeframe:</t>
        </is>
      </c>
      <c r="C5" s="148" t="n"/>
      <c r="D5" s="149" t="inlineStr">
        <is>
          <t>Monthly</t>
        </is>
      </c>
      <c r="E5" s="148" t="n"/>
      <c r="F5" s="150">
        <f>"Showing: " &amp; D5 &amp; " Performance"</f>
        <v/>
      </c>
      <c r="G5" s="148" t="n"/>
    </row>
    <row r="6" ht="9" customHeight="1" s="85"/>
    <row r="7" ht="19.5" customHeight="1" s="85">
      <c r="B7" s="151" t="inlineStr">
        <is>
          <t>📦 TOTAL STOCK VALUE</t>
        </is>
      </c>
      <c r="C7" s="152" t="n"/>
      <c r="D7" s="153" t="n"/>
      <c r="F7" s="151">
        <f>"💰 TOTAL SALES (" &amp; UPPER(D5) &amp; ")"</f>
        <v/>
      </c>
      <c r="G7" s="152" t="n"/>
      <c r="H7" s="153" t="n"/>
      <c r="J7" s="151">
        <f>"📈 GROSS PROFIT (" &amp; UPPER(D5) &amp; ")"</f>
        <v/>
      </c>
      <c r="K7" s="152" t="n"/>
      <c r="L7" s="153" t="n"/>
      <c r="M7" s="151">
        <f>"🎯 PROFIT MARGIN (" &amp; UPPER(D5) &amp; ")"</f>
        <v/>
      </c>
      <c r="N7" s="152" t="n"/>
      <c r="O7" s="153" t="n"/>
    </row>
    <row r="8" ht="21" customHeight="1" s="85">
      <c r="B8" s="154">
        <f>SUM(Inventory_Master!P2:P100)</f>
        <v/>
      </c>
      <c r="C8" s="155" t="n"/>
      <c r="D8" s="156" t="n"/>
      <c r="F8" s="157">
        <f>_xludf.IFS(D5="Daily", SUMIFS(Sales_Invoicing!L:L, Sales_Invoicing!B:B, "&gt;="&amp;TODAY(), Sales_Invoicing!B:B, "&lt;"&amp;TODAY()+1), D5="Monthly", SUMIFS(Sales_Invoicing!L:L, Sales_Invoicing!B:B, "&gt;="&amp;DATE(YEAR(TODAY()), MONTH(TODAY()), 1), Sales_Invoicing!B:B, "&lt;"&amp;EDATE(DATE(YEAR(TODAY()), MONTH(TODAY()), 1), 1)), D5="Quarterly", SUMIFS(Sales_Invoicing!L:L, Sales_Invoicing!B:B, "&gt;="&amp;DATE(YEAR(TODAY()), INT((MONTH(TODAY())-1)/3)*3+1, 1), Sales_Invoicing!B:B, "&lt;"&amp;EDATE(DATE(YEAR(TODAY()), INT((MONTH(TODAY())-1)/3)*3+1, 1), 3)), D5="Yearly", SUMIFS(Sales_Invoicing!L:L, Sales_Invoicing!B:B, "&gt;="&amp;DATE(YEAR(TODAY()), 1, 1), Sales_Invoicing!B:B, "&lt;"&amp;DATE(YEAR(TODAY())+1, 1, 1)), TRUE, SUM(Sales_Invoicing!L2:L100))</f>
        <v/>
      </c>
      <c r="G8" s="155" t="n"/>
      <c r="H8" s="156" t="n"/>
      <c r="J8" s="158">
        <f>_xludf.IFS(D5="Daily", SUMIFS(Sales_Invoicing!Q:Q, Sales_Invoicing!B:B, "&gt;="&amp;TODAY(), Sales_Invoicing!B:B, "&lt;"&amp;TODAY()+1), D5="Monthly", SUMIFS(Sales_Invoicing!Q:Q, Sales_Invoicing!B:B, "&gt;="&amp;DATE(YEAR(TODAY()), MONTH(TODAY()), 1), Sales_Invoicing!B:B, "&lt;"&amp;EDATE(DATE(YEAR(TODAY()), MONTH(TODAY()), 1), 1)), D5="Quarterly", SUMIFS(Sales_Invoicing!Q:Q, Sales_Invoicing!B:B, "&gt;="&amp;DATE(YEAR(TODAY()), INT((MONTH(TODAY())-1)/3)*3+1, 1), Sales_Invoicing!B:B, "&lt;"&amp;EDATE(DATE(YEAR(TODAY()), INT((MONTH(TODAY())-1)/3)*3+1, 1), 3)), D5="Yearly", SUMIFS(Sales_Invoicing!Q:Q, Sales_Invoicing!B:B, "&gt;="&amp;DATE(YEAR(TODAY()), 1, 1), Sales_Invoicing!B:B, "&lt;"&amp;DATE(YEAR(TODAY())+1, 1, 1)), TRUE, SUM(Sales_Invoicing!Q2:Q100))</f>
        <v/>
      </c>
      <c r="K8" s="155" t="n"/>
      <c r="L8" s="156" t="n"/>
      <c r="M8" s="159">
        <f>IFERROR(J8/F8, 0)</f>
        <v/>
      </c>
      <c r="N8" s="155" t="n"/>
      <c r="O8" s="156" t="n"/>
    </row>
    <row r="9" ht="21" customHeight="1" s="85">
      <c r="B9" s="160" t="n"/>
      <c r="C9" s="161" t="n"/>
      <c r="D9" s="162" t="n"/>
      <c r="F9" s="160" t="n"/>
      <c r="G9" s="161" t="n"/>
      <c r="H9" s="162" t="n"/>
      <c r="J9" s="160" t="n"/>
      <c r="K9" s="161" t="n"/>
      <c r="L9" s="162" t="n"/>
      <c r="M9" s="160" t="n"/>
      <c r="N9" s="161" t="n"/>
      <c r="O9" s="162" t="n"/>
    </row>
    <row r="10" ht="16.5" customHeight="1" s="85">
      <c r="B10" s="163">
        <f>"Catalog: " &amp; TEXT(COUNTA(Inventory_Master!A2:A100), "#,##0") &amp; " Products"</f>
        <v/>
      </c>
      <c r="C10" s="164" t="n"/>
      <c r="D10" s="165" t="n"/>
      <c r="F10" s="163">
        <f>"Orders: " &amp; TEXT(_xludf.IFS(D5="Daily", COUNTIFS(Sales_Invoicing!B:B, "&gt;="&amp;TODAY(), Sales_Invoicing!B:B, "&lt;"&amp;TODAY()+1), D5="Monthly", COUNTIFS(Sales_Invoicing!B:B, "&gt;="&amp;DATE(YEAR(TODAY()), MONTH(TODAY()), 1), Sales_Invoicing!B:B, "&lt;"&amp;EDATE(DATE(YEAR(TODAY()), MONTH(TODAY()), 1), 1)), D5="Quarterly", COUNTIFS(Sales_Invoicing!B:B, "&gt;="&amp;DATE(YEAR(TODAY()), INT((MONTH(TODAY())-1)/3)*3+1, 1), Sales_Invoicing!B:B, "&lt;"&amp;EDATE(DATE(YEAR(TODAY()), INT((MONTH(TODAY())-1)/3)*3+1, 1), 3)), D5="Yearly", COUNTIFS(Sales_Invoicing!B:B, "&gt;="&amp;DATE(YEAR(TODAY()), 1, 1), Sales_Invoicing!B:B, "&lt;"&amp;DATE(YEAR(TODAY())+1, 1, 1)), TRUE, COUNTA(Sales_Invoicing!A2:A100)), "#,##0") &amp; " Invoiced"</f>
        <v/>
      </c>
      <c r="G10" s="164" t="n"/>
      <c r="H10" s="165" t="n"/>
      <c r="J10" s="163" t="inlineStr">
        <is>
          <t>Net Revenue After COGS</t>
        </is>
      </c>
      <c r="K10" s="164" t="n"/>
      <c r="L10" s="165" t="n"/>
      <c r="M10" s="163">
        <f>IF(M8&gt;=0.2, "Healthy Margin (&gt;20%)", "Moderate Margin (&lt;20%)")</f>
        <v/>
      </c>
      <c r="N10" s="164" t="n"/>
      <c r="O10" s="165" t="n"/>
    </row>
    <row r="11" ht="11.25" customHeight="1" s="85"/>
    <row r="12" ht="21" customHeight="1" s="85">
      <c r="B12" s="166" t="inlineStr">
        <is>
          <t>📅 MULTI-PERIOD SALES &amp; PROFITABILITY BENCHMARK</t>
        </is>
      </c>
      <c r="C12" s="167" t="n"/>
      <c r="D12" s="167" t="n"/>
      <c r="E12" s="167" t="n"/>
      <c r="F12" s="167" t="n"/>
      <c r="G12" s="167" t="n"/>
      <c r="H12" s="168" t="n"/>
    </row>
    <row r="13" ht="18.75" customHeight="1" s="85">
      <c r="B13" s="56" t="inlineStr">
        <is>
          <t>Timeframe Basis</t>
        </is>
      </c>
      <c r="C13" s="57" t="inlineStr">
        <is>
          <t>Orders Count</t>
        </is>
      </c>
      <c r="D13" s="58" t="inlineStr">
        <is>
          <t>Total Sales (₹)</t>
        </is>
      </c>
      <c r="E13" s="58" t="inlineStr">
        <is>
          <t>Cost of Goods (₹)</t>
        </is>
      </c>
      <c r="F13" s="58" t="inlineStr">
        <is>
          <t>Gross Profit (₹)</t>
        </is>
      </c>
      <c r="G13" s="58" t="inlineStr">
        <is>
          <t>Margin %</t>
        </is>
      </c>
      <c r="H13" s="59" t="inlineStr">
        <is>
          <t>Performance Status</t>
        </is>
      </c>
    </row>
    <row r="14" ht="18" customHeight="1" s="85">
      <c r="B14" s="60" t="inlineStr">
        <is>
          <t>Daily (Today)</t>
        </is>
      </c>
      <c r="C14" s="61">
        <f>COUNTIFS(Sales_Invoicing!$B:$B, "&gt;="&amp;TODAY(), Sales_Invoicing!$B:$B, "&lt;"&amp;TODAY()+1)</f>
        <v/>
      </c>
      <c r="D14" s="62">
        <f>SUMIFS(Sales_Invoicing!$L:$L, Sales_Invoicing!$B:$B, "&gt;="&amp;TODAY(), Sales_Invoicing!$B:$B, "&lt;"&amp;TODAY()+1)</f>
        <v/>
      </c>
      <c r="E14" s="62">
        <f>SUMIFS(Sales_Invoicing!$P:$P, Sales_Invoicing!$B:$B, "&gt;="&amp;TODAY(), Sales_Invoicing!$B:$B, "&lt;"&amp;TODAY()+1)</f>
        <v/>
      </c>
      <c r="F14" s="63">
        <f>D14-E14</f>
        <v/>
      </c>
      <c r="G14" s="64">
        <f>IFERROR(F14/D14, 0)</f>
        <v/>
      </c>
      <c r="H14" s="65">
        <f>IF(D14=0, "No Sales Yet", IF(G14&gt;=0.2, "🌟 High Margin", "⚠️ Low Margin"))</f>
        <v/>
      </c>
    </row>
    <row r="15" ht="18" customHeight="1" s="85">
      <c r="B15" s="66" t="inlineStr">
        <is>
          <t>Monthly (MTD)</t>
        </is>
      </c>
      <c r="C15" s="67">
        <f>COUNTIFS(Sales_Invoicing!$B:$B, "&gt;="&amp;DATE(YEAR(TODAY()), MONTH(TODAY()), 1), Sales_Invoicing!$B:$B, "&lt;"&amp;EDATE(DATE(YEAR(TODAY()), MONTH(TODAY()), 1), 1))</f>
        <v/>
      </c>
      <c r="D15" s="68">
        <f>SUMIFS(Sales_Invoicing!$L:$L, Sales_Invoicing!$B:$B, "&gt;="&amp;DATE(YEAR(TODAY()), MONTH(TODAY()), 1), Sales_Invoicing!$B:$B, "&lt;"&amp;EDATE(DATE(YEAR(TODAY()), MONTH(TODAY()), 1), 1))</f>
        <v/>
      </c>
      <c r="E15" s="68">
        <f>SUMIFS(Sales_Invoicing!$P:$P, Sales_Invoicing!$B:$B, "&gt;="&amp;DATE(YEAR(TODAY()), MONTH(TODAY()), 1), Sales_Invoicing!$B:$B, "&lt;"&amp;EDATE(DATE(YEAR(TODAY()), MONTH(TODAY()), 1), 1))</f>
        <v/>
      </c>
      <c r="F15" s="69">
        <f>D15-E15</f>
        <v/>
      </c>
      <c r="G15" s="70">
        <f>IFERROR(F15/D15, 0)</f>
        <v/>
      </c>
      <c r="H15" s="71">
        <f>IF(D15=0, "No Sales Yet", IF(G15&gt;=0.2, "🌟 Healthy Margin", "⚠️ Low Margin"))</f>
        <v/>
      </c>
    </row>
    <row r="16" ht="18" customHeight="1" s="85">
      <c r="B16" s="60" t="inlineStr">
        <is>
          <t>Quarterly (QTD)</t>
        </is>
      </c>
      <c r="C16" s="61">
        <f>COUNTIFS(Sales_Invoicing!$B:$B, "&gt;="&amp;DATE(YEAR(TODAY()), INT((MONTH(TODAY())-1)/3)*3+1, 1), Sales_Invoicing!$B:$B, "&lt;"&amp;EDATE(DATE(YEAR(TODAY()), INT((MONTH(TODAY())-1)/3)*3+1, 1), 3))</f>
        <v/>
      </c>
      <c r="D16" s="62">
        <f>SUMIFS(Sales_Invoicing!$L:$L, Sales_Invoicing!$B:$B, "&gt;="&amp;DATE(YEAR(TODAY()), INT((MONTH(TODAY())-1)/3)*3+1, 1), Sales_Invoicing!$B:$B, "&lt;"&amp;EDATE(DATE(YEAR(TODAY()), INT((MONTH(TODAY())-1)/3)*3+1, 1), 3))</f>
        <v/>
      </c>
      <c r="E16" s="62">
        <f>SUMIFS(Sales_Invoicing!$P:$P, Sales_Invoicing!$B:$B, "&gt;="&amp;DATE(YEAR(TODAY()), INT((MONTH(TODAY())-1)/3)*3+1, 1), Sales_Invoicing!$B:$B, "&lt;"&amp;EDATE(DATE(YEAR(TODAY()), INT((MONTH(TODAY())-1)/3)*3+1, 1), 3))</f>
        <v/>
      </c>
      <c r="F16" s="63">
        <f>D16-E16</f>
        <v/>
      </c>
      <c r="G16" s="64">
        <f>IFERROR(F16/D16, 0)</f>
        <v/>
      </c>
      <c r="H16" s="65">
        <f>IF(D16=0, "No Sales Yet", IF(G16&gt;=0.2, "🌟 Healthy Margin", "⚠️ Low Margin"))</f>
        <v/>
      </c>
    </row>
    <row r="17" ht="18" customHeight="1" s="85">
      <c r="B17" s="72" t="inlineStr">
        <is>
          <t>Yearly (YTD)</t>
        </is>
      </c>
      <c r="C17" s="73">
        <f>COUNTIFS(Sales_Invoicing!$B:$B, "&gt;="&amp;DATE(YEAR(TODAY()), 1, 1), Sales_Invoicing!$B:$B, "&lt;"&amp;DATE(YEAR(TODAY())+1, 1, 1))</f>
        <v/>
      </c>
      <c r="D17" s="74">
        <f>SUMIFS(Sales_Invoicing!$L:$L, Sales_Invoicing!$B:$B, "&gt;="&amp;DATE(YEAR(TODAY()), 1, 1), Sales_Invoicing!$B:$B, "&lt;"&amp;DATE(YEAR(TODAY())+1, 1, 1))</f>
        <v/>
      </c>
      <c r="E17" s="74">
        <f>SUMIFS(Sales_Invoicing!$P:$P, Sales_Invoicing!$B:$B, "&gt;="&amp;DATE(YEAR(TODAY()), 1, 1), Sales_Invoicing!$B:$B, "&lt;"&amp;DATE(YEAR(TODAY())+1, 1, 1))</f>
        <v/>
      </c>
      <c r="F17" s="75">
        <f>D17-E17</f>
        <v/>
      </c>
      <c r="G17" s="76">
        <f>IFERROR(F17/D17, 0)</f>
        <v/>
      </c>
      <c r="H17" s="77">
        <f>IF(D17=0, "No Sales Yet", IF(G17&gt;=0.2, "🌟 Healthy Margin", "⚠️ Low Margin"))</f>
        <v/>
      </c>
    </row>
    <row r="18" ht="11.25" customHeight="1" s="85"/>
    <row r="19" ht="21" customHeight="1" s="85">
      <c r="B19" s="166" t="inlineStr">
        <is>
          <t>🏆 TOP SELLING PRODUCTS &amp; PROFITABILITY PERFORMANCE</t>
        </is>
      </c>
      <c r="C19" s="167" t="n"/>
      <c r="D19" s="167" t="n"/>
      <c r="E19" s="167" t="n"/>
      <c r="F19" s="167" t="n"/>
      <c r="G19" s="167" t="n"/>
      <c r="H19" s="168" t="n"/>
    </row>
    <row r="20" ht="18.75" customHeight="1" s="85">
      <c r="B20" s="56" t="inlineStr">
        <is>
          <t>Product / Item Name</t>
        </is>
      </c>
      <c r="C20" s="57" t="inlineStr">
        <is>
          <t>Units Sold</t>
        </is>
      </c>
      <c r="D20" s="58" t="inlineStr">
        <is>
          <t>Sales Revenue (₹)</t>
        </is>
      </c>
      <c r="E20" s="58" t="inlineStr">
        <is>
          <t>Cost of Goods (₹)</t>
        </is>
      </c>
      <c r="F20" s="58" t="inlineStr">
        <is>
          <t>Gross Profit (₹)</t>
        </is>
      </c>
      <c r="G20" s="58" t="inlineStr">
        <is>
          <t>Margin %</t>
        </is>
      </c>
      <c r="H20" s="59" t="inlineStr">
        <is>
          <t>Profitability Tier</t>
        </is>
      </c>
    </row>
    <row r="21" ht="18" customHeight="1" s="85">
      <c r="B21" s="78" t="inlineStr">
        <is>
          <t>KAPPA TAPIOCA</t>
        </is>
      </c>
      <c r="C21" s="79">
        <f>SUMIF(Sales_Invoicing!$D:$D, B21, Sales_Invoicing!$F:$F)</f>
        <v/>
      </c>
      <c r="D21" s="62">
        <f>SUMIF(Sales_Invoicing!$D:$D, B21, Sales_Invoicing!$L:$L)</f>
        <v/>
      </c>
      <c r="E21" s="62">
        <f>SUMIF(Sales_Invoicing!$D:$D, B21, Sales_Invoicing!$P:$P)</f>
        <v/>
      </c>
      <c r="F21" s="63">
        <f>D21-E21</f>
        <v/>
      </c>
      <c r="G21" s="64">
        <f>IFERROR(F21/D21, 0)</f>
        <v/>
      </c>
      <c r="H21" s="65">
        <f>IF(G21&gt;=0.25, "💎 High Margin", IF(G21&gt;=0.15, "✅ Healthy", "⚠️ Thin Margin"))</f>
        <v/>
      </c>
    </row>
    <row r="22" ht="18" customHeight="1" s="85">
      <c r="B22" s="80" t="inlineStr">
        <is>
          <t>KERALA BANANA</t>
        </is>
      </c>
      <c r="C22" s="81">
        <f>SUMIF(Sales_Invoicing!$D:$D, B22, Sales_Invoicing!$F:$F)</f>
        <v/>
      </c>
      <c r="D22" s="68">
        <f>SUMIF(Sales_Invoicing!$D:$D, B22, Sales_Invoicing!$L:$L)</f>
        <v/>
      </c>
      <c r="E22" s="68">
        <f>SUMIF(Sales_Invoicing!$D:$D, B22, Sales_Invoicing!$P:$P)</f>
        <v/>
      </c>
      <c r="F22" s="69">
        <f>D22-E22</f>
        <v/>
      </c>
      <c r="G22" s="70">
        <f>IFERROR(F22/D22, 0)</f>
        <v/>
      </c>
      <c r="H22" s="71">
        <f>IF(G22&gt;=0.25, "💎 High Margin", IF(G22&gt;=0.15, "✅ Healthy", "⚠️ Thin Margin"))</f>
        <v/>
      </c>
    </row>
    <row r="23" ht="18" customHeight="1" s="85">
      <c r="B23" s="78" t="inlineStr">
        <is>
          <t>KPL COCONUT OIL 500GM</t>
        </is>
      </c>
      <c r="C23" s="79">
        <f>SUMIF(Sales_Invoicing!$D:$D, B23, Sales_Invoicing!$F:$F)</f>
        <v/>
      </c>
      <c r="D23" s="62">
        <f>SUMIF(Sales_Invoicing!$D:$D, B23, Sales_Invoicing!$L:$L)</f>
        <v/>
      </c>
      <c r="E23" s="62">
        <f>SUMIF(Sales_Invoicing!$D:$D, B23, Sales_Invoicing!$P:$P)</f>
        <v/>
      </c>
      <c r="F23" s="63">
        <f>D23-E23</f>
        <v/>
      </c>
      <c r="G23" s="64">
        <f>IFERROR(F23/D23, 0)</f>
        <v/>
      </c>
      <c r="H23" s="65">
        <f>IF(G23&gt;=0.25, "💎 High Margin", IF(G23&gt;=0.15, "✅ Healthy", "⚠️ Thin Margin"))</f>
        <v/>
      </c>
    </row>
    <row r="24" ht="18" customHeight="1" s="85">
      <c r="B24" s="80" t="inlineStr">
        <is>
          <t>IDAYAM NALLENNA BOTTLE 500GM</t>
        </is>
      </c>
      <c r="C24" s="81">
        <f>SUMIF(Sales_Invoicing!$D:$D, B24, Sales_Invoicing!$F:$F)</f>
        <v/>
      </c>
      <c r="D24" s="68">
        <f>SUMIF(Sales_Invoicing!$D:$D, B24, Sales_Invoicing!$L:$L)</f>
        <v/>
      </c>
      <c r="E24" s="68">
        <f>SUMIF(Sales_Invoicing!$D:$D, B24, Sales_Invoicing!$P:$P)</f>
        <v/>
      </c>
      <c r="F24" s="69">
        <f>D24-E24</f>
        <v/>
      </c>
      <c r="G24" s="70">
        <f>IFERROR(F24/D24, 0)</f>
        <v/>
      </c>
      <c r="H24" s="71">
        <f>IF(G24&gt;=0.25, "💎 High Margin", IF(G24&gt;=0.15, "✅ Healthy", "⚠️ Thin Margin"))</f>
        <v/>
      </c>
    </row>
    <row r="25" ht="18" customHeight="1" s="85">
      <c r="B25" s="78" t="inlineStr">
        <is>
          <t>KALAN</t>
        </is>
      </c>
      <c r="C25" s="79">
        <f>SUMIF(Sales_Invoicing!$D:$D, B25, Sales_Invoicing!$F:$F)</f>
        <v/>
      </c>
      <c r="D25" s="62">
        <f>SUMIF(Sales_Invoicing!$D:$D, B25, Sales_Invoicing!$L:$L)</f>
        <v/>
      </c>
      <c r="E25" s="62">
        <f>SUMIF(Sales_Invoicing!$D:$D, B25, Sales_Invoicing!$P:$P)</f>
        <v/>
      </c>
      <c r="F25" s="63">
        <f>D25-E25</f>
        <v/>
      </c>
      <c r="G25" s="64">
        <f>IFERROR(F25/D25, 0)</f>
        <v/>
      </c>
      <c r="H25" s="65">
        <f>IF(G25&gt;=0.25, "💎 High Margin", IF(G25&gt;=0.15, "✅ Healthy", "⚠️ Thin Margin"))</f>
        <v/>
      </c>
    </row>
    <row r="26" ht="18" customHeight="1" s="85">
      <c r="B26" s="82" t="inlineStr">
        <is>
          <t>TN SAMBAR RTE</t>
        </is>
      </c>
      <c r="C26" s="83">
        <f>SUMIF(Sales_Invoicing!$D:$D, B26, Sales_Invoicing!$F:$F)</f>
        <v/>
      </c>
      <c r="D26" s="74">
        <f>SUMIF(Sales_Invoicing!$D:$D, B26, Sales_Invoicing!$L:$L)</f>
        <v/>
      </c>
      <c r="E26" s="74">
        <f>SUMIF(Sales_Invoicing!$D:$D, B26, Sales_Invoicing!$P:$P)</f>
        <v/>
      </c>
      <c r="F26" s="75">
        <f>D26-E26</f>
        <v/>
      </c>
      <c r="G26" s="76">
        <f>IFERROR(F26/D26, 0)</f>
        <v/>
      </c>
      <c r="H26" s="77">
        <f>IF(G26&gt;=0.25, "💎 High Margin", IF(G26&gt;=0.15, "✅ Healthy", "⚠️ Thin Margin"))</f>
        <v/>
      </c>
    </row>
  </sheetData>
  <mergeCells count="22">
    <mergeCell ref="M10:O10"/>
    <mergeCell ref="M7:O7"/>
    <mergeCell ref="J8:L9"/>
    <mergeCell ref="J7:L7"/>
    <mergeCell ref="B10:D10"/>
    <mergeCell ref="F5:G5"/>
    <mergeCell ref="J2:K3"/>
    <mergeCell ref="L2:M3"/>
    <mergeCell ref="B8:D9"/>
    <mergeCell ref="B2:G3"/>
    <mergeCell ref="B12:H12"/>
    <mergeCell ref="F8:H9"/>
    <mergeCell ref="B7:D7"/>
    <mergeCell ref="F10:H10"/>
    <mergeCell ref="J10:L10"/>
    <mergeCell ref="B5:C5"/>
    <mergeCell ref="D5:E5"/>
    <mergeCell ref="H2:I3"/>
    <mergeCell ref="N2:O3"/>
    <mergeCell ref="F7:H7"/>
    <mergeCell ref="M8:O9"/>
    <mergeCell ref="B19:H19"/>
  </mergeCells>
  <dataValidations count="1">
    <dataValidation sqref="D5" showDropDown="0" showInputMessage="0" showErrorMessage="1" allowBlank="1" type="list">
      <formula1>"Daily,Monthly,Quarterly,Yearly,All Time"</formula1>
    </dataValidation>
  </dataValidations>
  <hyperlinks>
    <hyperlink ref="H2" location="Sales_Invoicing!A1" display="🧾 BILL PAGE"/>
    <hyperlink ref="J2" location="Inventory_Master!A1" display="✏️ EDIT PAGE"/>
    <hyperlink ref="L2" location="Purchases_Vendors!A1" display="🛒 PURCHASE PAGE"/>
    <hyperlink ref="N2" location="Dashboard!A1" display="🏠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2026-10-10T04:16:57Z</dcterms:created>
  <dcterms:modified xmlns:dcterms="http://purl.org/dc/terms/" xmlns:xsi="http://www.w3.org/2001/XMLSchema-instance" xsi:type="dcterms:W3CDTF">2026-10-15T13:14:28Z</dcterms:modified>
  <cp:lastModifiedBy>John Joy Raj</cp:lastModifiedBy>
</cp:coreProperties>
</file>